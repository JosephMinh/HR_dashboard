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https://netorgft13740258.sharepoint.com/sites/WorkforcePlanning/Shared Documents/General/2026 WFP/"/>
    </mc:Choice>
  </mc:AlternateContent>
  <xr:revisionPtr revIDLastSave="6971" documentId="8_{F9A31029-52AE-FD45-9795-70729BDC3CFF}" xr6:coauthVersionLast="47" xr6:coauthVersionMax="47" xr10:uidLastSave="{914CB354-AACB-D449-B249-205EADA1BA41}"/>
  <bookViews>
    <workbookView xWindow="2640" yWindow="1660" windowWidth="26320" windowHeight="14960" tabRatio="771" xr2:uid="{F00C9417-990D-0543-BC7E-D7EE92B02410}"/>
  </bookViews>
  <sheets>
    <sheet name="WFP Details - 2026" sheetId="1" r:id="rId1"/>
    <sheet name="WFP Details - Beyond 2026" sheetId="5" state="hidden" r:id="rId2"/>
    <sheet name="2026 Approved Budget" sheetId="12" state="hidden" r:id="rId3"/>
    <sheet name="Tradeoffs" sheetId="11" state="hidden" r:id="rId4"/>
    <sheet name="By Function" sheetId="4" r:id="rId5"/>
    <sheet name="By Grade" sheetId="13" r:id="rId6"/>
    <sheet name="By Location" sheetId="9" r:id="rId7"/>
    <sheet name="Other Metrics" sheetId="8" r:id="rId8"/>
    <sheet name="Copy to Pres" sheetId="7"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S2000" hidden="1">{#N/A,#N/A,FALSE,"Aging Summary";#N/A,#N/A,FALSE,"Ratio Analysis";#N/A,#N/A,FALSE,"Test 120 Day Accts";#N/A,#N/A,FALSE,"Tickmarks"}</definedName>
    <definedName name="___TT1" hidden="1">{#N/A,#N/A,FALSE,"Aging Summary";#N/A,#N/A,FALSE,"Ratio Analysis";#N/A,#N/A,FALSE,"Test 120 Day Accts";#N/A,#N/A,FALSE,"Tickmarks"}</definedName>
    <definedName name="__123" hidden="1">[1]JAN!$B$46:$B$50</definedName>
    <definedName name="__123Graph_A" hidden="1">[1]JAN!$H$46:$H$50</definedName>
    <definedName name="__123Graph_AA" hidden="1">[2]L_PM!$AK$25:$AK$36</definedName>
    <definedName name="__123Graph_AB" hidden="1">[2]L_PM!$AU$25:$AU$36</definedName>
    <definedName name="__123Graph_ABUD" hidden="1">'[3]EXP LINE'!#REF!</definedName>
    <definedName name="__123Graph_AC" hidden="1">[2]L_PM!$AZ$25:$AZ$37</definedName>
    <definedName name="__123Graph_AD" hidden="1">[2]L_PM!$AP$25:$AP$36</definedName>
    <definedName name="__123Graph_ADM" hidden="1">[1]JAN!$C$46:$C$50</definedName>
    <definedName name="__123Graph_ADY" hidden="1">[1]JAN!$H$46:$H$50</definedName>
    <definedName name="__123Graph_AMONTH" hidden="1">[4]SALES!#REF!</definedName>
    <definedName name="__123Graph_AREG" hidden="1">'[5]DATA 91-98'!$G$1116:$G$1331</definedName>
    <definedName name="__123Graph_AREGDIF" hidden="1">'[5]DATA 91-98'!$AR$1116:$AR$1331</definedName>
    <definedName name="__123Graph_ATREND" hidden="1">[4]SALES!#REF!</definedName>
    <definedName name="__123Graph_AYEAR" hidden="1">[4]SALES!#REF!</definedName>
    <definedName name="__123Graph_AYTD" hidden="1">'[3]EXP LINE'!#REF!</definedName>
    <definedName name="__123Graph_B" hidden="1">[1]JAN!$D$46:$D$50</definedName>
    <definedName name="__123Graph_BA" hidden="1">[2]L_PM!$AL$25:$AL$36</definedName>
    <definedName name="__123Graph_BB" hidden="1">[2]L_PM!$AV$25:$AV$36</definedName>
    <definedName name="__123Graph_BC" hidden="1">[2]L_PM!$BA$25:$BA$36</definedName>
    <definedName name="__123Graph_BD" hidden="1">[2]L_PM!$AQ$25:$AQ$36</definedName>
    <definedName name="__123Graph_BDM" hidden="1">[1]JAN!$C$46:$C$50</definedName>
    <definedName name="__123Graph_BMONTH" hidden="1">[4]SALES!#REF!</definedName>
    <definedName name="__123Graph_BREG" hidden="1">'[5]DATA 91-98'!$AQ$1116:$AQ$1331</definedName>
    <definedName name="__123Graph_BTREND" hidden="1">[4]SALES!#REF!</definedName>
    <definedName name="__123Graph_BYEAR" hidden="1">[4]SALES!#REF!</definedName>
    <definedName name="__123Graph_C" hidden="1">[2]L_PM!$AR$25:$AR$36</definedName>
    <definedName name="__123Graph_CA" hidden="1">[2]L_PM!$AM$25:$AM$36</definedName>
    <definedName name="__123Graph_CB" hidden="1">[2]L_PM!$AW$25:$AW$36</definedName>
    <definedName name="__123Graph_CC" hidden="1">[2]L_PM!$BB$25:$BB$36</definedName>
    <definedName name="__123Graph_CD" hidden="1">[2]L_PM!$AR$25:$AR$36</definedName>
    <definedName name="__123Graph_D" hidden="1">'[6]PROD GRAPH'!#REF!</definedName>
    <definedName name="__123Graph_DA" hidden="1">[2]L_PM!$AN$25:$AN$36</definedName>
    <definedName name="__123Graph_DB" hidden="1">[2]L_PM!$AX$25:$AX$36</definedName>
    <definedName name="__123Graph_DC" hidden="1">[2]L_PM!$BC$25:$BC$36</definedName>
    <definedName name="__123Graph_DD" hidden="1">[2]L_PM!$AS$25:$AS$36</definedName>
    <definedName name="__123Graph_LBL_A" hidden="1">[4]SALES!#REF!</definedName>
    <definedName name="__123Graph_LBL_AMONTH" hidden="1">[4]SALES!#REF!</definedName>
    <definedName name="__123Graph_LBL_ATREND" hidden="1">[4]SALES!#REF!</definedName>
    <definedName name="__123Graph_LBL_AYEAR" hidden="1">[4]SALES!#REF!</definedName>
    <definedName name="__123Graph_LBL_B" hidden="1">[4]SALES!#REF!</definedName>
    <definedName name="__123Graph_LBL_BMONTH" hidden="1">[4]SALES!#REF!</definedName>
    <definedName name="__123Graph_LBL_BTREND" hidden="1">[4]SALES!#REF!</definedName>
    <definedName name="__123Graph_LBL_BYEAR" hidden="1">[4]SALES!#REF!</definedName>
    <definedName name="__123Graph_X" hidden="1">[1]JAN!$B$46:$B$50</definedName>
    <definedName name="__123Graph_XA" hidden="1">[2]L_PM!$BG$25:$BG$36</definedName>
    <definedName name="__123Graph_XB" hidden="1">[2]L_PM!$BG$25:$BG$36</definedName>
    <definedName name="__123Graph_XBUD" hidden="1">'[3]EXP LINE'!#REF!</definedName>
    <definedName name="__123Graph_XC" hidden="1">[2]L_PM!$BG$25:$BG$36</definedName>
    <definedName name="__123Graph_XD" hidden="1">[2]L_PM!$BG$25:$BG$36</definedName>
    <definedName name="__123Graph_XDM" hidden="1">[1]JAN!$B$46:$B$50</definedName>
    <definedName name="__123Graph_XDY" hidden="1">[1]JAN!$B$46:$B$50</definedName>
    <definedName name="__123Graph_XMONTH" hidden="1">[4]SALES!#REF!</definedName>
    <definedName name="__123Graph_XREG" hidden="1">'[5]DATA 91-98'!$B$1116:$B$1331</definedName>
    <definedName name="__123Graph_XREGDIF" hidden="1">'[5]DATA 91-98'!$B$1116:$B$1331</definedName>
    <definedName name="__123Graph_XTREND" hidden="1">[4]SALES!#REF!</definedName>
    <definedName name="__123Graph_XYEAR" hidden="1">[4]SALES!#REF!</definedName>
    <definedName name="__123Graph_XYTD" hidden="1">'[3]EXP LINE'!#REF!</definedName>
    <definedName name="__123h" hidden="1">[7]Sheet1!#REF!</definedName>
    <definedName name="__APW_RESTORE_DATA10__" hidden="1">'[8]Factset Data'!#REF!</definedName>
    <definedName name="__APW_RESTORE_DATA100__" hidden="1">'[8]Factset Data'!#REF!</definedName>
    <definedName name="__APW_RESTORE_DATA101__" hidden="1">'[8]Factset Data'!#REF!</definedName>
    <definedName name="__APW_RESTORE_DATA102__" hidden="1">'[8]Factset Data'!#REF!</definedName>
    <definedName name="__APW_RESTORE_DATA103__" hidden="1">'[8]Factset Data'!#REF!</definedName>
    <definedName name="__APW_RESTORE_DATA104__" hidden="1">'[8]Factset Data'!#REF!</definedName>
    <definedName name="__APW_RESTORE_DATA105__" hidden="1">'[8]Factset Data'!#REF!</definedName>
    <definedName name="__APW_RESTORE_DATA11__" hidden="1">'[8]Factset Data'!#REF!</definedName>
    <definedName name="__APW_RESTORE_DATA12__" hidden="1">'[8]Factset Data'!#REF!</definedName>
    <definedName name="__APW_RESTORE_DATA13__" hidden="1">'[8]Factset Data'!#REF!</definedName>
    <definedName name="__APW_RESTORE_DATA14__" hidden="1">'[8]Factset Data'!#REF!</definedName>
    <definedName name="__APW_RESTORE_DATA15__" hidden="1">'[8]Factset Data'!#REF!</definedName>
    <definedName name="__APW_RESTORE_DATA16__" hidden="1">'[8]Factset Data'!#REF!</definedName>
    <definedName name="__APW_RESTORE_DATA17__" hidden="1">'[8]Factset Data'!#REF!</definedName>
    <definedName name="__APW_RESTORE_DATA18__" hidden="1">'[8]Factset Data'!#REF!</definedName>
    <definedName name="__APW_RESTORE_DATA8__" hidden="1">'[8]Factset Data'!#REF!</definedName>
    <definedName name="__APW_RESTORE_DATA9__" hidden="1">'[8]Factset Data'!#REF!</definedName>
    <definedName name="__APW_RESTORE_DATA95__" hidden="1">'[8]Factset Data'!#REF!</definedName>
    <definedName name="__APW_RESTORE_DATA96__" hidden="1">'[8]Factset Data'!#REF!</definedName>
    <definedName name="__APW_RESTORE_DATA97__" hidden="1">'[8]Factset Data'!#REF!</definedName>
    <definedName name="__APW_RESTORE_DATA98__" hidden="1">'[8]Factset Data'!#REF!</definedName>
    <definedName name="__APW_RESTORE_DATA99__" hidden="1">'[8]Factset Data'!#REF!</definedName>
    <definedName name="__bookmark_1">#REF!</definedName>
    <definedName name="__FDS_HYPERLINK_TOGGLE_STATE__" hidden="1">"ON"</definedName>
    <definedName name="__FDS_UNIQUE_RANGE_ID_GENERATOR_COUNTER" hidden="1">28</definedName>
    <definedName name="__FDS_USED_FOR_REUSING_RANGE_IDS_RECYCLE" localSheetId="2" hidden="1">{26,27,3}</definedName>
    <definedName name="__FDS_USED_FOR_REUSING_RANGE_IDS_RECYCLE" localSheetId="3" hidden="1">{26,27,3}</definedName>
    <definedName name="__FDS_USED_FOR_REUSING_RANGE_IDS_RECYCLE" hidden="1">{26,27,3}</definedName>
    <definedName name="__S2000" hidden="1">{#N/A,#N/A,FALSE,"Aging Summary";#N/A,#N/A,FALSE,"Ratio Analysis";#N/A,#N/A,FALSE,"Test 120 Day Accts";#N/A,#N/A,FALSE,"Tickmarks"}</definedName>
    <definedName name="__TT1" hidden="1">{#N/A,#N/A,FALSE,"Aging Summary";#N/A,#N/A,FALSE,"Ratio Analysis";#N/A,#N/A,FALSE,"Test 120 Day Accts";#N/A,#N/A,FALSE,"Tickmarks"}</definedName>
    <definedName name="_1__123Graph_A_BP9196" hidden="1">'[5]DATA 91-98'!$F$5:$F$1331</definedName>
    <definedName name="_1__FDSAUDITLINK__" localSheetId="2"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__FDSAUDITLINK__" localSheetId="3"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0__123Graph_A_KD9196" hidden="1">'[5]DATA 91-98'!$G$5:$G$1331</definedName>
    <definedName name="_11__123Graph_A_KD95" hidden="1">'[5]DATA 91-98'!$G$897:$G$1116</definedName>
    <definedName name="_12__123Graph_A_KD956" hidden="1">'[5]DATA 91-98'!$G$897:$G$1331</definedName>
    <definedName name="_12__FDSAUDITLINK__" localSheetId="2"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__FDSAUDITLINK__" localSheetId="3"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3Graph_MONTH" hidden="1">[4]SALES!#REF!</definedName>
    <definedName name="_13__123Graph_A_KD96" hidden="1">'[5]DATA 91-98'!$G$1116:$G$1331</definedName>
    <definedName name="_1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4__123Graph_ACHART_1" hidden="1">'[9]YTD SALES'!$C$63:$N$63</definedName>
    <definedName name="_14__FDSAUDITLINK__" localSheetId="2"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4__FDSAUDITLINK__" localSheetId="3"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5__123Graph_ACHART_4" hidden="1">'[9]YTD SALES'!$C$53:$N$53</definedName>
    <definedName name="_1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6__123Graph_ACHART_5" hidden="1">'[9]YTD SALES'!$C$44:$N$44</definedName>
    <definedName name="_17__123Graph_AIND9596" hidden="1">'[5]DATA 91-98'!$AO$1022:$AO$1331</definedName>
    <definedName name="_18__123Graph_AINDX9196" hidden="1">'[5]DATA 91-98'!$Y$5:$Y$1331</definedName>
    <definedName name="_18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8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9__123Graph_AINDX95" hidden="1">'[5]DATA 91-98'!$AE$897:$AE$1116</definedName>
    <definedName name="_1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123Graph_A_BP95" hidden="1">'[5]DATA 91-98'!$F$897:$F$1116</definedName>
    <definedName name="_2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0__123Graph_AINDX96" hidden="1">'[5]DATA 91-98'!$AJ$1116:$AJ$1331</definedName>
    <definedName name="_20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0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1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1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2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2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3__123Graph_AMKT_MONTH" hidden="1">[4]SALES!#REF!</definedName>
    <definedName name="_2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4__FDSAUDITLINK__" localSheetId="2"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4__FDSAUDITLINK__" localSheetId="3"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6__123Graph_AMKT_YTD" hidden="1">[4]SALES!#REF!</definedName>
    <definedName name="_27__123Graph_B_KD956" hidden="1">'[5]DATA 91-98'!$O$897:$O$1331</definedName>
    <definedName name="_28__123Graph_BCHART_1" hidden="1">'[9]YTD SALES'!$C$57:$N$57</definedName>
    <definedName name="_28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8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9__123Graph_BCHART_4" hidden="1">'[9]YTD SALES'!$C$49:$N$49</definedName>
    <definedName name="_2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__123Graph_A_BP96" hidden="1">'[5]DATA 91-98'!$F$1116:$F$1331</definedName>
    <definedName name="_30__123Graph_BCHART_5" hidden="1">'[9]YTD SALES'!$C$45:$N$45</definedName>
    <definedName name="_30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0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1__123Graph_BIND9596" hidden="1">'[5]DATA 91-98'!$AL$1022:$AL$1331</definedName>
    <definedName name="_31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1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2__123Graph_BINDX9196" hidden="1">'[5]DATA 91-98'!$V$5:$V$1331</definedName>
    <definedName name="_32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2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3__123Graph_BINDX95" hidden="1">'[5]DATA 91-98'!$AB$897:$AB$1116</definedName>
    <definedName name="_3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4__123Graph_BINDX96" hidden="1">'[5]DATA 91-98'!$AG$1116:$AG$1331</definedName>
    <definedName name="_34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4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6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6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7__123Graph_BMKT_MONTH" hidden="1">[4]SALES!#REF!</definedName>
    <definedName name="_3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8__FDSAUDITLINK__" localSheetId="2"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8__FDSAUDITLINK__" localSheetId="3"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8__FDSAUDITLINK__"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9__FDSAUDITLINK__" localSheetId="2"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39__FDSAUDITLINK__" localSheetId="3"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4__123Graph_A_DM9196" hidden="1">'[5]DATA 91-98'!$D$5:$D$1331</definedName>
    <definedName name="_4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0__123Graph_BMKT_YTD" hidden="1">[4]SALES!#REF!</definedName>
    <definedName name="_40__FDSAUDITLINK__" localSheetId="2"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0__FDSAUDITLINK__" localSheetId="3"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1__123Graph_C_KD956" hidden="1">'[5]DATA 91-98'!$Q$897:$Q$1331</definedName>
    <definedName name="_41__FDSAUDITLINK__" localSheetId="2"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1__FDSAUDITLINK__" localSheetId="3"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1__FDSAUDITLINK__"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2__123Graph_CIND9596" hidden="1">'[5]DATA 91-98'!$AM$1022:$AM$1331</definedName>
    <definedName name="_43__123Graph_CINDX9196" hidden="1">'[5]DATA 91-98'!$W$5:$W$1331</definedName>
    <definedName name="_43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3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4__123Graph_CINDX95" hidden="1">'[5]DATA 91-98'!$AC$897:$AC$1116</definedName>
    <definedName name="_44__FDSAUDITLINK__" localSheetId="2"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4__FDSAUDITLINK__" localSheetId="3"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5__123Graph_CINDX96" hidden="1">'[5]DATA 91-98'!$AH$1116:$AH$1331</definedName>
    <definedName name="_45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5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123Graph_DIND9596" hidden="1">'[5]DATA 91-98'!$AN$1022:$AN$1331</definedName>
    <definedName name="_46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123Graph_DINDX9196" hidden="1">'[5]DATA 91-98'!$X$5:$X$1331</definedName>
    <definedName name="_47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123Graph_DINDX95" hidden="1">'[5]DATA 91-98'!$AD$897:$AD$1116</definedName>
    <definedName name="_48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123Graph_DINDX96" hidden="1">'[5]DATA 91-98'!$AI$1116:$AI$1331</definedName>
    <definedName name="_49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__123Graph_A_DM95" hidden="1">'[5]DATA 91-98'!$D$897:$D$1116</definedName>
    <definedName name="_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0__123Graph_LBL_ACHART_1" hidden="1">'[9]YTD SALES'!$C$63:$N$63</definedName>
    <definedName name="_50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0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123Graph_LBL_ACHART_4" hidden="1">'[9]YTD SALES'!$C$53:$N$53</definedName>
    <definedName name="_51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123Graph_LBL_ACHART_5" hidden="1">'[9]YTD SALES'!$C$44:$N$44</definedName>
    <definedName name="_52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123Graph_LBL_AMKT_MONTH" hidden="1">[4]SALES!#REF!</definedName>
    <definedName name="_55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8__123Graph_LBL_AMKT_YTD" hidden="1">[4]SALES!#REF!</definedName>
    <definedName name="_58__FDSAUDITLINK__" localSheetId="2"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8__FDSAUDITLINK__" localSheetId="3"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8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9__123Graph_LBL_B_KD956" hidden="1">'[5]DATA 91-98'!$P$897:$P$1331</definedName>
    <definedName name="_6__123Graph_A_DM96" hidden="1">'[5]DATA 91-98'!$D$1116:$D$1331</definedName>
    <definedName name="_6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0__123Graph_LBL_BCHART_1" hidden="1">'[9]YTD SALES'!$C$57:$N$57</definedName>
    <definedName name="_60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0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1__123Graph_LBL_BCHART_4" hidden="1">'[9]YTD SALES'!$C$49:$N$49</definedName>
    <definedName name="_61__FDSAUDITLINK__" localSheetId="2"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1__FDSAUDITLINK__" localSheetId="3"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1__FDSAUDITLINK__"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2__123Graph_LBL_BCHART_5" hidden="1">'[9]YTD SALES'!$C$45:$N$45</definedName>
    <definedName name="_62__FDSAUDITLINK__" localSheetId="2"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2__FDSAUDITLINK__" localSheetId="3"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4__FDSAUDITLINK__" localSheetId="2"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4__FDSAUDITLINK__" localSheetId="3"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5__123Graph_LBL_BMKT_MONTH" hidden="1">[4]SALES!#REF!</definedName>
    <definedName name="_65__FDSAUDITLINK__" localSheetId="2"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5__FDSAUDITLINK__" localSheetId="3"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5__FDSAUDITLINK__"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6__FDSAUDITLINK__" localSheetId="2"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6__FDSAUDITLINK__" localSheetId="3"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6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7__FDSAUDITLINK__" localSheetId="2"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7__FDSAUDITLINK__" localSheetId="3"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7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8__123Graph_LBL_BMKT_YTD" hidden="1">[4]SALES!#REF!</definedName>
    <definedName name="_68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8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9__123Graph_X_BP9196" hidden="1">'[5]DATA 91-98'!$B$5:$B$1331</definedName>
    <definedName name="_69__FDSAUDITLINK__" localSheetId="2"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9__FDSAUDITLINK__" localSheetId="3"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9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7__123Graph_A_JY9196" hidden="1">'[5]DATA 91-98'!$E$5:$E$1331</definedName>
    <definedName name="_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0__123Graph_X_BP95" hidden="1">'[5]DATA 91-98'!$A$897:$A$1116</definedName>
    <definedName name="_70__FDSAUDITLINK__" localSheetId="2"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0__FDSAUDITLINK__" localSheetId="3"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0__FDSAUDITLINK__"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1__123Graph_X_BP96" hidden="1">'[5]DATA 91-98'!$B$1116:$B$1331</definedName>
    <definedName name="_72__123Graph_X_DM9196" hidden="1">'[5]DATA 91-98'!$B$5:$B$1331</definedName>
    <definedName name="_73__123Graph_X_DM95" hidden="1">'[5]DATA 91-98'!$A$897:$A$1116</definedName>
    <definedName name="_74__123Graph_X_DM96" hidden="1">'[5]DATA 91-98'!$B$1116:$B$1331</definedName>
    <definedName name="_74__FDSAUDITLINK__" localSheetId="2"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4__FDSAUDITLINK__" localSheetId="3"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4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5__123Graph_X_JY9196" hidden="1">'[5]DATA 91-98'!$B$5:$B$1331</definedName>
    <definedName name="_76__123Graph_X_JY95" hidden="1">'[5]DATA 91-98'!$A$897:$A$1116</definedName>
    <definedName name="_76__FDSAUDITLINK__" localSheetId="2"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6__FDSAUDITLINK__" localSheetId="3"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6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7__123Graph_X_JY96" hidden="1">'[5]DATA 91-98'!$B$1116:$B$1331</definedName>
    <definedName name="_78__123Graph_X_KD9196" hidden="1">'[5]DATA 91-98'!$B$5:$B$1331</definedName>
    <definedName name="_79__123Graph_X_KD95" hidden="1">'[5]DATA 91-98'!$A$897:$A$1116</definedName>
    <definedName name="_8__123Graph_A_JY95" hidden="1">'[5]DATA 91-98'!$E$897:$E$1116</definedName>
    <definedName name="_8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0__123Graph_X_KD956" hidden="1">'[5]DATA 91-98'!$B$897:$B$1331</definedName>
    <definedName name="_81__123Graph_X_KD96" hidden="1">'[5]DATA 91-98'!$B$1116:$B$1331</definedName>
    <definedName name="_82__123Graph_XCHART_1" hidden="1">'[9]YTD SALES'!$C$43:$N$43</definedName>
    <definedName name="_83__123Graph_XCHART_4" hidden="1">'[9]YTD SALES'!$C$43:$N$43</definedName>
    <definedName name="_84__123Graph_XCHART_5" hidden="1">'[9]YTD SALES'!$C$43:$N$43</definedName>
    <definedName name="_85__123Graph_XIND9596" hidden="1">'[5]DATA 91-98'!$B$1022:$B$1331</definedName>
    <definedName name="_86__123Graph_XINDX9196" hidden="1">'[5]DATA 91-98'!$B$5:$B$1331</definedName>
    <definedName name="_87__123Graph_XINDX95" hidden="1">'[5]DATA 91-98'!$B$897:$B$1116</definedName>
    <definedName name="_88__123Graph_XINDX96" hidden="1">'[5]DATA 91-98'!$B$1116:$B$1331</definedName>
    <definedName name="_9__123Graph_A_JY96" hidden="1">'[5]DATA 91-98'!$E$1116:$E$1331</definedName>
    <definedName name="_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1__123Graph_XMKT_MONTH" hidden="1">[4]SALES!#REF!</definedName>
    <definedName name="_93__FDSAUDITLINK__" localSheetId="2"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3__FDSAUDITLINK__" localSheetId="3"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4__123Graph_XMKT_YTD" hidden="1">[4]SALES!#REF!</definedName>
    <definedName name="_96__FDSAUDITLINK__" localSheetId="2"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6__FDSAUDITLINK__" localSheetId="3"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bdm.029d27569d8f4137b38391c1866e0ecf.edm">#REF!</definedName>
    <definedName name="_bdm.251ca3d97dde4a738d0599d9e3f32d3f.edm" hidden="1">#REF!</definedName>
    <definedName name="_bdm.34d32b768c4a4640b1cab10538b9799e.edm" hidden="1">#REF!</definedName>
    <definedName name="_bdm.6459374c0e8448a2a4d015d545561100.edm" hidden="1">#REF!</definedName>
    <definedName name="_bdm.7c02d5af14c04ee7bbfd57f864f0630d.edm" hidden="1">#REF!</definedName>
    <definedName name="_bdm.afd9f695393d4e278581decad7c11c9c.edm" hidden="1">#REF!</definedName>
    <definedName name="_bdm.b46ff62d24a747e5a9b6bf4a852a64d5.edm" hidden="1">#REF!</definedName>
    <definedName name="_bdm.ba52edc1b6e34f9fa834fac61b398a07.edm" hidden="1">#REF!</definedName>
    <definedName name="_bdm.cedfd36471974a74a915705340a98f90.edm" hidden="1">#REF!</definedName>
    <definedName name="_bdm.e730977eb3a54d86b3554203cbc921a6.edm" hidden="1">#REF!</definedName>
    <definedName name="_bdm.e8315b0f08e9463387a1657bb646e745.edm" hidden="1">#REF!</definedName>
    <definedName name="_Fill" hidden="1">[10]K1DB!#REF!</definedName>
    <definedName name="_xlnm._FilterDatabase" localSheetId="2" hidden="1">'2026 Approved Budget'!$A$7:$AT$518</definedName>
    <definedName name="_xlnm._FilterDatabase" localSheetId="3" hidden="1">Tradeoffs!$B$1:$J$17</definedName>
    <definedName name="_xlnm._FilterDatabase" localSheetId="0" hidden="1">'WFP Details - 2026'!$A$1:$AG$345</definedName>
    <definedName name="_xlnm._FilterDatabase" localSheetId="1" hidden="1">'WFP Details - Beyond 2026'!$A$1:$V$1</definedName>
    <definedName name="_I1">#REF!</definedName>
    <definedName name="_I10">#REF!</definedName>
    <definedName name="_I11">#REF!</definedName>
    <definedName name="_I12">#REF!</definedName>
    <definedName name="_I13">#REF!</definedName>
    <definedName name="_I14">#REF!</definedName>
    <definedName name="_I15">#REF!</definedName>
    <definedName name="_I16">#REF!</definedName>
    <definedName name="_I2">#REF!</definedName>
    <definedName name="_I3">#REF!</definedName>
    <definedName name="_I4">#REF!</definedName>
    <definedName name="_I5">#REF!</definedName>
    <definedName name="_I6">#REF!</definedName>
    <definedName name="_I7">#REF!</definedName>
    <definedName name="_I8">#REF!</definedName>
    <definedName name="_I9">#REF!</definedName>
    <definedName name="_Key1" hidden="1">#REF!</definedName>
    <definedName name="_key2" hidden="1">#REF!</definedName>
    <definedName name="_ORD1" hidden="1">255</definedName>
    <definedName name="_Order1" hidden="1">0</definedName>
    <definedName name="_Order2" hidden="1">0</definedName>
    <definedName name="_P1">#REF!</definedName>
    <definedName name="_P2">#REF!</definedName>
    <definedName name="_P3">#REF!</definedName>
    <definedName name="_P4">#REF!</definedName>
    <definedName name="_P5">#REF!</definedName>
    <definedName name="_P6">#REF!</definedName>
    <definedName name="_RA9">#REF!</definedName>
    <definedName name="_Regression_Out" hidden="1">'[5]DATA 91-98'!$AU$16:$AY$26</definedName>
    <definedName name="_Regression_X" hidden="1">'[5]DATA 91-98'!$D$1182:$F$1194</definedName>
    <definedName name="_Regression_Y" hidden="1">'[5]DATA 91-98'!$G$1182:$G$1194</definedName>
    <definedName name="_RJ1">#REF!</definedName>
    <definedName name="_S2000" hidden="1">{#N/A,#N/A,FALSE,"Aging Summary";#N/A,#N/A,FALSE,"Ratio Analysis";#N/A,#N/A,FALSE,"Test 120 Day Accts";#N/A,#N/A,FALSE,"Tickmarks"}</definedName>
    <definedName name="_Sort" hidden="1">#REF!</definedName>
    <definedName name="_St1">#REF!</definedName>
    <definedName name="_St2">#REF!</definedName>
    <definedName name="_St3">#REF!</definedName>
    <definedName name="_St4">#REF!</definedName>
    <definedName name="_St5">#REF!</definedName>
    <definedName name="_Table1_In1" hidden="1">#REF!</definedName>
    <definedName name="_Table2_In1" hidden="1">#REF!</definedName>
    <definedName name="_Table2_In2" hidden="1">#REF!</definedName>
    <definedName name="_Table2_Out" hidden="1">#REF!</definedName>
    <definedName name="_TT1" hidden="1">{#N/A,#N/A,FALSE,"Aging Summary";#N/A,#N/A,FALSE,"Ratio Analysis";#N/A,#N/A,FALSE,"Test 120 Day Accts";#N/A,#N/A,FALSE,"Tickmarks"}</definedName>
    <definedName name="A" localSheetId="2">{0.1;0;0.382758620689655;0;0;0;0.258620689655172;0;0.258620689655172}</definedName>
    <definedName name="A" localSheetId="3">{0.1;0;0.382758620689655;0;0;0;0.258620689655172;0;0.258620689655172}</definedName>
    <definedName name="A">{0.1;0;0.382758620689655;0;0;0;0.258620689655172;0;0.258620689655172}</definedName>
    <definedName name="AAA_DOCTOPS" hidden="1">"AAA_SET"</definedName>
    <definedName name="AAA_duser" hidden="1">"OFF"</definedName>
    <definedName name="aaaa" hidden="1">{#N/A,#N/A,FALSE,"Aging Summary";#N/A,#N/A,FALSE,"Ratio Analysis";#N/A,#N/A,FALSE,"Test 120 Day Accts";#N/A,#N/A,FALSE,"Tickmarks"}</definedName>
    <definedName name="AAB_Addin5" hidden="1">"AAB_Description for addin 5,Description for addin 5,Description for addin 5,Description for addin 5,Description for addin 5,Description for addin 5"</definedName>
    <definedName name="AB" hidden="1">{#N/A,#N/A,FALSE,"Aging Summary";#N/A,#N/A,FALSE,"Ratio Analysis";#N/A,#N/A,FALSE,"Test 120 Day Accts";#N/A,#N/A,FALSE,"Tickmarks"}</definedName>
    <definedName name="AccessDatabase" hidden="1">"D:\Compensation\comp data 2001.xls"</definedName>
    <definedName name="accounts">#REF!</definedName>
    <definedName name="adpt_ext_exp">#REF!</definedName>
    <definedName name="adpt_hdct_data">#REF!</definedName>
    <definedName name="ALL" hidden="1">#N/A</definedName>
    <definedName name="ALLGROUPS" hidden="1">#N/A</definedName>
    <definedName name="anscount" hidden="1">2</definedName>
    <definedName name="AP">#REF!</definedName>
    <definedName name="AR">#REF!</definedName>
    <definedName name="AS2DocOpenMode" hidden="1">"AS2DocumentEdit"</definedName>
    <definedName name="AS2LinkLS" hidden="1">#REF!</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sumeSuccess">#REF!</definedName>
    <definedName name="AtlasReport">#REF!</definedName>
    <definedName name="AtlasReport_1">#REF!</definedName>
    <definedName name="AtlasReport_2">#REF!</definedName>
    <definedName name="AuraStyleDefaultsReset" hidden="1">#N/A</definedName>
    <definedName name="bb" hidden="1">{#N/A,#N/A,FALSE,"Aging Summary";#N/A,#N/A,FALSE,"Ratio Analysis";#N/A,#N/A,FALSE,"Test 120 Day Accts";#N/A,#N/A,FALSE,"Tickmarks"}</definedName>
    <definedName name="bbbb" hidden="1">{#N/A,#N/A,FALSE,"Aging Summary";#N/A,#N/A,FALSE,"Ratio Analysis";#N/A,#N/A,FALSE,"Test 120 Day Accts";#N/A,#N/A,FALSE,"Tickmarks"}</definedName>
    <definedName name="BDCustom_OSProd1">0</definedName>
    <definedName name="BDCustom_OSProd2">1</definedName>
    <definedName name="BDCustom_OSProd3">2</definedName>
    <definedName name="BDCustom_OSProd4">3</definedName>
    <definedName name="BDCustom_P1">#REF!</definedName>
    <definedName name="BDCustom_P3">#REF!</definedName>
    <definedName name="BDEnabler">0</definedName>
    <definedName name="BDScen_Prog1">#REF!</definedName>
    <definedName name="BDScen_Prog2">#REF!</definedName>
    <definedName name="Benefits">350</definedName>
    <definedName name="beth" hidden="1">[11]BSMONTH!$A$3</definedName>
    <definedName name="beth.all" hidden="1">[11]BSMONTH!$A$34:$IV$34,[11]BSMONTH!$A$41:$IV$42</definedName>
    <definedName name="beth1" hidden="1">[11]BSMONTH!$G$3</definedName>
    <definedName name="BG_Del" hidden="1">15</definedName>
    <definedName name="BG_Ins" hidden="1">4</definedName>
    <definedName name="BG_Mod" hidden="1">6</definedName>
    <definedName name="Biophysics">#REF!</definedName>
    <definedName name="BMS">#REF!</definedName>
    <definedName name="BS" localSheetId="2">[12]Summary!$AA$11</definedName>
    <definedName name="BS">[13]Summary!$AA$11</definedName>
    <definedName name="Case">#REF!</definedName>
    <definedName name="Category" localSheetId="2">[12]Lists!$D$6:$D$7</definedName>
    <definedName name="Category">[13]Lists!$D$6:$D$7</definedName>
    <definedName name="ChartDataRange">OFFSET(#REF!,0,0,6,COUNTA(#REF!)+1)</definedName>
    <definedName name="ChdTxtColor">#REF!</definedName>
    <definedName name="CIQWBGuid" localSheetId="2" hidden="1">"318ec10c-3006-4daa-b2c5-0a6fe9e8cfeb"</definedName>
    <definedName name="CIQWBGuid" hidden="1">"e4138f80-663c-4d00-ab1e-26be8229df95"</definedName>
    <definedName name="CIQWBInfo" hidden="1">"{ ""CIQVersion"":""9.47.1108.4092"" }"</definedName>
    <definedName name="Circ">#REF!</definedName>
    <definedName name="Client_name">#REF!</definedName>
    <definedName name="ClinicalProjects">#REF!</definedName>
    <definedName name="Co_L">#REF!</definedName>
    <definedName name="Co_S">#REF!</definedName>
    <definedName name="COGS_P">#REF!</definedName>
    <definedName name="COGS_PERCENT">#REF!</definedName>
    <definedName name="COGS_PERCENT_5YR">#REF!</definedName>
    <definedName name="COGS_PERCENT1">#REF!</definedName>
    <definedName name="COGS_PERCENT1_5yR">#REF!</definedName>
    <definedName name="COGSReimb">#REF!</definedName>
    <definedName name="CommExpTypes">#REF!</definedName>
    <definedName name="CommMSTo_US">#REF!</definedName>
    <definedName name="Company">#REF!</definedName>
    <definedName name="Compliance">#REF!</definedName>
    <definedName name="contribution">#REF!</definedName>
    <definedName name="ConversionMethod" localSheetId="2">[12]Lists!$F$20:$F$23</definedName>
    <definedName name="ConversionMethod">[13]Lists!$F$20:$F$23</definedName>
    <definedName name="ConversionRatio" localSheetId="2">[12]Summary!$AA$12</definedName>
    <definedName name="ConversionRatio">[13]Summary!$AA$12</definedName>
    <definedName name="ConversionSharePrice" localSheetId="2">[12]Summary!$W$9</definedName>
    <definedName name="ConversionSharePrice">[13]Summary!$W$9</definedName>
    <definedName name="ConversionSharePrice2" localSheetId="2">[12]Summary!$W$11</definedName>
    <definedName name="ConversionSharePrice2">[13]Summary!$W$11</definedName>
    <definedName name="ConversionSharePrice3" localSheetId="2">[12]Summary!$W$78</definedName>
    <definedName name="ConversionSharePrice3">[13]Summary!$W$78</definedName>
    <definedName name="ConvertColumn" localSheetId="2">[12]Lists!$F$20:$G$23</definedName>
    <definedName name="ConvertColumn">[13]Lists!$F$20:$G$23</definedName>
    <definedName name="CostPlug">#REF!</definedName>
    <definedName name="CSEX">#REF!</definedName>
    <definedName name="CurrentYr">#REF!</definedName>
    <definedName name="Cut_1">#REF!</definedName>
    <definedName name="Cut_2">#REF!</definedName>
    <definedName name="Cut_3">#REF!</definedName>
    <definedName name="Cut_4">#REF!</definedName>
    <definedName name="Cut_5">#REF!</definedName>
    <definedName name="Cut_6">#REF!</definedName>
    <definedName name="Cwvu.ALL." hidden="1">'[14]1. BS'!#REF!,'[14]1. BS'!$A$41:$IV$41</definedName>
    <definedName name="Cwvu.PRT." hidden="1">'[14]1. BS'!$A$30:$IV$30,'[14]1. BS'!#REF!,'[14]1. BS'!$A$37:$IV$38,'[14]1. BS'!$A$41:$IV$41,'[14]1. BS'!#REF!</definedName>
    <definedName name="DA" hidden="1">{#N/A,#N/A,TRUE,"FEA_SUMMARY (2)";"Investors_Financials",#N/A,TRUE,"FEA_Financials";"Investors_Personnel",#N/A,TRUE,"Personnel_Assumptions"}</definedName>
    <definedName name="daasds" hidden="1">{#N/A,#N/A,FALSE,"Aging Summary";#N/A,#N/A,FALSE,"Ratio Analysis";#N/A,#N/A,FALSE,"Test 120 Day Accts";#N/A,#N/A,FALSE,"Tickmarks"}</definedName>
    <definedName name="dafasdfaf" hidden="1">40289.4622106481</definedName>
    <definedName name="data">#REF!</definedName>
    <definedName name="data9198" hidden="1">[15]A91_97!$X$5:$X$1331</definedName>
    <definedName name="Days_AP">#REF!</definedName>
    <definedName name="Days_AR">#REF!</definedName>
    <definedName name="Days_InvFG">#REF!</definedName>
    <definedName name="Days_InvRM">#REF!</definedName>
    <definedName name="Days_InvWIP">#REF!</definedName>
    <definedName name="DCMProjects">#REF!</definedName>
    <definedName name="dddd" hidden="1">{#N/A,#N/A,FALSE,"Aging Summary";#N/A,#N/A,FALSE,"Ratio Analysis";#N/A,#N/A,FALSE,"Test 120 Day Accts";#N/A,#N/A,FALSE,"Tickmarks"}</definedName>
    <definedName name="DealExclAdjs_Comm_GA">#REF!</definedName>
    <definedName name="DealExclAdjs_Comm_RD">#REF!</definedName>
    <definedName name="DealExclAdjs_Comm_SM">#REF!</definedName>
    <definedName name="departments">#REF!</definedName>
    <definedName name="DEPT">#REF!</definedName>
    <definedName name="Dept_Code">#REF!</definedName>
    <definedName name="dept_list">#REF!</definedName>
    <definedName name="Dept_Name">#REF!</definedName>
    <definedName name="DetailedCapShares">'[16]Detailed Cap'!$F$8</definedName>
    <definedName name="DetailedCapTableTotalFullyDilutedShares">#REF!</definedName>
    <definedName name="DetailedCapTableTotalOutstandingShares">#REF!</definedName>
    <definedName name="Dist">#REF!</definedName>
    <definedName name="Dist_COGS">#REF!</definedName>
    <definedName name="Dist_OpExp">#REF!</definedName>
    <definedName name="Dropdown_Function_List">#REF!</definedName>
    <definedName name="DsctRate">#REF!</definedName>
    <definedName name="DsctWtg">#REF!</definedName>
    <definedName name="DsctWtg1">#REF!</definedName>
    <definedName name="DsctWtg2">#REF!</definedName>
    <definedName name="DsctWtg3">#REF!</definedName>
    <definedName name="DsctWtg4">#REF!</definedName>
    <definedName name="DsctWtg5">#REF!</definedName>
    <definedName name="DURATION">#REF!</definedName>
    <definedName name="e" hidden="1">{#N/A,#N/A,FALSE,"Aging Summary";#N/A,#N/A,FALSE,"Ratio Analysis";#N/A,#N/A,FALSE,"Test 120 Day Accts";#N/A,#N/A,FALSE,"Tickmarks"}</definedName>
    <definedName name="EBIT_AllProds">#REF!</definedName>
    <definedName name="EPMWorkbookOptions_1" hidden="1">"j0EAAB|LCAAAAAAABADtvQdgHEmWJSYvbcp7f0r1StfgdKEIgGATJNiQQBDswYjN5pLsHWlHIymrKoHKZVZlXWYWQMztnbz33nvvvffee||997o7nU4n99//P1xmZAFs9s5K2smeIYCqyB8/fnwfPyIe/x7vFmV6mddNUS0/|2h3vPNRmi|n1axYXnz20bo939799KPf4|g3Th5/t6rfTqrq7Zerlpo2Kb23bB69a4rPPpq37erR3btXV1fjq3v"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"jqr64u7ezs3v39/7i|evpPF9k28WyabPlNP/IvjW7|a2PqNc0fXxSLZf5FH2|qU7WdZ0v258s8iv|Mvj6adZm|il9/iJb5NKb7anNF6t1XXBXXzV5/bLOz3OCN83HhNBHR7//s5df/P5PXp68|O7uzu//PX1pd2e8i/8|ffDoYOdg526Tre5OVtO73//9v3f2xfHvTT|en35|/Jx|nmdlk3//8V307PA4Xq3KYpp5NLs1PgZGCMX7WId5xBh0Oh"</definedName>
    <definedName name="EPMWorkbookOptions_3" hidden="1">"biOHqldwe/|nYxm|XLp8UiXzaM5nBTh2ITtKFWr|fVlYVxUpVVfdTW6/zx3cgXm17lUUTe7I1OXyQGaPN37bPssqqLlvDieZCXe9/d4v1nRd20HgLx7zuALJbDBLptK7/dV8viF61zHvnxycmXX7148/hu7MtNMITiJMb3d3bvHex6AGJzwe9|Wc/y|mjn8V35JQq9WZXZ9cu6WuV1e93hGG30PGva13lJ0pnPvsgXE1IykWYhg0UbUBN53xvy9"</definedName>
    <definedName name="EPMWorkbookOptions_4" hidden="1">"5Qg3x9/7|Xxq9MXb769S7|SBnn48OHBDolh740ByN8u8jqrp/Nr1zQlrfZoWZSffQQ2|Cg6On43Mhe3e/fx3ZvG/A0SZXf3R0TpEeXk|PW3nz3/8rs/IorPKWSAd|j/PyKKT5T790GU/8|Lz|O7t1HInn34WbNlJ8dvTj//8tXv8/WN2c7O/sHOzu1t2e7/u22ZIQhxG/3v93nz9Pc/PnnzFXmVP2I5r9mtWg2x3JdfvDz58unp12a5e/fu39/f"</definedName>
    <definedName name="EPMWorkbookOptions_5" hidden="1">"3789y|39v5zllCA9A/D/eT33zVLk|Pnz3x/fHL84O339I9IELtSXL15/|fz3P376nd|fPiLt9SPq9Kjz7bPXb37/vZ3dn7cu1ZCe2fv/vJ75f5Nxe/3mhEh7|uprm7dPH|zuHBw8uL15u/f/dvNmSBIy3osvvW/|P86A3zRtTk5|f7J2P6JKSBWEfqS/f147Rpsoc|//B6r8Z4cye/8/4Jn/9xi5p8dvjl|/OvnaFo4k|NNP7917j6TB/v|7TZw"</definedName>
    <definedName name="EPMWorkbookOptions_6" hidden="1">"SJOS818cv/7/Oct8oPd58|eb3N1/8iC6erX|GuO1HJPEj/a/efHn6/OyLn1dEuYX8HD///3zw|v8eK4Ylp69vwt57Dff|/7tNGC/ABfz27Pc/ef7l/9fZ7ZskBxJIP6KHowcppP|vk|P/Pdro7MWbky9/iOro0/93qyMmR8hwZye//4svX5z|f53lvkGKYEHkDCHvyc9bPR3nk/8/pIj|36OaXr768tnZh2a1319DPfh/t4byqdJNbAff/X|cD7"</definedName>
    <definedName name="EPMWorkbookOptions_7" hidden="1">"95|rz8eZ3cHqaLpCp3fqS7Os1u1WpAd716|ebkq1dE4pPf54eoug7|3626PKIQ29H/vnr99P/rLPeN0eL5z9vsZI8Un/9/nhT/71FEr0||fHn6Q1RBD//frYKYHB2//Yvj3/tH/OY3u1WrAX57c/bFD5Pddnf|381vIEfIbnu0Kjze|f98Pv0bJcjujwjS45B7PyJISJC9HxEkIAivy/1/nSb/7zFcX5wev/7q1enrH6bx2v1/t/EyJBGv/Pd58"</definedName>
    <definedName name="EPMWorkbookOptions_8" hidden="1">"/M2WAsJ8fL01dmXT8/|/xKkfBOyd4tGwdzEGz2|e7xalcU0awmO/Tz41DQnaNVySYjTZ0|zNuOP/Q/fVN2ZfvwqP6/zZv7l8stVvjw6z8omf3w3/JDbnZR5VgPol8vX2WVuWnY/5rbfreq3k6p6S2LaMhlN6/4XYfurGfOwa/jlSsb3/wD7g10Ej0EAAA=="</definedName>
    <definedName name="ErosionMult">#REF!</definedName>
    <definedName name="ev.Calculation" hidden="1">2</definedName>
    <definedName name="ev.Initialized" hidden="1">FALSE</definedName>
    <definedName name="EXHT" hidden="1">15</definedName>
    <definedName name="ExpCategories">#REF!</definedName>
    <definedName name="Exps_OUS">#REF!</definedName>
    <definedName name="ext_exp_data">#REF!</definedName>
    <definedName name="Facilities">1700</definedName>
    <definedName name="facility_accts">#REF!</definedName>
    <definedName name="fda">#REF!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f" hidden="1">{#N/A,#N/A,FALSE,"Aging Summary";#N/A,#N/A,FALSE,"Ratio Analysis";#N/A,#N/A,FALSE,"Test 120 Day Accts";#N/A,#N/A,FALSE,"Tickmarks"}</definedName>
    <definedName name="FDGG" hidden="1">#REF!</definedName>
    <definedName name="FDSO" localSheetId="2">[12]Summary!$W$5</definedName>
    <definedName name="FDSO">[13]Summary!$W$5</definedName>
    <definedName name="fill" hidden="1">[10]K1DB!#REF!</definedName>
    <definedName name="forecast_configuration">#REF!</definedName>
    <definedName name="ForecastStartYear">#REF!</definedName>
    <definedName name="FS" hidden="1">{#N/A,#N/A,FALSE,"Aging Summary";#N/A,#N/A,FALSE,"Ratio Analysis";#N/A,#N/A,FALSE,"Test 120 Day Accts";#N/A,#N/A,FALSE,"Tickmarks"}</definedName>
    <definedName name="FTERate_GA">#REF!</definedName>
    <definedName name="FTERate_MedAff">#REF!</definedName>
    <definedName name="FTERate_Mkg">#REF!</definedName>
    <definedName name="FTERate_RD">#REF!</definedName>
    <definedName name="FTERate_Sales">#REF!</definedName>
    <definedName name="Fullfillment">#REF!</definedName>
    <definedName name="Function_Data_Val_Formula">#REF!</definedName>
    <definedName name="Functions">[17]Inputs!$F$4:$F$22</definedName>
    <definedName name="G" localSheetId="2">{0.1;0;0.382758620689655;0;0;0;0.258620689655172;0;0.258620689655172}</definedName>
    <definedName name="G" localSheetId="3">{0.1;0;0.382758620689655;0;0;0;0.258620689655172;0;0.258620689655172}</definedName>
    <definedName name="G">{0.1;0;0.382758620689655;0;0;0;0.258620689655172;0;0.258620689655172}</definedName>
    <definedName name="GA" hidden="1">#REF!</definedName>
    <definedName name="GA_AltMin">#REF!</definedName>
    <definedName name="GA_FTEs">#REF!</definedName>
    <definedName name="GA_OthDir">#REF!</definedName>
    <definedName name="GAPreL_FTEs">#REF!</definedName>
    <definedName name="GAPreL_OthDir">#REF!</definedName>
    <definedName name="GHDFG" hidden="1">#REF!</definedName>
    <definedName name="GL_Accounts">#REF!</definedName>
    <definedName name="grpLogoEvt">"shpLogo,Rectangle 203"</definedName>
    <definedName name="GtN">#REF!</definedName>
    <definedName name="Guide_to_Excel_version">#REF!</definedName>
    <definedName name="hdct_data">#REF!</definedName>
    <definedName name="HeadersRange">OFFSET(#REF!,0,0,1,COUNTA(#REF!)+1)</definedName>
    <definedName name="HirePercent" localSheetId="2">[12]Summary!$AJ$10</definedName>
    <definedName name="HirePercent">[13]Summary!$AJ$10</definedName>
    <definedName name="hn.ExtDb" hidden="1">FALSE</definedName>
    <definedName name="hn.ModelType" hidden="1">"DEAL"</definedName>
    <definedName name="hn.ModelVersion" hidden="1">1</definedName>
    <definedName name="hn.NoUpload" hidden="1">0</definedName>
    <definedName name="HTML_CodePage" hidden="1">950</definedName>
    <definedName name="HTML_Control" hidden="1">{"'Capital Request Form'!$B$2:$W$228"}</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_AltM_GA">#REF!</definedName>
    <definedName name="I_AltM_RD">#REF!</definedName>
    <definedName name="I_AltM_SM">#REF!</definedName>
    <definedName name="I_CorpOH">#REF!</definedName>
    <definedName name="I_I1">#REF!</definedName>
    <definedName name="I_I10">#REF!</definedName>
    <definedName name="I_I11">#REF!</definedName>
    <definedName name="I_I12">#REF!</definedName>
    <definedName name="I_I13">#REF!</definedName>
    <definedName name="I_I14">#REF!</definedName>
    <definedName name="I_I2">#REF!</definedName>
    <definedName name="I_I3">#REF!</definedName>
    <definedName name="I_I4">#REF!</definedName>
    <definedName name="I_I5">#REF!</definedName>
    <definedName name="I_I6">#REF!</definedName>
    <definedName name="I_I7">#REF!</definedName>
    <definedName name="I_I8">#REF!</definedName>
    <definedName name="I_I9">#REF!</definedName>
    <definedName name="I_P1">#REF!</definedName>
    <definedName name="I_P2">#REF!</definedName>
    <definedName name="I_P3">#REF!</definedName>
    <definedName name="I_P4">#REF!</definedName>
    <definedName name="I_P5">#REF!</definedName>
    <definedName name="I_Taxes">#REF!</definedName>
    <definedName name="I_WC">#REF!</definedName>
    <definedName name="In_I1">#REF!</definedName>
    <definedName name="In_I10">#REF!</definedName>
    <definedName name="In_I11">#REF!</definedName>
    <definedName name="In_I12">#REF!</definedName>
    <definedName name="In_I13">#REF!</definedName>
    <definedName name="In_I14">#REF!</definedName>
    <definedName name="In_I2">#REF!</definedName>
    <definedName name="In_I3">#REF!</definedName>
    <definedName name="In_I4">#REF!</definedName>
    <definedName name="In_I5">#REF!</definedName>
    <definedName name="In_I6">#REF!</definedName>
    <definedName name="In_I7">#REF!</definedName>
    <definedName name="In_I8">#REF!</definedName>
    <definedName name="In_I9">#REF!</definedName>
    <definedName name="Inc_NOLS">#REF!</definedName>
    <definedName name="Inc_RDTaxCredit">#REF!</definedName>
    <definedName name="Ind2Switch">#REF!</definedName>
    <definedName name="Ind3Switch">#REF!</definedName>
    <definedName name="Indications">#REF!</definedName>
    <definedName name="Infl_Genl">#REF!</definedName>
    <definedName name="InflMult_CommExtl">#REF!</definedName>
    <definedName name="InflMult_CommFTE">#REF!</definedName>
    <definedName name="InflMult_PreL">#REF!</definedName>
    <definedName name="info9198" hidden="1">[15]A91_97!$G$1116:$G$1331</definedName>
    <definedName name="int_exp_2018">#REF!</definedName>
    <definedName name="int_exp_data">#REF!</definedName>
    <definedName name="int_exp_dept">#REF!</definedName>
    <definedName name="int_exp_type">#REF!</definedName>
    <definedName name="IntermediateCapShares">'[16]Intermediate cap'!$F$9</definedName>
    <definedName name="IntermediateCapTableTotalFullyDilutedShares">#REF!</definedName>
    <definedName name="IntermediateCapTableTotalOutstandingShares">#REF!</definedName>
    <definedName name="Introduction">#REF!</definedName>
    <definedName name="INV" hidden="1">[18]SALES!#REF!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BV_DIFF_REUT" hidden="1">"c5433"</definedName>
    <definedName name="IQ_EST_BV_SURPRISE_PERCENT_REUT" hidden="1">"c5434"</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SURPRISE_PERCENT_REUT" hidden="1">"c3891"</definedName>
    <definedName name="IQ_EST_FFO_SURPRISE_PERCENT" hidden="1">"c1870"</definedName>
    <definedName name="IQ_EST_FFO_SURPRISE_PERCENT_REUT" hidden="1">"c3891"</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40317.5440046295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39261.4839699074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RB17" hidden="1">"$B$18:$B$80"</definedName>
    <definedName name="IQRC14" hidden="1">"$C$15:$C$1465"</definedName>
    <definedName name="IQRDataG1" hidden="1">#REF!</definedName>
    <definedName name="IQREquityVolatilitiesD39" hidden="1">#REF!</definedName>
    <definedName name="IQREquityVolatilitiesP9" hidden="1">#REF!</definedName>
    <definedName name="IQRG41" hidden="1">"$G$42:$G$1300"</definedName>
    <definedName name="IQRI9" hidden="1">"$I$10:$I$1267"</definedName>
    <definedName name="IQRK9" hidden="1">"$K$10:$K$1268"</definedName>
    <definedName name="IQRP9" hidden="1">"$P$10:$P$2523"</definedName>
    <definedName name="IsColHidden" hidden="1">FALSE</definedName>
    <definedName name="IsLTMColHidden" hidden="1">FALSE</definedName>
    <definedName name="jfkdjs">#REF!</definedName>
    <definedName name="July">#REF!</definedName>
    <definedName name="July_20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arel" hidden="1">{#N/A,#N/A,FALSE,"Aging Summary";#N/A,#N/A,FALSE,"Ratio Analysis";#N/A,#N/A,FALSE,"Test 120 Day Accts";#N/A,#N/A,FALSE,"Tickmarks"}</definedName>
    <definedName name="L_I1">#REF!</definedName>
    <definedName name="L_I10">#REF!</definedName>
    <definedName name="L_I11">#REF!</definedName>
    <definedName name="L_I12">#REF!</definedName>
    <definedName name="L_I13">#REF!</definedName>
    <definedName name="L_I14">#REF!</definedName>
    <definedName name="L_I2">#REF!</definedName>
    <definedName name="L_I3">#REF!</definedName>
    <definedName name="L_I4">#REF!</definedName>
    <definedName name="L_I5">#REF!</definedName>
    <definedName name="L_I6">#REF!</definedName>
    <definedName name="L_I7">#REF!</definedName>
    <definedName name="L_I8">#REF!</definedName>
    <definedName name="L_I9">#REF!</definedName>
    <definedName name="L_OUS">#REF!</definedName>
    <definedName name="L_P1">#REF!</definedName>
    <definedName name="L_P2">#REF!</definedName>
    <definedName name="L_P3">#REF!</definedName>
    <definedName name="L_P4">#REF!</definedName>
    <definedName name="L_P5">#REF!</definedName>
    <definedName name="L_P6">#REF!</definedName>
    <definedName name="LBL" hidden="1">[19]SALES!#REF!</definedName>
    <definedName name="LeaveBalReport">#REF!</definedName>
    <definedName name="Levels" localSheetId="2">[12]Lists!$F$6:$F$15</definedName>
    <definedName name="Levels">[13]Lists!$F$6:$F$15</definedName>
    <definedName name="libin" hidden="1">{#N/A,#N/A,FALSE,"Aging Summary";#N/A,#N/A,FALSE,"Ratio Analysis";#N/A,#N/A,FALSE,"Test 120 Day Accts";#N/A,#N/A,FALSE,"Tickmarks"}</definedName>
    <definedName name="LicenseCOS">0.01</definedName>
    <definedName name="limcount" hidden="1">1</definedName>
    <definedName name="ListOffset" hidden="1">1</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U_Worksheet_1142856_18147">[20]lookuplists!$A$1:$A$10</definedName>
    <definedName name="LU_Worksheet_1142856_18243">[20]lookuplists!$B$1:$B$3</definedName>
    <definedName name="LU_Worksheet_1142856_18259">[20]lookuplists!$C$1:$C$5</definedName>
    <definedName name="LU_Worksheet_931801_17162">#REF!</definedName>
    <definedName name="LU_Worksheet_931801_17164">#REF!</definedName>
    <definedName name="LU_Worksheet_931801_17194">#REF!</definedName>
    <definedName name="LU_Worksheet_931802_JobCode__14">#REF!</definedName>
    <definedName name="MAffPreL_FTEs">#REF!</definedName>
    <definedName name="MAffPreL_OthDir">#REF!</definedName>
    <definedName name="Main_Account_Cache">#REF!</definedName>
    <definedName name="Maintenance">0.15</definedName>
    <definedName name="Maintenance_Fee">#REF!</definedName>
    <definedName name="MAR" hidden="1">'[21]DGP-2002'!#REF!</definedName>
    <definedName name="MedAff_AltMin">#REF!</definedName>
    <definedName name="MedAff_FTEs">#REF!</definedName>
    <definedName name="MedAff_OthDir">#REF!</definedName>
    <definedName name="MGMT1" hidden="1">#N/A</definedName>
    <definedName name="milestone">#REF!</definedName>
    <definedName name="Mkg_AltMin">#REF!</definedName>
    <definedName name="Mkg_FTEs">#REF!</definedName>
    <definedName name="Mkg_OthDir">#REF!</definedName>
    <definedName name="MkgPreL_FTEs">#REF!</definedName>
    <definedName name="MkgPreL_OthDir">#REF!</definedName>
    <definedName name="MktAcc_AltMin">#REF!</definedName>
    <definedName name="MktAcc_FTEs">#REF!</definedName>
    <definedName name="MktAcc_OthDir">#REF!</definedName>
    <definedName name="MktSh">#REF!</definedName>
    <definedName name="MLNK047d2248340f458bb7dab1101717b586" hidden="1">#REF!</definedName>
    <definedName name="MLNK0feac125ed064f4d9b2c1ada48ee38c5" hidden="1">#REF!</definedName>
    <definedName name="MLNK18c9d72963c249b0824cd37b6b79426c" hidden="1">#REF!</definedName>
    <definedName name="MLNK4007fdd6d6e841758c3acf16e00ad8d6" hidden="1">#REF!</definedName>
    <definedName name="MLNKb4ab472282ec43a0873ceabb358b84ea" hidden="1">#REF!</definedName>
    <definedName name="MLNKbefc6e9c2f9a428991de5e7fdd2429bd" hidden="1">#REF!</definedName>
    <definedName name="MLNKdc58c9e4c5d3491b9708059bb97cc5aa" hidden="1">#REF!</definedName>
    <definedName name="MLNKe73abf3987fa4bfdb495f1752a7091a1" hidden="1">#REF!</definedName>
    <definedName name="MLNKf866fed24a7a4c6495d889e76e07a0f7" hidden="1">#REF!</definedName>
    <definedName name="MMMMM" hidden="1">'[9]YTD SALES'!$C$63:$N$63</definedName>
    <definedName name="Mo._1">#REF!</definedName>
    <definedName name="Mo._10">#REF!</definedName>
    <definedName name="Mo._11">#REF!</definedName>
    <definedName name="Mo._12">#REF!</definedName>
    <definedName name="Mo._2">#REF!</definedName>
    <definedName name="Mo._3">#REF!</definedName>
    <definedName name="Mo._4">#REF!</definedName>
    <definedName name="Mo._5">#REF!</definedName>
    <definedName name="Mo._6">#REF!</definedName>
    <definedName name="Mo._7">#REF!</definedName>
    <definedName name="Mo._8">#REF!</definedName>
    <definedName name="Mo._9">#REF!</definedName>
    <definedName name="MoDur">#REF!</definedName>
    <definedName name="MSs_DevReg_OUS">#REF!</definedName>
    <definedName name="MSs_DevReg_OUS_Wgtd">#REF!</definedName>
    <definedName name="MSs_DevReg_US">#REF!</definedName>
    <definedName name="MSs_DevReg_US_Wgtd">#REF!</definedName>
    <definedName name="MUFFIGRAPH" hidden="1">[1]JAN!$B$46:$B$50</definedName>
    <definedName name="n">#REF!</definedName>
    <definedName name="NA">"NA "</definedName>
    <definedName name="new" localSheetId="2">{0.1;0;0.382758620689655;0;0;0;0.258620689655172;0;0.258620689655172}</definedName>
    <definedName name="new" localSheetId="3">{0.1;0;0.382758620689655;0;0;0;0.258620689655172;0;0.258620689655172}</definedName>
    <definedName name="new">{0.1;0;0.382758620689655;0;0;0;0.258620689655172;0;0.258620689655172}</definedName>
    <definedName name="NewHire">8500</definedName>
    <definedName name="NewHireMultiple" localSheetId="2">[12]Summary!$AJ$9</definedName>
    <definedName name="NewHireMultiple">[13]Summary!$AJ$9</definedName>
    <definedName name="NewHireMultiple2" localSheetId="2">[12]Summary!$AJ$74</definedName>
    <definedName name="NewHireMultiple2">[13]Summary!$AJ$74</definedName>
    <definedName name="newnew" hidden="1">#REF!</definedName>
    <definedName name="News" hidden="1">#REF!</definedName>
    <definedName name="NGN" hidden="1">#REF!</definedName>
    <definedName name="NHTPO" localSheetId="2">[12]Summary!$AJ$7</definedName>
    <definedName name="NHTPO">[13]Summary!$AJ$7</definedName>
    <definedName name="NOL_InTimeAllowed">#REF!</definedName>
    <definedName name="NonDeal_FTEExp_GA">#REF!</definedName>
    <definedName name="NonDeal_FTEExp_RD">#REF!</definedName>
    <definedName name="NonDeal_FTEExp_SM">#REF!</definedName>
    <definedName name="NPVEnd">#REF!</definedName>
    <definedName name="NPVEndMult">#REF!</definedName>
    <definedName name="NPVEndMultWC">#REF!</definedName>
    <definedName name="NPVSt">#REF!</definedName>
    <definedName name="ÒÁÂ¡" hidden="1">{#N/A,#N/A,FALSE,"Aging Summary";#N/A,#N/A,FALSE,"Ratio Analysis";#N/A,#N/A,FALSE,"Test 120 Day Accts";#N/A,#N/A,FALSE,"Tickmarks"}</definedName>
    <definedName name="OptionsMix" localSheetId="2">[12]Summary!$AJ$5</definedName>
    <definedName name="OptionsMix">[13]Summary!$AJ$5</definedName>
    <definedName name="OptionsMix2" localSheetId="2">[12]Summary!$AJ$72</definedName>
    <definedName name="OptionsMix2">[13]Summary!$AJ$72</definedName>
    <definedName name="OS_BD_I1">#REF!</definedName>
    <definedName name="OS_BD_I10">#REF!</definedName>
    <definedName name="OS_BD_I2">#REF!</definedName>
    <definedName name="OS_BD_I3">#REF!</definedName>
    <definedName name="OS_BD_I4">#REF!</definedName>
    <definedName name="OS_BD_I5">#REF!</definedName>
    <definedName name="OS_BD_I6">#REF!</definedName>
    <definedName name="OS_BD_I7">#REF!</definedName>
    <definedName name="OS_BD_I8">#REF!</definedName>
    <definedName name="OS_BD_I9">#REF!</definedName>
    <definedName name="OS_BDDevReg">#REF!</definedName>
    <definedName name="OS_BDFinlResp">#REF!</definedName>
    <definedName name="OS_I_Supp">#REF!</definedName>
    <definedName name="OS_I1">#REF!</definedName>
    <definedName name="OS_I10">#REF!</definedName>
    <definedName name="OS_I2">#REF!</definedName>
    <definedName name="OS_I3">#REF!</definedName>
    <definedName name="OS_I4">#REF!</definedName>
    <definedName name="OS_I5">#REF!</definedName>
    <definedName name="OS_I6">#REF!</definedName>
    <definedName name="OS_I7">#REF!</definedName>
    <definedName name="OS_I8">#REF!</definedName>
    <definedName name="OS_I9">#REF!</definedName>
    <definedName name="OS_P_I1">#REF!</definedName>
    <definedName name="OS_P_I10">#REF!</definedName>
    <definedName name="OS_P_I2">#REF!</definedName>
    <definedName name="OS_P_I3">#REF!</definedName>
    <definedName name="OS_P_I4">#REF!</definedName>
    <definedName name="OS_P_I5">#REF!</definedName>
    <definedName name="OS_P_I6">#REF!</definedName>
    <definedName name="OS_P_I7">#REF!</definedName>
    <definedName name="OS_P_I8">#REF!</definedName>
    <definedName name="OS_P_I9">#REF!</definedName>
    <definedName name="OS_P_Supp">#REF!</definedName>
    <definedName name="OSChart">#REF!</definedName>
    <definedName name="P1_I1">#REF!</definedName>
    <definedName name="P1_I10">#REF!</definedName>
    <definedName name="P1_I2">#REF!</definedName>
    <definedName name="P1_I3">#REF!</definedName>
    <definedName name="P1_I4">#REF!</definedName>
    <definedName name="P1_I5">#REF!</definedName>
    <definedName name="P1_I6">#REF!</definedName>
    <definedName name="P1_I7">#REF!</definedName>
    <definedName name="P1_I8">#REF!</definedName>
    <definedName name="P1_I9">#REF!</definedName>
    <definedName name="P2_I1">#REF!</definedName>
    <definedName name="P2_I10">#REF!</definedName>
    <definedName name="P2_I2">#REF!</definedName>
    <definedName name="P2_I3">#REF!</definedName>
    <definedName name="P2_I4">#REF!</definedName>
    <definedName name="P2_I5">#REF!</definedName>
    <definedName name="P2_I6">#REF!</definedName>
    <definedName name="P2_I7">#REF!</definedName>
    <definedName name="P2_I8">#REF!</definedName>
    <definedName name="P2_I9">#REF!</definedName>
    <definedName name="Period_end">#REF!</definedName>
    <definedName name="PERSONNEL">#REF!</definedName>
    <definedName name="PhIVOth_AltMin">#REF!</definedName>
    <definedName name="PhIVOth_FTEs">#REF!</definedName>
    <definedName name="PhIVOth_OthDir">#REF!</definedName>
    <definedName name="PhIVOthPreL_OthDir">#REF!</definedName>
    <definedName name="POS_YE_OUS">#REF!</definedName>
    <definedName name="POS_YE_US">#REF!</definedName>
    <definedName name="Posting_Type">#REF!</definedName>
    <definedName name="PostingType">#REF!</definedName>
    <definedName name="PRBenefits">250</definedName>
    <definedName name="PreDeal">#REF!</definedName>
    <definedName name="print">#REF!</definedName>
    <definedName name="_xlnm.Print_Area" localSheetId="0">'WFP Details - 2026'!$A$1:$L$1</definedName>
    <definedName name="_xlnm.Print_Area" localSheetId="1">'WFP Details - Beyond 2026'!$A$1:$L$1</definedName>
    <definedName name="_xlnm.Print_Area">#REF!</definedName>
    <definedName name="_xlnm.Print_Titles" localSheetId="0">'WFP Details - 2026'!$1:$1</definedName>
    <definedName name="_xlnm.Print_Titles" localSheetId="1">'WFP Details - Beyond 2026'!$1:$1</definedName>
    <definedName name="_xlnm.Print_Titles">#REF!</definedName>
    <definedName name="PriorYr">#REF!</definedName>
    <definedName name="Private" localSheetId="2">[12]Summary!$AJ$11</definedName>
    <definedName name="Private">[13]Summary!$AJ$11</definedName>
    <definedName name="Professional_Fees">#REF!</definedName>
    <definedName name="ProfitShare">#REF!</definedName>
    <definedName name="proj_list">#REF!</definedName>
    <definedName name="project_mapping">#REF!</definedName>
    <definedName name="project_weight">#REF!</definedName>
    <definedName name="Projects">#REF!</definedName>
    <definedName name="prolinks_029aca22c8aa4da0a2c17c02f43f5a04" hidden="1">'[22]Financial Statement'!$D$7:$T$79</definedName>
    <definedName name="prolinks_0eed8120686a4f78bd6be750b11ace7d" hidden="1">'[22]Financial Statement'!$D$7:$T$79</definedName>
    <definedName name="prolinks_1c53ca9bc9fc4b2bade52905a1ec2268" hidden="1">'[22]Financial Statement'!$D$29:$T$87</definedName>
    <definedName name="prolinks_1ea244c45f784a1c9add71a8c1affa70" hidden="1">#REF!</definedName>
    <definedName name="prolinks_23d7f651a65946fda5026ea18b3f7013" hidden="1">'[22]Financial Statement'!$D$29:$T$87</definedName>
    <definedName name="prolinks_26755a8e28db4cafb6c9f93f912b884c" hidden="1">#REF!</definedName>
    <definedName name="prolinks_2be6cd095bbf45aa9ce9079f4ae8e4f6" hidden="1">#REF!</definedName>
    <definedName name="prolinks_3035c6e133e94347a7b702f733b9e824" hidden="1">'[22]Financial Statement'!$D$7:$T$79</definedName>
    <definedName name="prolinks_4f99ea1c0b92498187b63c0cbdf43cde" hidden="1">'[22]Financial Statement'!$D$7:$T$27</definedName>
    <definedName name="prolinks_5c338ed7b6294b429a52b375b0292ba3" hidden="1">'[22]Financial Statement'!$D$29:$T$87</definedName>
    <definedName name="prolinks_61545042151c40de91759cccfd29fcc5" hidden="1">'[22]Financial Statement'!$D$29:$T$87</definedName>
    <definedName name="prolinks_6a1f70d0432f49968b64a792c986e510" hidden="1">'[22]Financial Statement'!$D$29:$T$87</definedName>
    <definedName name="prolinks_6fe92be9244845d39b2def842158dcdd" hidden="1">'[22]Financial Statement'!$D$29:$T$87</definedName>
    <definedName name="prolinks_8393697142bb47f3be5ea3c91b9ede94" hidden="1">'[22]Financial Statement'!$D$7:$T$79</definedName>
    <definedName name="prolinks_83ca3249f9df4549a77143536612a20c" hidden="1">'[22]Financial Statement'!$D$7:$T$79</definedName>
    <definedName name="prolinks_88dd96ccc8284ef194f6768fe114f9f0" hidden="1">'[22]Financial Statement'!$D$7:$T$79</definedName>
    <definedName name="prolinks_8a665b600d6f467a9d5a576f7c19d9ab" hidden="1">'[22]Financial Statement'!$D$7:$T$79</definedName>
    <definedName name="prolinks_92f330ab74154ea4a74c4eb498b981dd" hidden="1">#REF!</definedName>
    <definedName name="prolinks_93316616beeb427c9e30c44f22033fb1" hidden="1">'[22]Financial Statement'!$D$62:$T$79</definedName>
    <definedName name="prolinks_95944f5428aa4fea8470ad5de982a586" hidden="1">'[22]Financial Statement'!$D$7:$T$79</definedName>
    <definedName name="prolinks_9985780e4d1643dbb516e2cd41be2348" hidden="1">'[22]Financial Statement'!$D$62:$T$79</definedName>
    <definedName name="prolinks_9cdab8a8b0cd4271827c0642391fbae5" hidden="1">#REF!</definedName>
    <definedName name="prolinks_bec4a2d89e4e4dc7a59732ef2f7e2bdd" hidden="1">'[22]Financial Statement'!$D$29:$T$87</definedName>
    <definedName name="prolinks_c1112e8b6d254ac98610db5297d36438" hidden="1">'[22]Financial Statement'!$D$7:$T$79</definedName>
    <definedName name="prolinks_c2acd37127894a1c983480040fe2a511" hidden="1">#REF!</definedName>
    <definedName name="prolinks_c345c5c7dece4bb6bf0ff7d7dfb3837d" hidden="1">'[22]Financial Statement'!$D$29:$T$87</definedName>
    <definedName name="prolinks_d51a869dfbda47cf8ef1ef34446b2597" hidden="1">'[22]Financial Statement'!$D$29:$T$87</definedName>
    <definedName name="prolinks_d68f3f32027343bc82662c3b33838323" hidden="1">'[22]Financial Statement'!$D$29:$T$87</definedName>
    <definedName name="prolinks_eb628b41ca1f4ce2b3c4e4f8238ab496" hidden="1">'[22]Financial Statement'!$D$7:$T$77</definedName>
    <definedName name="prolinks_efb444e4746a46569f67098b8c8818b9" hidden="1">'[22]Financial Statement'!$D$29:$T$87</definedName>
    <definedName name="prolinks_f036253faa9e4817b3595b8552aa87a8" hidden="1">'[22]Financial Statement'!$D$29:$T$87</definedName>
    <definedName name="prolinks_f81b2f23417d4632817b47b7edf78c83" hidden="1">'[22]Financial Statement'!$D$7:$T$79</definedName>
    <definedName name="PRtaxes">0.155</definedName>
    <definedName name="PUB_UserID" hidden="1">"MAYERX"</definedName>
    <definedName name="Public" localSheetId="2">[12]Summary!$AJ$12</definedName>
    <definedName name="Public">[13]Summary!$AJ$12</definedName>
    <definedName name="q" hidden="1">'[14]1. BS'!#REF!,'[14]1. BS'!$O$1:$R$65536</definedName>
    <definedName name="Q_Ct">#REF!</definedName>
    <definedName name="Q_Q">#REF!</definedName>
    <definedName name="Q_Yr">#REF!</definedName>
    <definedName name="QCt_Ch">#REF!</definedName>
    <definedName name="Qtr">#REF!</definedName>
    <definedName name="QtrCt">#REF!</definedName>
    <definedName name="Qtrs">#REF!</definedName>
    <definedName name="QtrYr">#REF!</definedName>
    <definedName name="Ramp">#REF!</definedName>
    <definedName name="RampChoice">#REF!</definedName>
    <definedName name="RampChoiceOUS">#REF!</definedName>
    <definedName name="RampEnd">#REF!</definedName>
    <definedName name="RampRef">#REF!</definedName>
    <definedName name="RampSh">#REF!</definedName>
    <definedName name="RD_COMP_ALLOC">#REF!</definedName>
    <definedName name="RD_COMP_ALLOC_LOOKUP">#REF!</definedName>
    <definedName name="RD_COMP_ALLOC_PRGM">#REF!</definedName>
    <definedName name="RDAll">#REF!</definedName>
    <definedName name="ReadyforHire">[17]Inputs!$D$4:$D$8</definedName>
    <definedName name="Recruiter">[17]Inputs!$H$4:$H$11</definedName>
    <definedName name="RefreshTPO" localSheetId="2">[12]Summary!$AJ$8</definedName>
    <definedName name="RefreshTPO">[13]Summary!$AJ$8</definedName>
    <definedName name="Release_VersionNumber">3</definedName>
    <definedName name="Rev_M1">#REF!</definedName>
    <definedName name="Rev_M2">#REF!</definedName>
    <definedName name="Revenue_type">#REF!</definedName>
    <definedName name="Revs_OUS">#REF!</definedName>
    <definedName name="RevsBD_OUS">#REF!</definedName>
    <definedName name="RevsBD_US">#REF!</definedName>
    <definedName name="rngTimePeriodMonth">#REF!</definedName>
    <definedName name="rngTimePeriodMonthIntegral">#REF!</definedName>
    <definedName name="rngTimePeriodMonthNew">#REF!</definedName>
    <definedName name="rngTimePeriodQuarter">#REF!</definedName>
    <definedName name="rngTimePeriodQuarterIntegral">#REF!</definedName>
    <definedName name="rngTimePeriodQuarterNew">#REF!</definedName>
    <definedName name="rngTimePeriodYear">#REF!</definedName>
    <definedName name="rngTimePeriodYearIntegral">#REF!</definedName>
    <definedName name="rngTimePeriodYearNew">#REF!</definedName>
    <definedName name="RoysFrom_US">#REF!</definedName>
    <definedName name="RoysTo_OUS">#REF!</definedName>
    <definedName name="RoysTo_US">#REF!</definedName>
    <definedName name="Rwvu.PRT." hidden="1">'[14]1. BS'!#REF!,'[14]1. BS'!$O$1:$R$65536</definedName>
    <definedName name="s" hidden="1">{#N/A,#N/A,FALSE,"Aging Summary";#N/A,#N/A,FALSE,"Ratio Analysis";#N/A,#N/A,FALSE,"Test 120 Day Accts";#N/A,#N/A,FALSE,"Tickmarks"}</definedName>
    <definedName name="Salary_Grade">#REF!</definedName>
    <definedName name="Sales_AltMin">#REF!</definedName>
    <definedName name="Sales_FTEs">#REF!</definedName>
    <definedName name="sales_hdct">#REF!</definedName>
    <definedName name="Sales_OthDir">#REF!</definedName>
    <definedName name="SalesPreL_FTEs">#REF!</definedName>
    <definedName name="SalesPreL_OthDir">#REF!</definedName>
    <definedName name="SAPBEXrevision" hidden="1">16</definedName>
    <definedName name="SAPBEXsysID" hidden="1">"BPR"</definedName>
    <definedName name="SAPBEXwbID" hidden="1">"E4P13YOEUT1R8OJ2QUUKBC97G"</definedName>
    <definedName name="sasa" hidden="1">{#N/A,#N/A,FALSE,"Aging Summary";#N/A,#N/A,FALSE,"Ratio Analysis";#N/A,#N/A,FALSE,"Test 120 Day Accts";#N/A,#N/A,FALSE,"Tickmarks"}</definedName>
    <definedName name="SAVR_TAVR">#REF!</definedName>
    <definedName name="scale">#REF!</definedName>
    <definedName name="ScenRev_1">#REF!</definedName>
    <definedName name="ScenRev_2">#REF!</definedName>
    <definedName name="ScenRev_3">#REF!</definedName>
    <definedName name="ScenRev_4">#REF!</definedName>
    <definedName name="ScenRev_5">#REF!</definedName>
    <definedName name="ScenRev_6">#REF!</definedName>
    <definedName name="ScenRev_I1">#REF!</definedName>
    <definedName name="ScenRev_I10">#REF!</definedName>
    <definedName name="ScenRev_I2">#REF!</definedName>
    <definedName name="ScenRev_I3">#REF!</definedName>
    <definedName name="ScenRev_I4">#REF!</definedName>
    <definedName name="ScenRev_I5">#REF!</definedName>
    <definedName name="ScenRev_I6">#REF!</definedName>
    <definedName name="ScenRev_I7">#REF!</definedName>
    <definedName name="ScenRev_I8">#REF!</definedName>
    <definedName name="ScenRev_I9">#REF!</definedName>
    <definedName name="ScenRev_P1">#REF!</definedName>
    <definedName name="ScenRev_P2">#REF!</definedName>
    <definedName name="SDAS" hidden="1">'[23]5-F-PAR'!$B$46:$B$50</definedName>
    <definedName name="sencount" hidden="1">1</definedName>
    <definedName name="SharesAvailable" localSheetId="2">[12]Summary!$W$6</definedName>
    <definedName name="SharesAvailable">[13]Summary!$W$6</definedName>
    <definedName name="SharesAvailable2" localSheetId="2">[12]Summary!$W$75</definedName>
    <definedName name="SharesAvailable2">[13]Summary!$W$75</definedName>
    <definedName name="ShareTypes">#REF!</definedName>
    <definedName name="SizingColumn">#REF!</definedName>
    <definedName name="Software_Licenses">#REF!</definedName>
    <definedName name="solver_adj" hidden="1">'[14]1. BS'!#REF!</definedName>
    <definedName name="solver_num" hidden="1">1</definedName>
    <definedName name="solver_oldobj" hidden="1">1543721.6579517</definedName>
    <definedName name="solver_rel1" hidden="1">2</definedName>
    <definedName name="solver_rhs1" hidden="1">1542801</definedName>
    <definedName name="solver_tmp" hidden="1">1542801</definedName>
    <definedName name="solver_typ" hidden="1">3</definedName>
    <definedName name="solver_val" hidden="1">1542801</definedName>
    <definedName name="sort">#REF!</definedName>
    <definedName name="ss" hidden="1">{#N/A,#N/A,FALSE,"Aging Summary";#N/A,#N/A,FALSE,"Ratio Analysis";#N/A,#N/A,FALSE,"Test 120 Day Accts";#N/A,#N/A,FALSE,"Tickmarks"}</definedName>
    <definedName name="sss" hidden="1">{#N/A,#N/A,FALSE,"Aging Summary";#N/A,#N/A,FALSE,"Ratio Analysis";#N/A,#N/A,FALSE,"Test 120 Day Accts";#N/A,#N/A,FALSE,"Tickmarks"}</definedName>
    <definedName name="SSSS" hidden="1">'[9]YTD SALES'!$C$63:$N$63</definedName>
    <definedName name="Stages">#REF!</definedName>
    <definedName name="StYr">#REF!</definedName>
    <definedName name="SummaryByJobTitleFullyDilutedShares">'[16]Summary by Job Title'!$D$15</definedName>
    <definedName name="SummaryByJobTitleFullyDilutedSharesWithDrafts">'[16]Summary by Job Title'!$G$15</definedName>
    <definedName name="SummaryCapTableFullyDilutedShares" localSheetId="2">'[16]Summary cap table'!$D$14</definedName>
    <definedName name="SummaryCapTableFullyDilutedShares">#REF!</definedName>
    <definedName name="SummaryCapTableFullyDilutedSharesWithDrafts">'[16]Summary cap table'!$G$14</definedName>
    <definedName name="SVP_COA_Categories">#REF!</definedName>
    <definedName name="SWS" hidden="1">[1]JAN!$D$46:$D$50</definedName>
    <definedName name="sx" hidden="1">{#N/A,#N/A,FALSE,"Aging Summary";#N/A,#N/A,FALSE,"Ratio Analysis";#N/A,#N/A,FALSE,"Test 120 Day Accts";#N/A,#N/A,FALSE,"Tickmarks"}</definedName>
    <definedName name="Taco">#REF!</definedName>
    <definedName name="Taxes">#REF!</definedName>
    <definedName name="TaxesforCorpOHAlloc">#REF!</definedName>
    <definedName name="TaxesforProdAlloc">#REF!</definedName>
    <definedName name="TaxRate">#REF!</definedName>
    <definedName name="tdd_scen">#REF!</definedName>
    <definedName name="TerVal">#REF!</definedName>
    <definedName name="TextRefCopyRangeCount" hidden="1">1</definedName>
    <definedName name="tm" hidden="1">{#N/A,#N/A,FALSE,"Aging Summary";#N/A,#N/A,FALSE,"Ratio Analysis";#N/A,#N/A,FALSE,"Test 120 Day Accts";#N/A,#N/A,FALSE,"Tickmarks"}</definedName>
    <definedName name="Track" localSheetId="2">[12]Lists!$B$6:$B$7</definedName>
    <definedName name="Track">[13]Lists!$B$6:$B$7</definedName>
    <definedName name="TransactionDates">#REF!</definedName>
    <definedName name="TRATE">#REF!</definedName>
    <definedName name="tretewew" hidden="1">{#N/A,#N/A,FALSE,"Aging Summary";#N/A,#N/A,FALSE,"Ratio Analysis";#N/A,#N/A,FALSE,"Test 120 Day Accts";#N/A,#N/A,FALSE,"Tickmarks"}</definedName>
    <definedName name="TVGR">#REF!</definedName>
    <definedName name="Upfront">#REF!</definedName>
    <definedName name="Upfront_Wgtd">#REF!</definedName>
    <definedName name="V" hidden="1">#REF!</definedName>
    <definedName name="Valuations" localSheetId="2">[12]Lists!$N$6:$N$8</definedName>
    <definedName name="Valuations">[13]Lists!$N$6:$N$8</definedName>
    <definedName name="Vendor_Cache">#REF!</definedName>
    <definedName name="Vendor_Invoice_Journal_Cache">#REF!</definedName>
    <definedName name="vials_configuration">#REF!</definedName>
    <definedName name="w"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ACC">#REF!</definedName>
    <definedName name="WACPricing">#REF!</definedName>
    <definedName name="Walter_" hidden="1">{#N/A,#N/A,FALSE,"Aging Summary";#N/A,#N/A,FALSE,"Ratio Analysis";#N/A,#N/A,FALSE,"Test 120 Day Accts";#N/A,#N/A,FALSE,"Tickmarks"}</definedName>
    <definedName name="Waves">[17]Inputs!$B$4:$B$9</definedName>
    <definedName name="wefd" hidden="1">#REF!</definedName>
    <definedName name="WEWE" hidden="1">#N/A</definedName>
    <definedName name="wrn.Aging._.and._.Trend._.Analysis." hidden="1">{#N/A,#N/A,FALSE,"Aging Summary";#N/A,#N/A,FALSE,"Ratio Analysis";#N/A,#N/A,FALSE,"Test 120 Day Accts";#N/A,#N/A,FALSE,"Tickmarks"}</definedName>
    <definedName name="wrn.Detail99.">{"DetailBS99",#N/A,FALSE,"Balance Sheet";"DetailCF99",#N/A,FALSE,"Cash Flow";"DetailIS99",#N/A,FALSE,"P &amp; L";#N/A,#N/A,FALSE,"Graphs"}</definedName>
    <definedName name="wrn.Everything." hidden="1">{"Summary_Financials",#N/A,TRUE,"FEA_SUMMARY";"Summary_Charts",#N/A,TRUE,"FEA_SUMMARY";"Assumptions_Buildings",#N/A,TRUE,"Assumptions";"Assumptions_Charts",#N/A,TRUE,"Assumptions"}</definedName>
    <definedName name="wrn.FINANCIALS99_01.">{"IS99-01",#N/A,FALSE,"P &amp; L";"CF99-01",#N/A,FALSE,"Cash Flow";"BS99-01",#N/A,FALSE,"Balance Sheet"}</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Investors." hidden="1">{#N/A,#N/A,TRUE,"FEA_SUMMARY (2)";"Investors_Financials",#N/A,TRUE,"FEA_Financials";"Investors_Personnel",#N/A,TRUE,"Personnel_Assumptions"}</definedName>
    <definedName name="wrn.sunmicro." hidden="1">{#N/A,#N/A,FALSE,"FREEMAN";#N/A,#N/A,FALSE,"STEPHEN";#N/A,#N/A,FALSE,"VICTOR"}</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XREF_COLUMN_1" hidden="1">#REF!</definedName>
    <definedName name="XREF_COLUMN_15" hidden="1">[24]Consolidated!#REF!</definedName>
    <definedName name="XREF_COLUMN_2" hidden="1">#REF!</definedName>
    <definedName name="XREF_COLUMN_3" hidden="1">#REF!</definedName>
    <definedName name="XREF_COLUMN_7" hidden="1">#REF!</definedName>
    <definedName name="XRefActiveRow" hidden="1">#REF!</definedName>
    <definedName name="XRefColumnsCount" hidden="1">6</definedName>
    <definedName name="XRefCopy1" hidden="1">#REF!</definedName>
    <definedName name="XRefCopy15" hidden="1">#REF!</definedName>
    <definedName name="XRefCopy16"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[25]XREF!#REF!</definedName>
    <definedName name="XRefCopyRangeCount" hidden="1">2</definedName>
    <definedName name="XRefPaste1" hidden="1">#REF!</definedName>
    <definedName name="XRefPaste10" hidden="1">#REF!</definedName>
    <definedName name="XRefPaste11" hidden="1">#REF!</definedName>
    <definedName name="XRefPaste110Row" hidden="1">[25]XREF!#REF!</definedName>
    <definedName name="XRefPaste111Row" hidden="1">[25]XREF!#REF!</definedName>
    <definedName name="XRefPaste112Row" hidden="1">[25]XREF!#REF!</definedName>
    <definedName name="XRefPaste113Row" hidden="1">[25]XREF!#REF!</definedName>
    <definedName name="XRefPaste11Row" hidden="1">#REF!</definedName>
    <definedName name="XRefPaste12" hidden="1">#REF!</definedName>
    <definedName name="XRefPaste120Row" hidden="1">[25]XREF!#REF!</definedName>
    <definedName name="XRefPaste121Row" hidden="1">[25]XREF!#REF!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9Row" hidden="1">#REF!</definedName>
    <definedName name="XRefPaste2Row" hidden="1">#REF!</definedName>
    <definedName name="XRefPaste3" hidden="1">#REF!</definedName>
    <definedName name="XRefPaste30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30</definedName>
    <definedName name="yes_no">#REF!</definedName>
    <definedName name="YOM_Ind">#REF!</definedName>
    <definedName name="Yr">#REF!</definedName>
    <definedName name="Yr_StQ">#REF!</definedName>
    <definedName name="YrNext_StQ">#REF!</definedName>
    <definedName name="YrSt">#REF!</definedName>
    <definedName name="ytyi" hidden="1">{#N/A,#N/A,FALSE,"Aging Summary";#N/A,#N/A,FALSE,"Ratio Analysis";#N/A,#N/A,FALSE,"Test 120 Day Accts";#N/A,#N/A,FALSE,"Tickmarks"}</definedName>
    <definedName name="yy" hidden="1">{#N/A,#N/A,FALSE,"Aging Summary";#N/A,#N/A,FALSE,"Ratio Analysis";#N/A,#N/A,FALSE,"Test 120 Day Accts";#N/A,#N/A,FALSE,"Tickmarks"}</definedName>
    <definedName name="Z_151C847C_F869_11D1_B680_00A02416AF98_.wvu.Cols" hidden="1">#REF!</definedName>
    <definedName name="Z_151C847C_F869_11D1_B680_00A02416AF98_.wvu.PrintTitles" hidden="1">'[26]19-PERF'!$B$1:$B$65536,'[26]19-PERF'!$A$1:$IV$4</definedName>
    <definedName name="Z_CDAC0388_F399_4247_B713_02CC89E7C46F_.wvu.PrintTitles" hidden="1">#REF!</definedName>
    <definedName name="ZS_Version">#N/A</definedName>
    <definedName name="ZS_VersionDateString">"Created: December 2007"</definedName>
    <definedName name="ZS_VersionNumber">8</definedName>
    <definedName name="伊隆n." hidden="1">{#N/A,#N/A,FALSE,"Aging Summary";#N/A,#N/A,FALSE,"Ratio Analysis";#N/A,#N/A,FALSE,"Test 120 Day Accts";#N/A,#N/A,FALSE,"Tickmarks"}</definedName>
    <definedName name="区域0.5367755" hidden="1">#REF!</definedName>
    <definedName name="区域0.5367755_区域" hidden="1">#REF!</definedName>
    <definedName name="区域0.9090828" hidden="1">#REF!</definedName>
    <definedName name="区域0.9090828_区域" hidden="1">#REF!</definedName>
    <definedName name="虞秀芬" hidden="1">{#N/A,#N/A,FALSE,"Aging Summary";#N/A,#N/A,FALSE,"Ratio Analysis";#N/A,#N/A,FALSE,"Test 120 Day Accts";#N/A,#N/A,FALSE,"Tickmarks"}</definedName>
    <definedName name="谢平" hidden="1">{#N/A,#N/A,FALSE,"Aging Summary";#N/A,#N/A,FALSE,"Ratio Analysis";#N/A,#N/A,FALSE,"Test 120 Day Accts";#N/A,#N/A,FALSE,"Tickmarks"}</definedName>
  </definedNames>
  <calcPr calcId="191028"/>
  <pivotCaches>
    <pivotCache cacheId="0"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9" i="13" l="1"/>
  <c r="AA38" i="13"/>
  <c r="AA37" i="13"/>
  <c r="AA36" i="13"/>
  <c r="AA35" i="13"/>
  <c r="AA34" i="13"/>
  <c r="AA33" i="13"/>
  <c r="AA32" i="13"/>
  <c r="AA31" i="13"/>
  <c r="AA40" i="13" s="1"/>
  <c r="AA18" i="13"/>
  <c r="AA17" i="13"/>
  <c r="AA16" i="13"/>
  <c r="AA15" i="13"/>
  <c r="AA14" i="13"/>
  <c r="AA13" i="13"/>
  <c r="AA12" i="13"/>
  <c r="AA11" i="13"/>
  <c r="AA19" i="13"/>
  <c r="AA10" i="13"/>
  <c r="Y40" i="13"/>
  <c r="X40" i="13"/>
  <c r="W40" i="13"/>
  <c r="V40" i="13"/>
  <c r="U40" i="13"/>
  <c r="T40" i="13"/>
  <c r="S40" i="13"/>
  <c r="R40" i="13"/>
  <c r="Q40" i="13"/>
  <c r="P40" i="13"/>
  <c r="Z39" i="13"/>
  <c r="Z38" i="13"/>
  <c r="Z37" i="13"/>
  <c r="Z36" i="13"/>
  <c r="Z35" i="13"/>
  <c r="Z34" i="13"/>
  <c r="Z33" i="13"/>
  <c r="Z32" i="13"/>
  <c r="Z31" i="13"/>
  <c r="Z18" i="13"/>
  <c r="Z17" i="13"/>
  <c r="Z16" i="13"/>
  <c r="Z15" i="13"/>
  <c r="Z14" i="13"/>
  <c r="Z13" i="13"/>
  <c r="Z12" i="13"/>
  <c r="Z11" i="13"/>
  <c r="Z10" i="13"/>
  <c r="Y19" i="13"/>
  <c r="X19" i="13"/>
  <c r="W19" i="13"/>
  <c r="V19" i="13"/>
  <c r="U19" i="13"/>
  <c r="T19" i="13"/>
  <c r="S19" i="13"/>
  <c r="R19" i="13"/>
  <c r="P19" i="13"/>
  <c r="Q19" i="13"/>
  <c r="AA223" i="1"/>
  <c r="AC223" i="1"/>
  <c r="AF249" i="1"/>
  <c r="AE249" i="1"/>
  <c r="AD249" i="1"/>
  <c r="AC249" i="1"/>
  <c r="AA249" i="1"/>
  <c r="AF246" i="1"/>
  <c r="AE246" i="1"/>
  <c r="AD246" i="1"/>
  <c r="AC246" i="1"/>
  <c r="AA246" i="1"/>
  <c r="AF245" i="1"/>
  <c r="AE245" i="1"/>
  <c r="AD245" i="1"/>
  <c r="AC245" i="1"/>
  <c r="AA245" i="1"/>
  <c r="R131" i="4"/>
  <c r="R130" i="4"/>
  <c r="R129" i="4"/>
  <c r="R128" i="4"/>
  <c r="R127" i="4"/>
  <c r="R126" i="4"/>
  <c r="R124" i="4"/>
  <c r="R123" i="4"/>
  <c r="N132" i="4"/>
  <c r="T52" i="8"/>
  <c r="T51" i="8"/>
  <c r="S54" i="8"/>
  <c r="R54" i="8"/>
  <c r="S53" i="8"/>
  <c r="R53" i="8"/>
  <c r="O60" i="8"/>
  <c r="N60" i="8"/>
  <c r="Z40" i="13" l="1"/>
  <c r="Z19" i="13"/>
  <c r="S55" i="8"/>
  <c r="T54" i="8"/>
  <c r="T53" i="8"/>
  <c r="R55" i="8"/>
  <c r="T55" i="8" s="1"/>
  <c r="S130" i="4"/>
  <c r="Q132" i="4"/>
  <c r="P132" i="4"/>
  <c r="O132" i="4"/>
  <c r="M132" i="4"/>
  <c r="R132" i="4"/>
  <c r="S21" i="8"/>
  <c r="AF152" i="1"/>
  <c r="AE152" i="1"/>
  <c r="AD152" i="1"/>
  <c r="AC152" i="1"/>
  <c r="AA152" i="1"/>
  <c r="N21" i="8"/>
  <c r="O21" i="8"/>
  <c r="P21" i="8"/>
  <c r="Q21" i="8"/>
  <c r="R21" i="8"/>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G466" i="12"/>
  <c r="G465" i="12"/>
  <c r="G464" i="12"/>
  <c r="G463" i="12"/>
  <c r="G462" i="12"/>
  <c r="G461" i="12"/>
  <c r="G460" i="12"/>
  <c r="G459" i="12"/>
  <c r="G458" i="12"/>
  <c r="G457" i="12"/>
  <c r="G456" i="12"/>
  <c r="G455" i="12"/>
  <c r="G454" i="12"/>
  <c r="G453" i="12"/>
  <c r="G452" i="12"/>
  <c r="G451" i="12"/>
  <c r="G450" i="12"/>
  <c r="G449" i="12"/>
  <c r="G448" i="12"/>
  <c r="G447" i="12"/>
  <c r="G446" i="12"/>
  <c r="G445" i="12"/>
  <c r="G444" i="12"/>
  <c r="G443" i="12"/>
  <c r="G442" i="12"/>
  <c r="G441" i="12"/>
  <c r="G440" i="12"/>
  <c r="G439" i="12"/>
  <c r="G438" i="12"/>
  <c r="G437" i="12"/>
  <c r="G436" i="12"/>
  <c r="G435" i="12"/>
  <c r="G434" i="12"/>
  <c r="G433" i="12"/>
  <c r="G432" i="12"/>
  <c r="G431" i="12"/>
  <c r="G430" i="12"/>
  <c r="G429" i="12"/>
  <c r="G428" i="12"/>
  <c r="G427" i="12"/>
  <c r="G426" i="12"/>
  <c r="G425" i="12"/>
  <c r="G424" i="12"/>
  <c r="G423" i="12"/>
  <c r="G422" i="12"/>
  <c r="G421" i="12"/>
  <c r="G420" i="12"/>
  <c r="G419" i="12"/>
  <c r="G418" i="12"/>
  <c r="G417" i="12"/>
  <c r="G416" i="12"/>
  <c r="G415" i="12"/>
  <c r="G414" i="12"/>
  <c r="G413" i="12"/>
  <c r="G412" i="12"/>
  <c r="G411" i="12"/>
  <c r="G410" i="12"/>
  <c r="G409" i="12"/>
  <c r="G408" i="12"/>
  <c r="G407" i="12"/>
  <c r="G406" i="12"/>
  <c r="G405" i="12"/>
  <c r="G404" i="12"/>
  <c r="G403" i="12"/>
  <c r="G402" i="12"/>
  <c r="G401" i="12"/>
  <c r="G400" i="12"/>
  <c r="G399" i="12"/>
  <c r="G398" i="12"/>
  <c r="G397" i="12"/>
  <c r="G396" i="12"/>
  <c r="G395" i="12"/>
  <c r="G394" i="12"/>
  <c r="G393" i="12"/>
  <c r="G392" i="12"/>
  <c r="G391" i="12"/>
  <c r="G390" i="12"/>
  <c r="G389" i="12"/>
  <c r="G388" i="12"/>
  <c r="G387" i="12"/>
  <c r="G386" i="12"/>
  <c r="G385" i="12"/>
  <c r="G384" i="12"/>
  <c r="G383" i="12"/>
  <c r="G382" i="12"/>
  <c r="G381" i="12"/>
  <c r="G380" i="12"/>
  <c r="G379" i="12"/>
  <c r="G378" i="12"/>
  <c r="G377" i="12"/>
  <c r="G376" i="12"/>
  <c r="G375" i="12"/>
  <c r="G374" i="12"/>
  <c r="G373" i="12"/>
  <c r="G372" i="12"/>
  <c r="G371" i="12"/>
  <c r="G370" i="12"/>
  <c r="G369" i="12"/>
  <c r="G368" i="12"/>
  <c r="G367" i="12"/>
  <c r="G366" i="12"/>
  <c r="G365" i="12"/>
  <c r="G364" i="12"/>
  <c r="G363" i="12"/>
  <c r="G362" i="12"/>
  <c r="G361" i="12"/>
  <c r="G360" i="12"/>
  <c r="G359" i="12"/>
  <c r="G358" i="12"/>
  <c r="G357" i="12"/>
  <c r="G356" i="12"/>
  <c r="G355" i="12"/>
  <c r="G354" i="12"/>
  <c r="G353" i="12"/>
  <c r="G352" i="12"/>
  <c r="G351" i="12"/>
  <c r="G350" i="12"/>
  <c r="G349" i="12"/>
  <c r="G348" i="12"/>
  <c r="G347" i="12"/>
  <c r="G346" i="12"/>
  <c r="G345" i="12"/>
  <c r="G344" i="12"/>
  <c r="G343" i="12"/>
  <c r="G342" i="12"/>
  <c r="G341" i="12"/>
  <c r="G340" i="12"/>
  <c r="G339" i="12"/>
  <c r="G338" i="12"/>
  <c r="G337" i="12"/>
  <c r="G336" i="12"/>
  <c r="G335" i="12"/>
  <c r="G334" i="12"/>
  <c r="G333" i="12"/>
  <c r="G332" i="12"/>
  <c r="G331" i="12"/>
  <c r="G330" i="12"/>
  <c r="G329" i="12"/>
  <c r="G328" i="12"/>
  <c r="G327" i="12"/>
  <c r="G326" i="12"/>
  <c r="G325" i="12"/>
  <c r="G324" i="12"/>
  <c r="G323" i="12"/>
  <c r="G322" i="12"/>
  <c r="G321" i="12"/>
  <c r="G320" i="12"/>
  <c r="G319" i="12"/>
  <c r="G318" i="12"/>
  <c r="G317" i="12"/>
  <c r="G316" i="12"/>
  <c r="G315" i="12"/>
  <c r="G314" i="12"/>
  <c r="G313" i="12"/>
  <c r="G312" i="12"/>
  <c r="G311" i="12"/>
  <c r="G310" i="12"/>
  <c r="G309" i="12"/>
  <c r="G308" i="12"/>
  <c r="G307" i="12"/>
  <c r="G306" i="12"/>
  <c r="G305" i="12"/>
  <c r="G304" i="12"/>
  <c r="G303" i="12"/>
  <c r="G302" i="12"/>
  <c r="G301" i="12"/>
  <c r="G300" i="12"/>
  <c r="G299" i="12"/>
  <c r="G298" i="12"/>
  <c r="G297" i="12"/>
  <c r="G296" i="12"/>
  <c r="G295" i="12"/>
  <c r="G294" i="12"/>
  <c r="G293" i="12"/>
  <c r="G292" i="12"/>
  <c r="G291" i="12"/>
  <c r="G290" i="12"/>
  <c r="G289" i="12"/>
  <c r="G288" i="12"/>
  <c r="G287" i="12"/>
  <c r="G286" i="12"/>
  <c r="G285" i="12"/>
  <c r="G284" i="12"/>
  <c r="G283" i="12"/>
  <c r="G282" i="12"/>
  <c r="G281" i="12"/>
  <c r="G280" i="12"/>
  <c r="G279" i="12"/>
  <c r="G278" i="12"/>
  <c r="G277" i="12"/>
  <c r="G276" i="12"/>
  <c r="G275" i="12"/>
  <c r="G274" i="12"/>
  <c r="G273" i="12"/>
  <c r="G272" i="12"/>
  <c r="G271" i="12"/>
  <c r="G270" i="12"/>
  <c r="G269" i="12"/>
  <c r="G268" i="12"/>
  <c r="G267" i="12"/>
  <c r="G266" i="12"/>
  <c r="G265" i="12"/>
  <c r="G264" i="12"/>
  <c r="G263" i="12"/>
  <c r="G262" i="12"/>
  <c r="G261" i="12"/>
  <c r="G260" i="12"/>
  <c r="G259" i="12"/>
  <c r="G258" i="12"/>
  <c r="G257" i="12"/>
  <c r="G256" i="12"/>
  <c r="G255" i="12"/>
  <c r="G254" i="12"/>
  <c r="G253" i="12"/>
  <c r="G252" i="12"/>
  <c r="G251" i="12"/>
  <c r="G250" i="12"/>
  <c r="G249" i="12"/>
  <c r="G248" i="12"/>
  <c r="G247" i="12"/>
  <c r="G246" i="12"/>
  <c r="G245" i="12"/>
  <c r="G244" i="12"/>
  <c r="G243" i="12"/>
  <c r="G242" i="12"/>
  <c r="G241" i="12"/>
  <c r="G240" i="12"/>
  <c r="G239" i="12"/>
  <c r="G238" i="12"/>
  <c r="G237" i="12"/>
  <c r="G236" i="12"/>
  <c r="G235" i="12"/>
  <c r="G234" i="12"/>
  <c r="G233" i="12"/>
  <c r="G232" i="12"/>
  <c r="G231" i="12"/>
  <c r="G230" i="12"/>
  <c r="G229" i="12"/>
  <c r="G228" i="12"/>
  <c r="G227" i="12"/>
  <c r="G226" i="12"/>
  <c r="G225" i="12"/>
  <c r="G224" i="12"/>
  <c r="G223" i="12"/>
  <c r="G222" i="12"/>
  <c r="G221" i="12"/>
  <c r="G220" i="12"/>
  <c r="G219" i="12"/>
  <c r="G218" i="12"/>
  <c r="G217" i="12"/>
  <c r="G216" i="12"/>
  <c r="G215" i="12"/>
  <c r="G214" i="12"/>
  <c r="G213" i="12"/>
  <c r="G212" i="12"/>
  <c r="G211" i="12"/>
  <c r="G210" i="12"/>
  <c r="G209" i="12"/>
  <c r="G208" i="12"/>
  <c r="G207" i="12"/>
  <c r="G206" i="12"/>
  <c r="G205" i="12"/>
  <c r="G204" i="12"/>
  <c r="G203" i="12"/>
  <c r="G202" i="12"/>
  <c r="G201" i="12"/>
  <c r="G200" i="12"/>
  <c r="G199" i="12"/>
  <c r="G198" i="12"/>
  <c r="G197" i="12"/>
  <c r="G196" i="12"/>
  <c r="G195" i="12"/>
  <c r="G194"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66" i="12"/>
  <c r="G165" i="12"/>
  <c r="G164" i="12"/>
  <c r="G163" i="12"/>
  <c r="G162" i="12"/>
  <c r="G161" i="12"/>
  <c r="G160" i="12"/>
  <c r="G159" i="12"/>
  <c r="G158" i="12"/>
  <c r="G157" i="12"/>
  <c r="G156"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AF339" i="1"/>
  <c r="AF344" i="1"/>
  <c r="AF337" i="1"/>
  <c r="AF342" i="1"/>
  <c r="AF338" i="1"/>
  <c r="AF336" i="1"/>
  <c r="AF341" i="1"/>
  <c r="AF340" i="1"/>
  <c r="AF335" i="1"/>
  <c r="AF330" i="1"/>
  <c r="AF334" i="1"/>
  <c r="AF327" i="1"/>
  <c r="AF326" i="1"/>
  <c r="AF331" i="1"/>
  <c r="AF333" i="1"/>
  <c r="AF332" i="1"/>
  <c r="AF329" i="1"/>
  <c r="AF325" i="1"/>
  <c r="AF324" i="1"/>
  <c r="AF323" i="1"/>
  <c r="AF322" i="1"/>
  <c r="AF321" i="1"/>
  <c r="AF320" i="1"/>
  <c r="AF319" i="1"/>
  <c r="AF318" i="1"/>
  <c r="AF317" i="1"/>
  <c r="AF316" i="1"/>
  <c r="AF315" i="1"/>
  <c r="AF314" i="1"/>
  <c r="AF328" i="1"/>
  <c r="AF312" i="1"/>
  <c r="AF311" i="1"/>
  <c r="AF313" i="1"/>
  <c r="AF309" i="1"/>
  <c r="AF310" i="1"/>
  <c r="AF308" i="1"/>
  <c r="AF307" i="1"/>
  <c r="AF306" i="1"/>
  <c r="AF301" i="1"/>
  <c r="AF297" i="1"/>
  <c r="AF287" i="1"/>
  <c r="AF296" i="1"/>
  <c r="AF285" i="1"/>
  <c r="AF294" i="1"/>
  <c r="AF293" i="1"/>
  <c r="AF292" i="1"/>
  <c r="AF290" i="1"/>
  <c r="AF289" i="1"/>
  <c r="AF288" i="1"/>
  <c r="AF286" i="1"/>
  <c r="AF284" i="1"/>
  <c r="AF304" i="1"/>
  <c r="AF302" i="1"/>
  <c r="AF298" i="1"/>
  <c r="AF303" i="1"/>
  <c r="AF300" i="1"/>
  <c r="AF299" i="1"/>
  <c r="AF295" i="1"/>
  <c r="AF305" i="1"/>
  <c r="AF283" i="1"/>
  <c r="AF282" i="1"/>
  <c r="AF281" i="1"/>
  <c r="AF278" i="1"/>
  <c r="AF280" i="1"/>
  <c r="AF277" i="1"/>
  <c r="AF276" i="1"/>
  <c r="AF279" i="1"/>
  <c r="AF275" i="1"/>
  <c r="AF269" i="1"/>
  <c r="AF272" i="1"/>
  <c r="AF274" i="1"/>
  <c r="AF273" i="1"/>
  <c r="AF268" i="1"/>
  <c r="AF267" i="1"/>
  <c r="AF266" i="1"/>
  <c r="AF262" i="1"/>
  <c r="AF263" i="1"/>
  <c r="AF271" i="1"/>
  <c r="AF265" i="1"/>
  <c r="AF264" i="1"/>
  <c r="AF261" i="1"/>
  <c r="AF258" i="1"/>
  <c r="AF257" i="1"/>
  <c r="AF255" i="1"/>
  <c r="AF260" i="1"/>
  <c r="AF259" i="1"/>
  <c r="AF256" i="1"/>
  <c r="AF270" i="1"/>
  <c r="AF254" i="1"/>
  <c r="AF253" i="1"/>
  <c r="AF252" i="1"/>
  <c r="AF251" i="1"/>
  <c r="AF250" i="1"/>
  <c r="AF243" i="1"/>
  <c r="AF247" i="1"/>
  <c r="AF244" i="1"/>
  <c r="AF234" i="1"/>
  <c r="AF233" i="1"/>
  <c r="AF248" i="1"/>
  <c r="AF232" i="1"/>
  <c r="AF240" i="1"/>
  <c r="AF239" i="1"/>
  <c r="AF236" i="1"/>
  <c r="AF231" i="1"/>
  <c r="AF242" i="1"/>
  <c r="AF238" i="1"/>
  <c r="AF241" i="1"/>
  <c r="AF230" i="1"/>
  <c r="AF237" i="1"/>
  <c r="AF235" i="1"/>
  <c r="AF229" i="1"/>
  <c r="AF227" i="1"/>
  <c r="AF226" i="1"/>
  <c r="AF225" i="1"/>
  <c r="AF222" i="1"/>
  <c r="AF221" i="1"/>
  <c r="AF220" i="1"/>
  <c r="AF228" i="1"/>
  <c r="AF219" i="1"/>
  <c r="AF218" i="1"/>
  <c r="AF223" i="1"/>
  <c r="AF217" i="1"/>
  <c r="AF216" i="1"/>
  <c r="AF215" i="1"/>
  <c r="AF214" i="1"/>
  <c r="AF213" i="1"/>
  <c r="AF212" i="1"/>
  <c r="AF224" i="1"/>
  <c r="AF210" i="1"/>
  <c r="AF211" i="1"/>
  <c r="AF291" i="1"/>
  <c r="AF139" i="1"/>
  <c r="AF138" i="1"/>
  <c r="AF122" i="1"/>
  <c r="AF137" i="1"/>
  <c r="AF206" i="1"/>
  <c r="AF205" i="1"/>
  <c r="AF207" i="1"/>
  <c r="AF209" i="1"/>
  <c r="AF203" i="1"/>
  <c r="AF208" i="1"/>
  <c r="AF198" i="1"/>
  <c r="AF204" i="1"/>
  <c r="AF200" i="1"/>
  <c r="AF202" i="1"/>
  <c r="AF199" i="1"/>
  <c r="AF201" i="1"/>
  <c r="AF196" i="1"/>
  <c r="AF195" i="1"/>
  <c r="AF197" i="1"/>
  <c r="AF194" i="1"/>
  <c r="AF192" i="1"/>
  <c r="AF191" i="1"/>
  <c r="AF193" i="1"/>
  <c r="AF190" i="1"/>
  <c r="AF183" i="1"/>
  <c r="AF185" i="1"/>
  <c r="AF189" i="1"/>
  <c r="AF188" i="1"/>
  <c r="AF187" i="1"/>
  <c r="AF186" i="1"/>
  <c r="AF184" i="1"/>
  <c r="AF182" i="1"/>
  <c r="AF180" i="1"/>
  <c r="AF175" i="1"/>
  <c r="AF181" i="1"/>
  <c r="AF178" i="1"/>
  <c r="AF179" i="1"/>
  <c r="AF174" i="1"/>
  <c r="AF177" i="1"/>
  <c r="AF176" i="1"/>
  <c r="AF173" i="1"/>
  <c r="AF172" i="1"/>
  <c r="AF170" i="1"/>
  <c r="AF168" i="1"/>
  <c r="AF167" i="1"/>
  <c r="AF169" i="1"/>
  <c r="AF171" i="1"/>
  <c r="AF164" i="1"/>
  <c r="AF163" i="1"/>
  <c r="AF160" i="1"/>
  <c r="AF165" i="1"/>
  <c r="AF162" i="1"/>
  <c r="AF166" i="1"/>
  <c r="AF161" i="1"/>
  <c r="AF159" i="1"/>
  <c r="AF158" i="1"/>
  <c r="AF42" i="1"/>
  <c r="AF103" i="1"/>
  <c r="AF102" i="1"/>
  <c r="AF157" i="1"/>
  <c r="AF156" i="1"/>
  <c r="AF155" i="1"/>
  <c r="AF154" i="1"/>
  <c r="AF149" i="1"/>
  <c r="AF148" i="1"/>
  <c r="AF150" i="1"/>
  <c r="AF147" i="1"/>
  <c r="AF146" i="1"/>
  <c r="AF151" i="1"/>
  <c r="AF145" i="1"/>
  <c r="AF144" i="1"/>
  <c r="AF143" i="1"/>
  <c r="AF132" i="1"/>
  <c r="AF131" i="1"/>
  <c r="AF130" i="1"/>
  <c r="AF129" i="1"/>
  <c r="AF126" i="1"/>
  <c r="AF125" i="1"/>
  <c r="AF60" i="1"/>
  <c r="AF59" i="1"/>
  <c r="AF61" i="1"/>
  <c r="AF121" i="1"/>
  <c r="AF12" i="1"/>
  <c r="AF120" i="1"/>
  <c r="AF123" i="1"/>
  <c r="AF119" i="1"/>
  <c r="AF117" i="1"/>
  <c r="AF118" i="1"/>
  <c r="AF92" i="1"/>
  <c r="AF115" i="1"/>
  <c r="AF114" i="1"/>
  <c r="AF113" i="1"/>
  <c r="AF112" i="1"/>
  <c r="AF111" i="1"/>
  <c r="AF110" i="1"/>
  <c r="AF109" i="1"/>
  <c r="AF101" i="1"/>
  <c r="AF106" i="1"/>
  <c r="AF105" i="1"/>
  <c r="AF104" i="1"/>
  <c r="AF100" i="1"/>
  <c r="AF41" i="1"/>
  <c r="AF48" i="1"/>
  <c r="AF44" i="1"/>
  <c r="AF47" i="1"/>
  <c r="AF99" i="1"/>
  <c r="AF98" i="1"/>
  <c r="AF133" i="1"/>
  <c r="AF96" i="1"/>
  <c r="AF95" i="1"/>
  <c r="AF128" i="1"/>
  <c r="AF84" i="1"/>
  <c r="AF83" i="1"/>
  <c r="AF82" i="1"/>
  <c r="AF90" i="1"/>
  <c r="AF89" i="1"/>
  <c r="AF88" i="1"/>
  <c r="AF87" i="1"/>
  <c r="AF86" i="1"/>
  <c r="AF85" i="1"/>
  <c r="AF81" i="1"/>
  <c r="AF80" i="1"/>
  <c r="AF79" i="1"/>
  <c r="AF78" i="1"/>
  <c r="AF77" i="1"/>
  <c r="AF75" i="1"/>
  <c r="AF46" i="1"/>
  <c r="AF76" i="1"/>
  <c r="AF136" i="1"/>
  <c r="AF135" i="1"/>
  <c r="AF134" i="1"/>
  <c r="AF71" i="1"/>
  <c r="AF70" i="1"/>
  <c r="AF72" i="1"/>
  <c r="AF43" i="1"/>
  <c r="AF45" i="1"/>
  <c r="AF9" i="1"/>
  <c r="AF38" i="1"/>
  <c r="AF69" i="1"/>
  <c r="AF68" i="1"/>
  <c r="AF67" i="1"/>
  <c r="AF65" i="1"/>
  <c r="AF64" i="1"/>
  <c r="AF63" i="1"/>
  <c r="AF62" i="1"/>
  <c r="AF73" i="1"/>
  <c r="AF58" i="1"/>
  <c r="AF57" i="1"/>
  <c r="AF56" i="1"/>
  <c r="AF127" i="1"/>
  <c r="AF124" i="1"/>
  <c r="AF116" i="1"/>
  <c r="AF91" i="1"/>
  <c r="AF53" i="1"/>
  <c r="AF51" i="1"/>
  <c r="AF50" i="1"/>
  <c r="AF49" i="1"/>
  <c r="AF97" i="1"/>
  <c r="AF108" i="1"/>
  <c r="AF107" i="1"/>
  <c r="AF74" i="1"/>
  <c r="AF94" i="1"/>
  <c r="AF52" i="1"/>
  <c r="AF14" i="1"/>
  <c r="AF55" i="1"/>
  <c r="AF54" i="1"/>
  <c r="AF39" i="1"/>
  <c r="AF40" i="1"/>
  <c r="AF37" i="1"/>
  <c r="AF36" i="1"/>
  <c r="AF35" i="1"/>
  <c r="AF34" i="1"/>
  <c r="AF33" i="1"/>
  <c r="AF32" i="1"/>
  <c r="AF31" i="1"/>
  <c r="AF30" i="1"/>
  <c r="AF29" i="1"/>
  <c r="AF28" i="1"/>
  <c r="AF27" i="1"/>
  <c r="AF16" i="1"/>
  <c r="AF26" i="1"/>
  <c r="AF25" i="1"/>
  <c r="AF23" i="1"/>
  <c r="AF22" i="1"/>
  <c r="AF24" i="1"/>
  <c r="AF21" i="1"/>
  <c r="AF20" i="1"/>
  <c r="AF142" i="1"/>
  <c r="AF141" i="1"/>
  <c r="AF140" i="1"/>
  <c r="AF19" i="1"/>
  <c r="AF18" i="1"/>
  <c r="AF17" i="1"/>
  <c r="AF15" i="1"/>
  <c r="AF13" i="1"/>
  <c r="AF66" i="1"/>
  <c r="AF11" i="1"/>
  <c r="AF10" i="1"/>
  <c r="AF93" i="1"/>
  <c r="AF7" i="1"/>
  <c r="AF6" i="1"/>
  <c r="AF8" i="1"/>
  <c r="AF4" i="1"/>
  <c r="AF5" i="1"/>
  <c r="AF3" i="1"/>
  <c r="AF2" i="1"/>
  <c r="AE339" i="1" l="1"/>
  <c r="AD339" i="1"/>
  <c r="AC339" i="1"/>
  <c r="AA339" i="1"/>
  <c r="AE344" i="1"/>
  <c r="AD344" i="1"/>
  <c r="AC344" i="1"/>
  <c r="AA344" i="1"/>
  <c r="AE337" i="1"/>
  <c r="AD337" i="1"/>
  <c r="AC337" i="1"/>
  <c r="AA337" i="1"/>
  <c r="AE342" i="1"/>
  <c r="AD342" i="1"/>
  <c r="AC342" i="1"/>
  <c r="AA342" i="1"/>
  <c r="AE338" i="1"/>
  <c r="AD338" i="1"/>
  <c r="AC338" i="1"/>
  <c r="AA338" i="1"/>
  <c r="AE336" i="1"/>
  <c r="AD336" i="1"/>
  <c r="AC336" i="1"/>
  <c r="AA336" i="1"/>
  <c r="AE341" i="1"/>
  <c r="AD341" i="1"/>
  <c r="AC341" i="1"/>
  <c r="AA341" i="1"/>
  <c r="AE340" i="1"/>
  <c r="AD340" i="1"/>
  <c r="AC340" i="1"/>
  <c r="AA340" i="1"/>
  <c r="AE335" i="1"/>
  <c r="AD335" i="1"/>
  <c r="AC335" i="1"/>
  <c r="AA335" i="1"/>
  <c r="AE330" i="1"/>
  <c r="AD330" i="1"/>
  <c r="AC330" i="1"/>
  <c r="AA330" i="1"/>
  <c r="AE334" i="1"/>
  <c r="AD334" i="1"/>
  <c r="AC334" i="1"/>
  <c r="AA334" i="1"/>
  <c r="AE327" i="1"/>
  <c r="AD327" i="1"/>
  <c r="AC327" i="1"/>
  <c r="AA327" i="1"/>
  <c r="AE326" i="1"/>
  <c r="AD326" i="1"/>
  <c r="AC326" i="1"/>
  <c r="AA326" i="1"/>
  <c r="AE331" i="1"/>
  <c r="AD331" i="1"/>
  <c r="AC331" i="1"/>
  <c r="AA331" i="1"/>
  <c r="AE333" i="1"/>
  <c r="AD333" i="1"/>
  <c r="AC333" i="1"/>
  <c r="AA333" i="1"/>
  <c r="AE332" i="1"/>
  <c r="AD332" i="1"/>
  <c r="AC332" i="1"/>
  <c r="AA332" i="1"/>
  <c r="AE329" i="1"/>
  <c r="AD329" i="1"/>
  <c r="AC329" i="1"/>
  <c r="AA329" i="1"/>
  <c r="AE325" i="1"/>
  <c r="AD325" i="1"/>
  <c r="AC325" i="1"/>
  <c r="AA325" i="1"/>
  <c r="AE324" i="1"/>
  <c r="AD324" i="1"/>
  <c r="AC324" i="1"/>
  <c r="AA324" i="1"/>
  <c r="AE323" i="1"/>
  <c r="AD323" i="1"/>
  <c r="AC323" i="1"/>
  <c r="AA323" i="1"/>
  <c r="AE322" i="1"/>
  <c r="AD322" i="1"/>
  <c r="AC322" i="1"/>
  <c r="AA322" i="1"/>
  <c r="AE321" i="1"/>
  <c r="AD321" i="1"/>
  <c r="AC321" i="1"/>
  <c r="AA321" i="1"/>
  <c r="AE320" i="1"/>
  <c r="AD320" i="1"/>
  <c r="AC320" i="1"/>
  <c r="AA320" i="1"/>
  <c r="AE319" i="1"/>
  <c r="AD319" i="1"/>
  <c r="AC319" i="1"/>
  <c r="AA319" i="1"/>
  <c r="AE318" i="1"/>
  <c r="AD318" i="1"/>
  <c r="AC318" i="1"/>
  <c r="AA318" i="1"/>
  <c r="AE317" i="1"/>
  <c r="AD317" i="1"/>
  <c r="AC317" i="1"/>
  <c r="AA317" i="1"/>
  <c r="AE316" i="1"/>
  <c r="AD316" i="1"/>
  <c r="AC316" i="1"/>
  <c r="AA316" i="1"/>
  <c r="AE315" i="1"/>
  <c r="AD315" i="1"/>
  <c r="AC315" i="1"/>
  <c r="AA315" i="1"/>
  <c r="AE314" i="1"/>
  <c r="AD314" i="1"/>
  <c r="AC314" i="1"/>
  <c r="AA314" i="1"/>
  <c r="AE328" i="1"/>
  <c r="AD328" i="1"/>
  <c r="AC328" i="1"/>
  <c r="AA328" i="1"/>
  <c r="AE312" i="1"/>
  <c r="AD312" i="1"/>
  <c r="AC312" i="1"/>
  <c r="AA312" i="1"/>
  <c r="AE311" i="1"/>
  <c r="AD311" i="1"/>
  <c r="AC311" i="1"/>
  <c r="AA311" i="1"/>
  <c r="AE313" i="1"/>
  <c r="AD313" i="1"/>
  <c r="AC313" i="1"/>
  <c r="AA313" i="1"/>
  <c r="AE309" i="1"/>
  <c r="AD309" i="1"/>
  <c r="AC309" i="1"/>
  <c r="AA309" i="1"/>
  <c r="AE310" i="1"/>
  <c r="AD310" i="1"/>
  <c r="AC310" i="1"/>
  <c r="AA310" i="1"/>
  <c r="AE308" i="1"/>
  <c r="AD308" i="1"/>
  <c r="AC308" i="1"/>
  <c r="AA308" i="1"/>
  <c r="AE307" i="1"/>
  <c r="AD307" i="1"/>
  <c r="AC307" i="1"/>
  <c r="AA307" i="1"/>
  <c r="AE306" i="1"/>
  <c r="AD306" i="1"/>
  <c r="AC306" i="1"/>
  <c r="AA306" i="1"/>
  <c r="AE301" i="1"/>
  <c r="AD301" i="1"/>
  <c r="AC301" i="1"/>
  <c r="AA301" i="1"/>
  <c r="AE297" i="1"/>
  <c r="AD297" i="1"/>
  <c r="AC297" i="1"/>
  <c r="AA297" i="1"/>
  <c r="AE287" i="1"/>
  <c r="AD287" i="1"/>
  <c r="AC287" i="1"/>
  <c r="AA287" i="1"/>
  <c r="AE296" i="1"/>
  <c r="AD296" i="1"/>
  <c r="AC296" i="1"/>
  <c r="AA296" i="1"/>
  <c r="AE285" i="1"/>
  <c r="AD285" i="1"/>
  <c r="AC285" i="1"/>
  <c r="AA285" i="1"/>
  <c r="AE294" i="1"/>
  <c r="AD294" i="1"/>
  <c r="AC294" i="1"/>
  <c r="AA294" i="1"/>
  <c r="AE293" i="1"/>
  <c r="AD293" i="1"/>
  <c r="AC293" i="1"/>
  <c r="AA293" i="1"/>
  <c r="AE292" i="1"/>
  <c r="AD292" i="1"/>
  <c r="AC292" i="1"/>
  <c r="AA292" i="1"/>
  <c r="AE290" i="1"/>
  <c r="AD290" i="1"/>
  <c r="AC290" i="1"/>
  <c r="AA290" i="1"/>
  <c r="AE289" i="1"/>
  <c r="AD289" i="1"/>
  <c r="AC289" i="1"/>
  <c r="AA289" i="1"/>
  <c r="AE288" i="1"/>
  <c r="AD288" i="1"/>
  <c r="AC288" i="1"/>
  <c r="AA288" i="1"/>
  <c r="AE286" i="1"/>
  <c r="AD286" i="1"/>
  <c r="AC286" i="1"/>
  <c r="AA286" i="1"/>
  <c r="AE284" i="1"/>
  <c r="AD284" i="1"/>
  <c r="AC284" i="1"/>
  <c r="AA284" i="1"/>
  <c r="AE304" i="1"/>
  <c r="AD304" i="1"/>
  <c r="AC304" i="1"/>
  <c r="AA304" i="1"/>
  <c r="AE302" i="1"/>
  <c r="AD302" i="1"/>
  <c r="AC302" i="1"/>
  <c r="AA302" i="1"/>
  <c r="AE298" i="1"/>
  <c r="AD298" i="1"/>
  <c r="AC298" i="1"/>
  <c r="AA298" i="1"/>
  <c r="AE303" i="1"/>
  <c r="AD303" i="1"/>
  <c r="AC303" i="1"/>
  <c r="AA303" i="1"/>
  <c r="AE300" i="1"/>
  <c r="AD300" i="1"/>
  <c r="AC300" i="1"/>
  <c r="AA300" i="1"/>
  <c r="AE299" i="1"/>
  <c r="AD299" i="1"/>
  <c r="AC299" i="1"/>
  <c r="AA299" i="1"/>
  <c r="AE295" i="1"/>
  <c r="AD295" i="1"/>
  <c r="AC295" i="1"/>
  <c r="AA295" i="1"/>
  <c r="AE305" i="1"/>
  <c r="AD305" i="1"/>
  <c r="AC305" i="1"/>
  <c r="AA305" i="1"/>
  <c r="AE283" i="1"/>
  <c r="AD283" i="1"/>
  <c r="AC283" i="1"/>
  <c r="AA283" i="1"/>
  <c r="AE282" i="1"/>
  <c r="AD282" i="1"/>
  <c r="AC282" i="1"/>
  <c r="AA282" i="1"/>
  <c r="AE281" i="1"/>
  <c r="AD281" i="1"/>
  <c r="AC281" i="1"/>
  <c r="AA281" i="1"/>
  <c r="AE278" i="1"/>
  <c r="AD278" i="1"/>
  <c r="AC278" i="1"/>
  <c r="AA278" i="1"/>
  <c r="AE280" i="1"/>
  <c r="AD280" i="1"/>
  <c r="AC280" i="1"/>
  <c r="AA280" i="1"/>
  <c r="AE277" i="1"/>
  <c r="AD277" i="1"/>
  <c r="AC277" i="1"/>
  <c r="AA277" i="1"/>
  <c r="AE276" i="1"/>
  <c r="AD276" i="1"/>
  <c r="AC276" i="1"/>
  <c r="AA276" i="1"/>
  <c r="AE279" i="1"/>
  <c r="AD279" i="1"/>
  <c r="AC279" i="1"/>
  <c r="AA279" i="1"/>
  <c r="AE275" i="1"/>
  <c r="AD275" i="1"/>
  <c r="AC275" i="1"/>
  <c r="AA275" i="1"/>
  <c r="AE269" i="1"/>
  <c r="AD269" i="1"/>
  <c r="AC269" i="1"/>
  <c r="AA269" i="1"/>
  <c r="AE272" i="1"/>
  <c r="AD272" i="1"/>
  <c r="AC272" i="1"/>
  <c r="AA272" i="1"/>
  <c r="AE274" i="1"/>
  <c r="AD274" i="1"/>
  <c r="AC274" i="1"/>
  <c r="AA274" i="1"/>
  <c r="AE273" i="1"/>
  <c r="AD273" i="1"/>
  <c r="AC273" i="1"/>
  <c r="AA273" i="1"/>
  <c r="AE268" i="1"/>
  <c r="AD268" i="1"/>
  <c r="AC268" i="1"/>
  <c r="AA268" i="1"/>
  <c r="AE267" i="1"/>
  <c r="AD267" i="1"/>
  <c r="AC267" i="1"/>
  <c r="AA267" i="1"/>
  <c r="AE266" i="1"/>
  <c r="AD266" i="1"/>
  <c r="AC266" i="1"/>
  <c r="AA266" i="1"/>
  <c r="AE262" i="1"/>
  <c r="AD262" i="1"/>
  <c r="AC262" i="1"/>
  <c r="AA262" i="1"/>
  <c r="AE263" i="1"/>
  <c r="AD263" i="1"/>
  <c r="AC263" i="1"/>
  <c r="AA263" i="1"/>
  <c r="AE271" i="1"/>
  <c r="AD271" i="1"/>
  <c r="AC271" i="1"/>
  <c r="AA271" i="1"/>
  <c r="AE265" i="1"/>
  <c r="AD265" i="1"/>
  <c r="AC265" i="1"/>
  <c r="AA265" i="1"/>
  <c r="AE264" i="1"/>
  <c r="AD264" i="1"/>
  <c r="AC264" i="1"/>
  <c r="AA264" i="1"/>
  <c r="AE261" i="1"/>
  <c r="AD261" i="1"/>
  <c r="AC261" i="1"/>
  <c r="AA261" i="1"/>
  <c r="AE258" i="1"/>
  <c r="AD258" i="1"/>
  <c r="AC258" i="1"/>
  <c r="AA258" i="1"/>
  <c r="AE257" i="1"/>
  <c r="AD257" i="1"/>
  <c r="AC257" i="1"/>
  <c r="AA257" i="1"/>
  <c r="AE255" i="1"/>
  <c r="AD255" i="1"/>
  <c r="AC255" i="1"/>
  <c r="AA255" i="1"/>
  <c r="AE260" i="1"/>
  <c r="AD260" i="1"/>
  <c r="AC260" i="1"/>
  <c r="AA260" i="1"/>
  <c r="AE259" i="1"/>
  <c r="AD259" i="1"/>
  <c r="AC259" i="1"/>
  <c r="AA259" i="1"/>
  <c r="AE256" i="1"/>
  <c r="AD256" i="1"/>
  <c r="AC256" i="1"/>
  <c r="AA256" i="1"/>
  <c r="AE270" i="1"/>
  <c r="AD270" i="1"/>
  <c r="AC270" i="1"/>
  <c r="AA270" i="1"/>
  <c r="AE254" i="1"/>
  <c r="AD254" i="1"/>
  <c r="AC254" i="1"/>
  <c r="AA254" i="1"/>
  <c r="AE253" i="1"/>
  <c r="AD253" i="1"/>
  <c r="AC253" i="1"/>
  <c r="AA253" i="1"/>
  <c r="AE252" i="1"/>
  <c r="AD252" i="1"/>
  <c r="AC252" i="1"/>
  <c r="AA252" i="1"/>
  <c r="AE251" i="1"/>
  <c r="AD251" i="1"/>
  <c r="AC251" i="1"/>
  <c r="AA251" i="1"/>
  <c r="AE250" i="1"/>
  <c r="AD250" i="1"/>
  <c r="AC250" i="1"/>
  <c r="AA250" i="1"/>
  <c r="AE243" i="1"/>
  <c r="AD243" i="1"/>
  <c r="AC243" i="1"/>
  <c r="AA243" i="1"/>
  <c r="AE247" i="1"/>
  <c r="AD247" i="1"/>
  <c r="AC247" i="1"/>
  <c r="AA247" i="1"/>
  <c r="AE244" i="1"/>
  <c r="AD244" i="1"/>
  <c r="AC244" i="1"/>
  <c r="AA244" i="1"/>
  <c r="AE234" i="1"/>
  <c r="AD234" i="1"/>
  <c r="AC234" i="1"/>
  <c r="AA234" i="1"/>
  <c r="AE233" i="1"/>
  <c r="AD233" i="1"/>
  <c r="AC233" i="1"/>
  <c r="AA233" i="1"/>
  <c r="AE248" i="1"/>
  <c r="AD248" i="1"/>
  <c r="AC248" i="1"/>
  <c r="AA248" i="1"/>
  <c r="AE232" i="1"/>
  <c r="AD232" i="1"/>
  <c r="AC232" i="1"/>
  <c r="AA232" i="1"/>
  <c r="AE240" i="1"/>
  <c r="AD240" i="1"/>
  <c r="AC240" i="1"/>
  <c r="AA240" i="1"/>
  <c r="AE239" i="1"/>
  <c r="AD239" i="1"/>
  <c r="AC239" i="1"/>
  <c r="AA239" i="1"/>
  <c r="AE236" i="1"/>
  <c r="AD236" i="1"/>
  <c r="AC236" i="1"/>
  <c r="AA236" i="1"/>
  <c r="AE231" i="1"/>
  <c r="AD231" i="1"/>
  <c r="AC231" i="1"/>
  <c r="AA231" i="1"/>
  <c r="AE242" i="1"/>
  <c r="AD242" i="1"/>
  <c r="AC242" i="1"/>
  <c r="AA242" i="1"/>
  <c r="AE238" i="1"/>
  <c r="AD238" i="1"/>
  <c r="AC238" i="1"/>
  <c r="AA238" i="1"/>
  <c r="AE241" i="1"/>
  <c r="AD241" i="1"/>
  <c r="AC241" i="1"/>
  <c r="AA241" i="1"/>
  <c r="AE230" i="1"/>
  <c r="AD230" i="1"/>
  <c r="AC230" i="1"/>
  <c r="AA230" i="1"/>
  <c r="AE237" i="1"/>
  <c r="AD237" i="1"/>
  <c r="AC237" i="1"/>
  <c r="AA237" i="1"/>
  <c r="AE235" i="1"/>
  <c r="AD235" i="1"/>
  <c r="AC235" i="1"/>
  <c r="AA235" i="1"/>
  <c r="AE229" i="1"/>
  <c r="AD229" i="1"/>
  <c r="AC229" i="1"/>
  <c r="AA229" i="1"/>
  <c r="AE227" i="1"/>
  <c r="AD227" i="1"/>
  <c r="AC227" i="1"/>
  <c r="AA227" i="1"/>
  <c r="AE226" i="1"/>
  <c r="AD226" i="1"/>
  <c r="AC226" i="1"/>
  <c r="AA226" i="1"/>
  <c r="AE225" i="1"/>
  <c r="AD225" i="1"/>
  <c r="AC225" i="1"/>
  <c r="AA225" i="1"/>
  <c r="AE222" i="1"/>
  <c r="AD222" i="1"/>
  <c r="AC222" i="1"/>
  <c r="AA222" i="1"/>
  <c r="AE221" i="1"/>
  <c r="AD221" i="1"/>
  <c r="AC221" i="1"/>
  <c r="AA221" i="1"/>
  <c r="AE220" i="1"/>
  <c r="AD220" i="1"/>
  <c r="AC220" i="1"/>
  <c r="AA220" i="1"/>
  <c r="AE228" i="1"/>
  <c r="AD228" i="1"/>
  <c r="AC228" i="1"/>
  <c r="AA228" i="1"/>
  <c r="AE219" i="1"/>
  <c r="AD219" i="1"/>
  <c r="AC219" i="1"/>
  <c r="AA219" i="1"/>
  <c r="AE218" i="1"/>
  <c r="AD218" i="1"/>
  <c r="AC218" i="1"/>
  <c r="AA218" i="1"/>
  <c r="AE223" i="1"/>
  <c r="AD223" i="1"/>
  <c r="AE217" i="1"/>
  <c r="AD217" i="1"/>
  <c r="AC217" i="1"/>
  <c r="AA217" i="1"/>
  <c r="AE216" i="1"/>
  <c r="AD216" i="1"/>
  <c r="AC216" i="1"/>
  <c r="AA216" i="1"/>
  <c r="AE215" i="1"/>
  <c r="AD215" i="1"/>
  <c r="AC215" i="1"/>
  <c r="AA215" i="1"/>
  <c r="AE214" i="1"/>
  <c r="AD214" i="1"/>
  <c r="AC214" i="1"/>
  <c r="AA214" i="1"/>
  <c r="AE213" i="1"/>
  <c r="AD213" i="1"/>
  <c r="AC213" i="1"/>
  <c r="AA213" i="1"/>
  <c r="AE212" i="1"/>
  <c r="AD212" i="1"/>
  <c r="AC212" i="1"/>
  <c r="AA212" i="1"/>
  <c r="AE224" i="1"/>
  <c r="AD224" i="1"/>
  <c r="AC224" i="1"/>
  <c r="AA224" i="1"/>
  <c r="AE210" i="1"/>
  <c r="AD210" i="1"/>
  <c r="AC210" i="1"/>
  <c r="AA210" i="1"/>
  <c r="AE211" i="1"/>
  <c r="AD211" i="1"/>
  <c r="AC211" i="1"/>
  <c r="AA211" i="1"/>
  <c r="AE291" i="1"/>
  <c r="AD291" i="1"/>
  <c r="AC291" i="1"/>
  <c r="AA291" i="1"/>
  <c r="AE139" i="1"/>
  <c r="AD139" i="1"/>
  <c r="AC139" i="1"/>
  <c r="AA139" i="1"/>
  <c r="AE138" i="1"/>
  <c r="AD138" i="1"/>
  <c r="AC138" i="1"/>
  <c r="AA138" i="1"/>
  <c r="AE122" i="1"/>
  <c r="AD122" i="1"/>
  <c r="AC122" i="1"/>
  <c r="AA122" i="1"/>
  <c r="AE137" i="1"/>
  <c r="AD137" i="1"/>
  <c r="AC137" i="1"/>
  <c r="AA137" i="1"/>
  <c r="AE206" i="1"/>
  <c r="AD206" i="1"/>
  <c r="AC206" i="1"/>
  <c r="AA206" i="1"/>
  <c r="AE205" i="1"/>
  <c r="AD205" i="1"/>
  <c r="AC205" i="1"/>
  <c r="AA205" i="1"/>
  <c r="AE207" i="1"/>
  <c r="AD207" i="1"/>
  <c r="AC207" i="1"/>
  <c r="AA207" i="1"/>
  <c r="AE209" i="1"/>
  <c r="AD209" i="1"/>
  <c r="AC209" i="1"/>
  <c r="AA209" i="1"/>
  <c r="AE203" i="1"/>
  <c r="AD203" i="1"/>
  <c r="AC203" i="1"/>
  <c r="AA203" i="1"/>
  <c r="AE208" i="1"/>
  <c r="AD208" i="1"/>
  <c r="AC208" i="1"/>
  <c r="AA208" i="1"/>
  <c r="AE198" i="1"/>
  <c r="AD198" i="1"/>
  <c r="AC198" i="1"/>
  <c r="AA198" i="1"/>
  <c r="AE204" i="1"/>
  <c r="AD204" i="1"/>
  <c r="AC204" i="1"/>
  <c r="AA204" i="1"/>
  <c r="AE200" i="1"/>
  <c r="AD200" i="1"/>
  <c r="AC200" i="1"/>
  <c r="AA200" i="1"/>
  <c r="AE202" i="1"/>
  <c r="AD202" i="1"/>
  <c r="AC202" i="1"/>
  <c r="AA202" i="1"/>
  <c r="AE199" i="1"/>
  <c r="AD199" i="1"/>
  <c r="AC199" i="1"/>
  <c r="AA199" i="1"/>
  <c r="AE201" i="1"/>
  <c r="AD201" i="1"/>
  <c r="AC201" i="1"/>
  <c r="AA201" i="1"/>
  <c r="AE196" i="1"/>
  <c r="AD196" i="1"/>
  <c r="AC196" i="1"/>
  <c r="AA196" i="1"/>
  <c r="AE195" i="1"/>
  <c r="AD195" i="1"/>
  <c r="AC195" i="1"/>
  <c r="AA195" i="1"/>
  <c r="AE197" i="1"/>
  <c r="AD197" i="1"/>
  <c r="AC197" i="1"/>
  <c r="AA197" i="1"/>
  <c r="AE194" i="1"/>
  <c r="AD194" i="1"/>
  <c r="AC194" i="1"/>
  <c r="AA194" i="1"/>
  <c r="AE192" i="1"/>
  <c r="AD192" i="1"/>
  <c r="AC192" i="1"/>
  <c r="AA192" i="1"/>
  <c r="AE191" i="1"/>
  <c r="AD191" i="1"/>
  <c r="AC191" i="1"/>
  <c r="AA191" i="1"/>
  <c r="AE193" i="1"/>
  <c r="AD193" i="1"/>
  <c r="AC193" i="1"/>
  <c r="AA193" i="1"/>
  <c r="AE190" i="1"/>
  <c r="AD190" i="1"/>
  <c r="AC190" i="1"/>
  <c r="AA190" i="1"/>
  <c r="AE183" i="1"/>
  <c r="AD183" i="1"/>
  <c r="AC183" i="1"/>
  <c r="AA183" i="1"/>
  <c r="AE185" i="1"/>
  <c r="AD185" i="1"/>
  <c r="AC185" i="1"/>
  <c r="AA185" i="1"/>
  <c r="AE189" i="1"/>
  <c r="AD189" i="1"/>
  <c r="AC189" i="1"/>
  <c r="AA189" i="1"/>
  <c r="AE188" i="1"/>
  <c r="AD188" i="1"/>
  <c r="AC188" i="1"/>
  <c r="AA188" i="1"/>
  <c r="AE187" i="1"/>
  <c r="AD187" i="1"/>
  <c r="AC187" i="1"/>
  <c r="AA187" i="1"/>
  <c r="AE186" i="1"/>
  <c r="AD186" i="1"/>
  <c r="AC186" i="1"/>
  <c r="AA186" i="1"/>
  <c r="AE184" i="1"/>
  <c r="AD184" i="1"/>
  <c r="AC184" i="1"/>
  <c r="AA184" i="1"/>
  <c r="AE182" i="1"/>
  <c r="AD182" i="1"/>
  <c r="AC182" i="1"/>
  <c r="AA182" i="1"/>
  <c r="AE180" i="1"/>
  <c r="AD180" i="1"/>
  <c r="AC180" i="1"/>
  <c r="AA180" i="1"/>
  <c r="AE175" i="1"/>
  <c r="AD175" i="1"/>
  <c r="AC175" i="1"/>
  <c r="AA175" i="1"/>
  <c r="AE181" i="1"/>
  <c r="AD181" i="1"/>
  <c r="AC181" i="1"/>
  <c r="AA181" i="1"/>
  <c r="AE178" i="1"/>
  <c r="AD178" i="1"/>
  <c r="AC178" i="1"/>
  <c r="AA178" i="1"/>
  <c r="AE179" i="1"/>
  <c r="AD179" i="1"/>
  <c r="AC179" i="1"/>
  <c r="AA179" i="1"/>
  <c r="AE174" i="1"/>
  <c r="AD174" i="1"/>
  <c r="AC174" i="1"/>
  <c r="AA174" i="1"/>
  <c r="AE177" i="1"/>
  <c r="AD177" i="1"/>
  <c r="AC177" i="1"/>
  <c r="AA177" i="1"/>
  <c r="AE176" i="1"/>
  <c r="AD176" i="1"/>
  <c r="AC176" i="1"/>
  <c r="AA176" i="1"/>
  <c r="AE173" i="1"/>
  <c r="AD173" i="1"/>
  <c r="AC173" i="1"/>
  <c r="AA173" i="1"/>
  <c r="AE172" i="1"/>
  <c r="AD172" i="1"/>
  <c r="AC172" i="1"/>
  <c r="AA172" i="1"/>
  <c r="AE170" i="1"/>
  <c r="AD170" i="1"/>
  <c r="AC170" i="1"/>
  <c r="AA170" i="1"/>
  <c r="AE168" i="1"/>
  <c r="AD168" i="1"/>
  <c r="AC168" i="1"/>
  <c r="AA168" i="1"/>
  <c r="AE167" i="1"/>
  <c r="AD167" i="1"/>
  <c r="AC167" i="1"/>
  <c r="AA167" i="1"/>
  <c r="AE169" i="1"/>
  <c r="AD169" i="1"/>
  <c r="AC169" i="1"/>
  <c r="AA169" i="1"/>
  <c r="AE171" i="1"/>
  <c r="AD171" i="1"/>
  <c r="AC171" i="1"/>
  <c r="AA171" i="1"/>
  <c r="AE164" i="1"/>
  <c r="AD164" i="1"/>
  <c r="AC164" i="1"/>
  <c r="AA164" i="1"/>
  <c r="AE163" i="1"/>
  <c r="AD163" i="1"/>
  <c r="AC163" i="1"/>
  <c r="AA163" i="1"/>
  <c r="AE160" i="1"/>
  <c r="AD160" i="1"/>
  <c r="AC160" i="1"/>
  <c r="AA160" i="1"/>
  <c r="AE165" i="1"/>
  <c r="AD165" i="1"/>
  <c r="AC165" i="1"/>
  <c r="AA165" i="1"/>
  <c r="AE162" i="1"/>
  <c r="AD162" i="1"/>
  <c r="AC162" i="1"/>
  <c r="AA162" i="1"/>
  <c r="AE166" i="1"/>
  <c r="AD166" i="1"/>
  <c r="AC166" i="1"/>
  <c r="AA166" i="1"/>
  <c r="AE161" i="1"/>
  <c r="AD161" i="1"/>
  <c r="AC161" i="1"/>
  <c r="AA161" i="1"/>
  <c r="AE159" i="1"/>
  <c r="AD159" i="1"/>
  <c r="AC159" i="1"/>
  <c r="AA159" i="1"/>
  <c r="AE158" i="1"/>
  <c r="AD158" i="1"/>
  <c r="AC158" i="1"/>
  <c r="AA158" i="1"/>
  <c r="AE42" i="1"/>
  <c r="AD42" i="1"/>
  <c r="AC42" i="1"/>
  <c r="AA42" i="1"/>
  <c r="AE103" i="1"/>
  <c r="AD103" i="1"/>
  <c r="AC103" i="1"/>
  <c r="AA103" i="1"/>
  <c r="AE102" i="1"/>
  <c r="AD102" i="1"/>
  <c r="AC102" i="1"/>
  <c r="AA102" i="1"/>
  <c r="AE157" i="1"/>
  <c r="AD157" i="1"/>
  <c r="AC157" i="1"/>
  <c r="AA157" i="1"/>
  <c r="AE156" i="1"/>
  <c r="AD156" i="1"/>
  <c r="AC156" i="1"/>
  <c r="AA156" i="1"/>
  <c r="AE155" i="1"/>
  <c r="AD155" i="1"/>
  <c r="AC155" i="1"/>
  <c r="AA155" i="1"/>
  <c r="AE154" i="1"/>
  <c r="AD154" i="1"/>
  <c r="AC154" i="1"/>
  <c r="AA154" i="1"/>
  <c r="AE149" i="1"/>
  <c r="AD149" i="1"/>
  <c r="AC149" i="1"/>
  <c r="AA149" i="1"/>
  <c r="AE148" i="1"/>
  <c r="AD148" i="1"/>
  <c r="AC148" i="1"/>
  <c r="AA148" i="1"/>
  <c r="AE150" i="1"/>
  <c r="AD150" i="1"/>
  <c r="AC150" i="1"/>
  <c r="AA150" i="1"/>
  <c r="AE147" i="1"/>
  <c r="AD147" i="1"/>
  <c r="AC147" i="1"/>
  <c r="AA147" i="1"/>
  <c r="AE146" i="1"/>
  <c r="AD146" i="1"/>
  <c r="AC146" i="1"/>
  <c r="AA146" i="1"/>
  <c r="AE151" i="1"/>
  <c r="AD151" i="1"/>
  <c r="AC151" i="1"/>
  <c r="AA151" i="1"/>
  <c r="AE145" i="1"/>
  <c r="AD145" i="1"/>
  <c r="AC145" i="1"/>
  <c r="AA145" i="1"/>
  <c r="AE144" i="1"/>
  <c r="AD144" i="1"/>
  <c r="AC144" i="1"/>
  <c r="AA144" i="1"/>
  <c r="AE143" i="1"/>
  <c r="AD143" i="1"/>
  <c r="AC143" i="1"/>
  <c r="AA143" i="1"/>
  <c r="AE132" i="1"/>
  <c r="AD132" i="1"/>
  <c r="AC132" i="1"/>
  <c r="AA132" i="1"/>
  <c r="AE131" i="1"/>
  <c r="AD131" i="1"/>
  <c r="AC131" i="1"/>
  <c r="AA131" i="1"/>
  <c r="AE130" i="1"/>
  <c r="AD130" i="1"/>
  <c r="AC130" i="1"/>
  <c r="AA130" i="1"/>
  <c r="AE129" i="1"/>
  <c r="AD129" i="1"/>
  <c r="AC129" i="1"/>
  <c r="AA129" i="1"/>
  <c r="AE126" i="1"/>
  <c r="AD126" i="1"/>
  <c r="AC126" i="1"/>
  <c r="AA126" i="1"/>
  <c r="AE125" i="1"/>
  <c r="AD125" i="1"/>
  <c r="AC125" i="1"/>
  <c r="AA125" i="1"/>
  <c r="AE60" i="1"/>
  <c r="AD60" i="1"/>
  <c r="AC60" i="1"/>
  <c r="AA60" i="1"/>
  <c r="AE59" i="1"/>
  <c r="AD59" i="1"/>
  <c r="AC59" i="1"/>
  <c r="AA59" i="1"/>
  <c r="AE61" i="1"/>
  <c r="AD61" i="1"/>
  <c r="AC61" i="1"/>
  <c r="AA61" i="1"/>
  <c r="AE121" i="1"/>
  <c r="AD121" i="1"/>
  <c r="AC121" i="1"/>
  <c r="AA121" i="1"/>
  <c r="AE12" i="1"/>
  <c r="AD12" i="1"/>
  <c r="AC12" i="1"/>
  <c r="AA12" i="1"/>
  <c r="AE120" i="1"/>
  <c r="AD120" i="1"/>
  <c r="AC120" i="1"/>
  <c r="AA120" i="1"/>
  <c r="AE123" i="1"/>
  <c r="AD123" i="1"/>
  <c r="AC123" i="1"/>
  <c r="AA123" i="1"/>
  <c r="AE119" i="1"/>
  <c r="AD119" i="1"/>
  <c r="AC119" i="1"/>
  <c r="AA119" i="1"/>
  <c r="AE117" i="1"/>
  <c r="AD117" i="1"/>
  <c r="AC117" i="1"/>
  <c r="AA117" i="1"/>
  <c r="AE118" i="1"/>
  <c r="AD118" i="1"/>
  <c r="AC118" i="1"/>
  <c r="AA118" i="1"/>
  <c r="AE92" i="1"/>
  <c r="AD92" i="1"/>
  <c r="AC92" i="1"/>
  <c r="AA92" i="1"/>
  <c r="AE115" i="1"/>
  <c r="AD115" i="1"/>
  <c r="AC115" i="1"/>
  <c r="AA115" i="1"/>
  <c r="AE114" i="1"/>
  <c r="AD114" i="1"/>
  <c r="AC114" i="1"/>
  <c r="AA114" i="1"/>
  <c r="AE113" i="1"/>
  <c r="AD113" i="1"/>
  <c r="AC113" i="1"/>
  <c r="AA113" i="1"/>
  <c r="AE112" i="1"/>
  <c r="AD112" i="1"/>
  <c r="AC112" i="1"/>
  <c r="AA112" i="1"/>
  <c r="AE111" i="1"/>
  <c r="AD111" i="1"/>
  <c r="AC111" i="1"/>
  <c r="AA111" i="1"/>
  <c r="AE110" i="1"/>
  <c r="AD110" i="1"/>
  <c r="AC110" i="1"/>
  <c r="AA110" i="1"/>
  <c r="AE109" i="1"/>
  <c r="AD109" i="1"/>
  <c r="AC109" i="1"/>
  <c r="AA109" i="1"/>
  <c r="AE101" i="1"/>
  <c r="AD101" i="1"/>
  <c r="AC101" i="1"/>
  <c r="AA101" i="1"/>
  <c r="AE106" i="1"/>
  <c r="AD106" i="1"/>
  <c r="AC106" i="1"/>
  <c r="AA106" i="1"/>
  <c r="AE105" i="1"/>
  <c r="AD105" i="1"/>
  <c r="AC105" i="1"/>
  <c r="AA105" i="1"/>
  <c r="AE104" i="1"/>
  <c r="AD104" i="1"/>
  <c r="AC104" i="1"/>
  <c r="AA104" i="1"/>
  <c r="AE100" i="1"/>
  <c r="AD100" i="1"/>
  <c r="AC100" i="1"/>
  <c r="AA100" i="1"/>
  <c r="AE41" i="1"/>
  <c r="AD41" i="1"/>
  <c r="AC41" i="1"/>
  <c r="AA41" i="1"/>
  <c r="AE48" i="1"/>
  <c r="AD48" i="1"/>
  <c r="AC48" i="1"/>
  <c r="AA48" i="1"/>
  <c r="AE44" i="1"/>
  <c r="AD44" i="1"/>
  <c r="AC44" i="1"/>
  <c r="AA44" i="1"/>
  <c r="AE47" i="1"/>
  <c r="AD47" i="1"/>
  <c r="AC47" i="1"/>
  <c r="AA47" i="1"/>
  <c r="AE99" i="1"/>
  <c r="AD99" i="1"/>
  <c r="AC99" i="1"/>
  <c r="AA99" i="1"/>
  <c r="AE98" i="1"/>
  <c r="AD98" i="1"/>
  <c r="AC98" i="1"/>
  <c r="AA98" i="1"/>
  <c r="AE133" i="1"/>
  <c r="AD133" i="1"/>
  <c r="AC133" i="1"/>
  <c r="AA133" i="1"/>
  <c r="AE96" i="1"/>
  <c r="AD96" i="1"/>
  <c r="AC96" i="1"/>
  <c r="AA96" i="1"/>
  <c r="AE95" i="1"/>
  <c r="AD95" i="1"/>
  <c r="AC95" i="1"/>
  <c r="AA95" i="1"/>
  <c r="AE128" i="1"/>
  <c r="AD128" i="1"/>
  <c r="AC128" i="1"/>
  <c r="AA128" i="1"/>
  <c r="AE84" i="1"/>
  <c r="AD84" i="1"/>
  <c r="AC84" i="1"/>
  <c r="AA84" i="1"/>
  <c r="AE83" i="1"/>
  <c r="AD83" i="1"/>
  <c r="AC83" i="1"/>
  <c r="AA83" i="1"/>
  <c r="AE82" i="1"/>
  <c r="AD82" i="1"/>
  <c r="AC82" i="1"/>
  <c r="AA82" i="1"/>
  <c r="AE90" i="1"/>
  <c r="AD90" i="1"/>
  <c r="AC90" i="1"/>
  <c r="AA90" i="1"/>
  <c r="AE89" i="1"/>
  <c r="AD89" i="1"/>
  <c r="AC89" i="1"/>
  <c r="AA89" i="1"/>
  <c r="AE88" i="1"/>
  <c r="AD88" i="1"/>
  <c r="AC88" i="1"/>
  <c r="AA88" i="1"/>
  <c r="AE87" i="1"/>
  <c r="AD87" i="1"/>
  <c r="AC87" i="1"/>
  <c r="AA87" i="1"/>
  <c r="AE86" i="1"/>
  <c r="AD86" i="1"/>
  <c r="AC86" i="1"/>
  <c r="AA86" i="1"/>
  <c r="AE85" i="1"/>
  <c r="AD85" i="1"/>
  <c r="AC85" i="1"/>
  <c r="AA85" i="1"/>
  <c r="AE81" i="1"/>
  <c r="AD81" i="1"/>
  <c r="AC81" i="1"/>
  <c r="AA81" i="1"/>
  <c r="AE80" i="1"/>
  <c r="AD80" i="1"/>
  <c r="AC80" i="1"/>
  <c r="AA80" i="1"/>
  <c r="AE79" i="1"/>
  <c r="AD79" i="1"/>
  <c r="AC79" i="1"/>
  <c r="AA79" i="1"/>
  <c r="AE78" i="1"/>
  <c r="AD78" i="1"/>
  <c r="AC78" i="1"/>
  <c r="AA78" i="1"/>
  <c r="AE77" i="1"/>
  <c r="AD77" i="1"/>
  <c r="AC77" i="1"/>
  <c r="AA77" i="1"/>
  <c r="AE75" i="1"/>
  <c r="AD75" i="1"/>
  <c r="AC75" i="1"/>
  <c r="AA75" i="1"/>
  <c r="AE46" i="1"/>
  <c r="AD46" i="1"/>
  <c r="AC46" i="1"/>
  <c r="AA46" i="1"/>
  <c r="AE76" i="1"/>
  <c r="AD76" i="1"/>
  <c r="AC76" i="1"/>
  <c r="AA76" i="1"/>
  <c r="AE136" i="1"/>
  <c r="AD136" i="1"/>
  <c r="AC136" i="1"/>
  <c r="AA136" i="1"/>
  <c r="AE135" i="1"/>
  <c r="AD135" i="1"/>
  <c r="AC135" i="1"/>
  <c r="AA135" i="1"/>
  <c r="AE134" i="1"/>
  <c r="AD134" i="1"/>
  <c r="AC134" i="1"/>
  <c r="AA134" i="1"/>
  <c r="AE71" i="1"/>
  <c r="AD71" i="1"/>
  <c r="AC71" i="1"/>
  <c r="AA71" i="1"/>
  <c r="AE70" i="1"/>
  <c r="AD70" i="1"/>
  <c r="AC70" i="1"/>
  <c r="AA70" i="1"/>
  <c r="AE72" i="1"/>
  <c r="AD72" i="1"/>
  <c r="AC72" i="1"/>
  <c r="AA72" i="1"/>
  <c r="AE43" i="1"/>
  <c r="AD43" i="1"/>
  <c r="AC43" i="1"/>
  <c r="AA43" i="1"/>
  <c r="AE45" i="1"/>
  <c r="AD45" i="1"/>
  <c r="AC45" i="1"/>
  <c r="AA45" i="1"/>
  <c r="AE9" i="1"/>
  <c r="AD9" i="1"/>
  <c r="AC9" i="1"/>
  <c r="AA9" i="1"/>
  <c r="AE38" i="1"/>
  <c r="AD38" i="1"/>
  <c r="AC38" i="1"/>
  <c r="AA38" i="1"/>
  <c r="AE69" i="1"/>
  <c r="AD69" i="1"/>
  <c r="AC69" i="1"/>
  <c r="AA69" i="1"/>
  <c r="AE68" i="1"/>
  <c r="AD68" i="1"/>
  <c r="AC68" i="1"/>
  <c r="AA68" i="1"/>
  <c r="AE67" i="1"/>
  <c r="AD67" i="1"/>
  <c r="AC67" i="1"/>
  <c r="AA67" i="1"/>
  <c r="AE65" i="1"/>
  <c r="AD65" i="1"/>
  <c r="AC65" i="1"/>
  <c r="AA65" i="1"/>
  <c r="AE64" i="1"/>
  <c r="AD64" i="1"/>
  <c r="AC64" i="1"/>
  <c r="AA64" i="1"/>
  <c r="AE63" i="1"/>
  <c r="AD63" i="1"/>
  <c r="AC63" i="1"/>
  <c r="AA63" i="1"/>
  <c r="AE62" i="1"/>
  <c r="AD62" i="1"/>
  <c r="AC62" i="1"/>
  <c r="AA62" i="1"/>
  <c r="AE73" i="1"/>
  <c r="AD73" i="1"/>
  <c r="AC73" i="1"/>
  <c r="AA73" i="1"/>
  <c r="AE58" i="1"/>
  <c r="AD58" i="1"/>
  <c r="AC58" i="1"/>
  <c r="AA58" i="1"/>
  <c r="AE57" i="1"/>
  <c r="AD57" i="1"/>
  <c r="AC57" i="1"/>
  <c r="AA57" i="1"/>
  <c r="AE56" i="1"/>
  <c r="AD56" i="1"/>
  <c r="AC56" i="1"/>
  <c r="AA56" i="1"/>
  <c r="AE127" i="1"/>
  <c r="AD127" i="1"/>
  <c r="AC127" i="1"/>
  <c r="AA127" i="1"/>
  <c r="AE124" i="1"/>
  <c r="AD124" i="1"/>
  <c r="AC124" i="1"/>
  <c r="AA124" i="1"/>
  <c r="AE116" i="1"/>
  <c r="AD116" i="1"/>
  <c r="AC116" i="1"/>
  <c r="AA116" i="1"/>
  <c r="AE91" i="1"/>
  <c r="AD91" i="1"/>
  <c r="AC91" i="1"/>
  <c r="AA91" i="1"/>
  <c r="AE53" i="1"/>
  <c r="AD53" i="1"/>
  <c r="AC53" i="1"/>
  <c r="AA53" i="1"/>
  <c r="AE51" i="1"/>
  <c r="AD51" i="1"/>
  <c r="AC51" i="1"/>
  <c r="AA51" i="1"/>
  <c r="AE50" i="1"/>
  <c r="AD50" i="1"/>
  <c r="AC50" i="1"/>
  <c r="AA50" i="1"/>
  <c r="AE49" i="1"/>
  <c r="AD49" i="1"/>
  <c r="AC49" i="1"/>
  <c r="AA49" i="1"/>
  <c r="AE97" i="1"/>
  <c r="AD97" i="1"/>
  <c r="AC97" i="1"/>
  <c r="AA97" i="1"/>
  <c r="AE108" i="1"/>
  <c r="AD108" i="1"/>
  <c r="AC108" i="1"/>
  <c r="AA108" i="1"/>
  <c r="AE107" i="1"/>
  <c r="AD107" i="1"/>
  <c r="AC107" i="1"/>
  <c r="AA107" i="1"/>
  <c r="AE74" i="1"/>
  <c r="AD74" i="1"/>
  <c r="AC74" i="1"/>
  <c r="AA74" i="1"/>
  <c r="AE94" i="1"/>
  <c r="AD94" i="1"/>
  <c r="AC94" i="1"/>
  <c r="AA94" i="1"/>
  <c r="AE52" i="1"/>
  <c r="AD52" i="1"/>
  <c r="AC52" i="1"/>
  <c r="AA52" i="1"/>
  <c r="AE14" i="1"/>
  <c r="AD14" i="1"/>
  <c r="AC14" i="1"/>
  <c r="AA14" i="1"/>
  <c r="AE55" i="1"/>
  <c r="AD55" i="1"/>
  <c r="AC55" i="1"/>
  <c r="AA55" i="1"/>
  <c r="AE54" i="1"/>
  <c r="AD54" i="1"/>
  <c r="AC54" i="1"/>
  <c r="AA54" i="1"/>
  <c r="AE39" i="1"/>
  <c r="AD39" i="1"/>
  <c r="AC39" i="1"/>
  <c r="AA39" i="1"/>
  <c r="AE40" i="1"/>
  <c r="AD40" i="1"/>
  <c r="AC40" i="1"/>
  <c r="AA40" i="1"/>
  <c r="AE37" i="1"/>
  <c r="AD37" i="1"/>
  <c r="AC37" i="1"/>
  <c r="AA37" i="1"/>
  <c r="AE36" i="1"/>
  <c r="AD36" i="1"/>
  <c r="AC36" i="1"/>
  <c r="AA36" i="1"/>
  <c r="AE35" i="1"/>
  <c r="AD35" i="1"/>
  <c r="AC35" i="1"/>
  <c r="AA35" i="1"/>
  <c r="AE34" i="1"/>
  <c r="AD34" i="1"/>
  <c r="AC34" i="1"/>
  <c r="AA34" i="1"/>
  <c r="AE33" i="1"/>
  <c r="AD33" i="1"/>
  <c r="AC33" i="1"/>
  <c r="AA33" i="1"/>
  <c r="AE32" i="1"/>
  <c r="AD32" i="1"/>
  <c r="AC32" i="1"/>
  <c r="AA32" i="1"/>
  <c r="AE31" i="1"/>
  <c r="AD31" i="1"/>
  <c r="AC31" i="1"/>
  <c r="AA31" i="1"/>
  <c r="AE30" i="1"/>
  <c r="AD30" i="1"/>
  <c r="AC30" i="1"/>
  <c r="AA30" i="1"/>
  <c r="AE29" i="1"/>
  <c r="AD29" i="1"/>
  <c r="AC29" i="1"/>
  <c r="AA29" i="1"/>
  <c r="AE28" i="1"/>
  <c r="AD28" i="1"/>
  <c r="AC28" i="1"/>
  <c r="AA28" i="1"/>
  <c r="AE27" i="1"/>
  <c r="AD27" i="1"/>
  <c r="AC27" i="1"/>
  <c r="AA27" i="1"/>
  <c r="AE16" i="1"/>
  <c r="AD16" i="1"/>
  <c r="AC16" i="1"/>
  <c r="AA16" i="1"/>
  <c r="AE26" i="1"/>
  <c r="AD26" i="1"/>
  <c r="AC26" i="1"/>
  <c r="AA26" i="1"/>
  <c r="AE25" i="1"/>
  <c r="AD25" i="1"/>
  <c r="AC25" i="1"/>
  <c r="AA25" i="1"/>
  <c r="AE23" i="1"/>
  <c r="AD23" i="1"/>
  <c r="AC23" i="1"/>
  <c r="AA23" i="1"/>
  <c r="AE22" i="1"/>
  <c r="AD22" i="1"/>
  <c r="AC22" i="1"/>
  <c r="AA22" i="1"/>
  <c r="AE24" i="1"/>
  <c r="AD24" i="1"/>
  <c r="AC24" i="1"/>
  <c r="AA24" i="1"/>
  <c r="AE21" i="1"/>
  <c r="AD21" i="1"/>
  <c r="AC21" i="1"/>
  <c r="AA21" i="1"/>
  <c r="AE20" i="1"/>
  <c r="AD20" i="1"/>
  <c r="AC20" i="1"/>
  <c r="AA20" i="1"/>
  <c r="AE142" i="1"/>
  <c r="AD142" i="1"/>
  <c r="AC142" i="1"/>
  <c r="AA142" i="1"/>
  <c r="AE141" i="1"/>
  <c r="AD141" i="1"/>
  <c r="AC141" i="1"/>
  <c r="AA141" i="1"/>
  <c r="AE140" i="1"/>
  <c r="AD140" i="1"/>
  <c r="AC140" i="1"/>
  <c r="AA140" i="1"/>
  <c r="AE19" i="1"/>
  <c r="AD19" i="1"/>
  <c r="AC19" i="1"/>
  <c r="AA19" i="1"/>
  <c r="AE18" i="1"/>
  <c r="AD18" i="1"/>
  <c r="AC18" i="1"/>
  <c r="AA18" i="1"/>
  <c r="AE17" i="1"/>
  <c r="AD17" i="1"/>
  <c r="AC17" i="1"/>
  <c r="AA17" i="1"/>
  <c r="AE15" i="1"/>
  <c r="AD15" i="1"/>
  <c r="AC15" i="1"/>
  <c r="AA15" i="1"/>
  <c r="AE13" i="1"/>
  <c r="AD13" i="1"/>
  <c r="AC13" i="1"/>
  <c r="AA13" i="1"/>
  <c r="AE66" i="1"/>
  <c r="AD66" i="1"/>
  <c r="AC66" i="1"/>
  <c r="AA66" i="1"/>
  <c r="AE11" i="1"/>
  <c r="AD11" i="1"/>
  <c r="AC11" i="1"/>
  <c r="AA11" i="1"/>
  <c r="AE10" i="1"/>
  <c r="AD10" i="1"/>
  <c r="AC10" i="1"/>
  <c r="AA10" i="1"/>
  <c r="AE93" i="1"/>
  <c r="AD93" i="1"/>
  <c r="AC93" i="1"/>
  <c r="AA93" i="1"/>
  <c r="AE7" i="1"/>
  <c r="AD7" i="1"/>
  <c r="AC7" i="1"/>
  <c r="AA7" i="1"/>
  <c r="AE6" i="1"/>
  <c r="AD6" i="1"/>
  <c r="AC6" i="1"/>
  <c r="AA6" i="1"/>
  <c r="AE8" i="1"/>
  <c r="AD8" i="1"/>
  <c r="AC8" i="1"/>
  <c r="AA8" i="1"/>
  <c r="AE4" i="1"/>
  <c r="AD4" i="1"/>
  <c r="AC4" i="1"/>
  <c r="AA4" i="1"/>
  <c r="AE5" i="1"/>
  <c r="AD5" i="1"/>
  <c r="AC5" i="1"/>
  <c r="AA5" i="1"/>
  <c r="AE3" i="1"/>
  <c r="AD3" i="1"/>
  <c r="AC3" i="1"/>
  <c r="AA3" i="1"/>
  <c r="AE2" i="1"/>
  <c r="AD2" i="1"/>
  <c r="AC2" i="1"/>
  <c r="AA2" i="1"/>
  <c r="AT3" i="12"/>
  <c r="AS3" i="12"/>
  <c r="AR3" i="12"/>
  <c r="AQ3" i="12"/>
  <c r="AP3" i="12"/>
  <c r="AO3" i="12"/>
  <c r="AN3" i="12"/>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AT2" i="12"/>
  <c r="AS2" i="12"/>
  <c r="AR2" i="12"/>
  <c r="AQ2" i="12"/>
  <c r="AP2" i="12"/>
  <c r="AO2" i="12"/>
  <c r="AN2" i="12"/>
  <c r="AM2" i="12"/>
  <c r="AL2" i="12"/>
  <c r="AK2" i="12"/>
  <c r="AJ2" i="12"/>
  <c r="AI2" i="12"/>
  <c r="AH2" i="12"/>
  <c r="AG2" i="12"/>
  <c r="AF2" i="12"/>
  <c r="AE2" i="12"/>
  <c r="AD2" i="12"/>
  <c r="AC2" i="12"/>
  <c r="AB2" i="12"/>
  <c r="AA2" i="12"/>
  <c r="Z2" i="12"/>
  <c r="Y2" i="12"/>
  <c r="X2" i="12"/>
  <c r="W2" i="12"/>
  <c r="V2" i="12"/>
  <c r="U2" i="12"/>
  <c r="T2" i="12"/>
  <c r="S2" i="12"/>
  <c r="R2" i="12"/>
  <c r="Q2" i="12"/>
  <c r="P2" i="12"/>
  <c r="O2" i="12"/>
  <c r="N2" i="12"/>
  <c r="M2" i="12"/>
  <c r="L2" i="12"/>
  <c r="K2" i="12"/>
  <c r="E17" i="11" l="1"/>
  <c r="Q28" i="9" l="1"/>
  <c r="O28" i="9"/>
  <c r="N28" i="9"/>
  <c r="M28" i="9"/>
  <c r="L28" i="9"/>
  <c r="P27" i="9"/>
  <c r="R27" i="9" s="1"/>
  <c r="S27" i="9" s="1"/>
  <c r="T27" i="9" s="1"/>
  <c r="P26" i="9"/>
  <c r="R26" i="9" s="1"/>
  <c r="S26" i="9" s="1"/>
  <c r="T26" i="9" s="1"/>
  <c r="P25" i="9"/>
  <c r="R25" i="9" s="1"/>
  <c r="S25" i="9" s="1"/>
  <c r="T25" i="9" s="1"/>
  <c r="P24" i="9"/>
  <c r="R24" i="9" s="1"/>
  <c r="S24" i="9" s="1"/>
  <c r="T24" i="9" s="1"/>
  <c r="P23" i="9"/>
  <c r="R23" i="9" s="1"/>
  <c r="S23" i="9" s="1"/>
  <c r="K13" i="9"/>
  <c r="Q12" i="9"/>
  <c r="R12" i="9" s="1"/>
  <c r="S12" i="9" s="1"/>
  <c r="Q11" i="9"/>
  <c r="R11" i="9" s="1"/>
  <c r="S11" i="9" s="1"/>
  <c r="Q10" i="9"/>
  <c r="R10" i="9" s="1"/>
  <c r="S10" i="9" s="1"/>
  <c r="Q9" i="9"/>
  <c r="R9" i="9" s="1"/>
  <c r="S9" i="9" s="1"/>
  <c r="Q8" i="9"/>
  <c r="R8" i="9" s="1"/>
  <c r="S8" i="9" s="1"/>
  <c r="P13" i="9"/>
  <c r="O13" i="9"/>
  <c r="N13" i="9"/>
  <c r="M13" i="9"/>
  <c r="L13" i="9"/>
  <c r="S131" i="4"/>
  <c r="T131" i="4" s="1"/>
  <c r="T130" i="4"/>
  <c r="S129" i="4"/>
  <c r="T129" i="4" s="1"/>
  <c r="S128" i="4"/>
  <c r="T128" i="4" s="1"/>
  <c r="S127" i="4"/>
  <c r="T127" i="4" s="1"/>
  <c r="S126" i="4"/>
  <c r="T126" i="4" s="1"/>
  <c r="S124" i="4"/>
  <c r="T124" i="4" s="1"/>
  <c r="S123" i="4"/>
  <c r="T123" i="4" s="1"/>
  <c r="S125" i="4"/>
  <c r="T125" i="4" s="1"/>
  <c r="R113" i="4"/>
  <c r="P113" i="4"/>
  <c r="O113" i="4"/>
  <c r="N113" i="4"/>
  <c r="M113" i="4"/>
  <c r="Q103" i="4"/>
  <c r="S103" i="4" s="1"/>
  <c r="T103" i="4" s="1"/>
  <c r="U103" i="4" s="1"/>
  <c r="Q112" i="4"/>
  <c r="S112" i="4" s="1"/>
  <c r="T112" i="4" s="1"/>
  <c r="U112" i="4" s="1"/>
  <c r="Q111" i="4"/>
  <c r="S111" i="4" s="1"/>
  <c r="T111" i="4" s="1"/>
  <c r="U111" i="4" s="1"/>
  <c r="Q110" i="4"/>
  <c r="S110" i="4" s="1"/>
  <c r="T110" i="4" s="1"/>
  <c r="U110" i="4" s="1"/>
  <c r="Q109" i="4"/>
  <c r="S109" i="4" s="1"/>
  <c r="T109" i="4" s="1"/>
  <c r="U109" i="4" s="1"/>
  <c r="Q108" i="4"/>
  <c r="S108" i="4" s="1"/>
  <c r="T108" i="4" s="1"/>
  <c r="U108" i="4" s="1"/>
  <c r="Q107" i="4"/>
  <c r="S107" i="4" s="1"/>
  <c r="T107" i="4" s="1"/>
  <c r="U107" i="4" s="1"/>
  <c r="Q106" i="4"/>
  <c r="S106" i="4" s="1"/>
  <c r="T106" i="4" s="1"/>
  <c r="U106" i="4" s="1"/>
  <c r="Q105" i="4"/>
  <c r="S105" i="4" s="1"/>
  <c r="T105" i="4" s="1"/>
  <c r="U105" i="4" s="1"/>
  <c r="Q104" i="4"/>
  <c r="S104" i="4" s="1"/>
  <c r="T104" i="4" s="1"/>
  <c r="U104" i="4" s="1"/>
  <c r="T46" i="7"/>
  <c r="T54" i="7"/>
  <c r="P53" i="7"/>
  <c r="T53" i="7"/>
  <c r="T23" i="9" l="1"/>
  <c r="S28" i="9"/>
  <c r="T28" i="9" s="1"/>
  <c r="P28" i="9"/>
  <c r="R28" i="9"/>
  <c r="R13" i="9"/>
  <c r="S13" i="9" s="1"/>
  <c r="Q13" i="9"/>
  <c r="S132" i="4"/>
  <c r="T113" i="4"/>
  <c r="U113" i="4" s="1"/>
  <c r="S113" i="4"/>
  <c r="Q113" i="4"/>
  <c r="O53" i="7"/>
  <c r="O52" i="7"/>
  <c r="O51" i="7"/>
  <c r="O50" i="7"/>
  <c r="O49" i="7"/>
  <c r="O48" i="7"/>
  <c r="O47" i="7"/>
  <c r="O46" i="7"/>
  <c r="O45" i="7"/>
  <c r="S53" i="7"/>
  <c r="S52" i="7"/>
  <c r="S51" i="7"/>
  <c r="S50" i="7"/>
  <c r="S49" i="7"/>
  <c r="S48" i="7"/>
  <c r="S47" i="7"/>
  <c r="S46" i="7"/>
  <c r="S54" i="7"/>
  <c r="S45" i="7"/>
  <c r="R54" i="7"/>
  <c r="N54" i="7"/>
  <c r="T132" i="4" l="1"/>
  <c r="R133" i="4"/>
  <c r="Q133" i="4"/>
  <c r="P133" i="4"/>
  <c r="O133" i="4"/>
  <c r="M133" i="4"/>
  <c r="N133" i="4"/>
  <c r="G54" i="7"/>
  <c r="F54" i="7"/>
  <c r="E54" i="7"/>
  <c r="D54" i="7"/>
  <c r="C54" i="7"/>
  <c r="B54" i="7"/>
  <c r="H54" i="7"/>
  <c r="I54" i="7"/>
  <c r="J53" i="7"/>
  <c r="J52" i="7"/>
  <c r="J51" i="7"/>
  <c r="J50" i="7"/>
  <c r="J49" i="7"/>
  <c r="J48" i="7"/>
  <c r="J47" i="7"/>
  <c r="J54" i="7" s="1"/>
  <c r="J46" i="7"/>
  <c r="J45" i="7"/>
  <c r="B152" i="7"/>
  <c r="C152" i="7" s="1"/>
  <c r="D152" i="7" s="1"/>
  <c r="E152" i="7" s="1"/>
  <c r="G140" i="7"/>
  <c r="G153" i="7"/>
  <c r="D151" i="7"/>
  <c r="C151" i="7"/>
  <c r="B151" i="7"/>
  <c r="H133" i="7"/>
  <c r="H132" i="7"/>
  <c r="H131" i="7"/>
  <c r="H130" i="7"/>
  <c r="H129" i="7"/>
  <c r="H128" i="7"/>
  <c r="H127" i="7"/>
  <c r="G134" i="7"/>
  <c r="F134" i="7"/>
  <c r="E134" i="7"/>
  <c r="D134" i="7"/>
  <c r="C134" i="7"/>
  <c r="B134" i="7"/>
  <c r="G122" i="7"/>
  <c r="F122" i="7"/>
  <c r="E122" i="7"/>
  <c r="D122" i="7"/>
  <c r="C122" i="7"/>
  <c r="B122" i="7"/>
  <c r="H121" i="7"/>
  <c r="H120" i="7"/>
  <c r="H119" i="7"/>
  <c r="H118" i="7"/>
  <c r="H117" i="7"/>
  <c r="H116" i="7"/>
  <c r="H115" i="7"/>
  <c r="H114" i="7"/>
  <c r="H134" i="7" l="1"/>
  <c r="H122" i="7"/>
  <c r="AI80" i="7" l="1"/>
  <c r="AI79" i="7"/>
  <c r="AH80" i="7"/>
  <c r="AH79" i="7"/>
  <c r="L47" i="7" l="1"/>
  <c r="M47" i="7" s="1"/>
  <c r="I41" i="7"/>
  <c r="F41" i="7"/>
  <c r="E41" i="7"/>
  <c r="C41" i="7"/>
  <c r="B41" i="7"/>
  <c r="R25" i="7"/>
  <c r="R24" i="7"/>
  <c r="R23" i="7"/>
  <c r="R22" i="7"/>
  <c r="R21" i="7"/>
  <c r="R20" i="7"/>
  <c r="R19" i="7"/>
  <c r="R18" i="7"/>
  <c r="R17" i="7"/>
  <c r="R16" i="7"/>
  <c r="R15" i="7"/>
  <c r="R14" i="7"/>
  <c r="R13" i="7"/>
  <c r="R11" i="7"/>
  <c r="R10" i="7"/>
  <c r="R9" i="7"/>
  <c r="R8" i="7"/>
  <c r="R7" i="7"/>
  <c r="R6" i="7"/>
  <c r="R5" i="7"/>
  <c r="R4" i="7"/>
  <c r="R2" i="7"/>
  <c r="O25" i="7"/>
  <c r="O24" i="7"/>
  <c r="O23" i="7"/>
  <c r="O22" i="7"/>
  <c r="O21" i="7"/>
  <c r="O20" i="7"/>
  <c r="O19" i="7"/>
  <c r="O18" i="7"/>
  <c r="O17" i="7"/>
  <c r="O16" i="7"/>
  <c r="O15" i="7"/>
  <c r="O14" i="7"/>
  <c r="O13" i="7"/>
  <c r="O11" i="7"/>
  <c r="O10" i="7"/>
  <c r="O9" i="7"/>
  <c r="O8" i="7"/>
  <c r="O7" i="7"/>
  <c r="O6" i="7"/>
  <c r="O5" i="7"/>
  <c r="O4" i="7"/>
  <c r="O2" i="7"/>
  <c r="G95" i="7"/>
  <c r="F95" i="7"/>
  <c r="E95" i="7"/>
  <c r="D95" i="7"/>
  <c r="C95" i="7"/>
  <c r="B95" i="7"/>
  <c r="G86" i="7"/>
  <c r="F86" i="7"/>
  <c r="E86" i="7"/>
  <c r="D86" i="7"/>
  <c r="C86" i="7"/>
  <c r="B86" i="7"/>
  <c r="K53" i="7"/>
  <c r="K52" i="7"/>
  <c r="K51" i="7"/>
  <c r="K50" i="7"/>
  <c r="K49" i="7"/>
  <c r="K48" i="7"/>
  <c r="K47" i="7"/>
  <c r="K46" i="7"/>
  <c r="K45" i="7"/>
  <c r="M12" i="7"/>
  <c r="M3" i="7"/>
  <c r="J12" i="7"/>
  <c r="J3" i="7"/>
  <c r="D12" i="7"/>
  <c r="O12" i="7" s="1"/>
  <c r="D3" i="7"/>
  <c r="O3" i="7" s="1"/>
  <c r="K20" i="7"/>
  <c r="K19" i="7"/>
  <c r="K18" i="7"/>
  <c r="K17" i="7"/>
  <c r="K16" i="7"/>
  <c r="K15" i="7"/>
  <c r="K14" i="7"/>
  <c r="K13" i="7"/>
  <c r="K11" i="7"/>
  <c r="K10" i="7"/>
  <c r="K9" i="7"/>
  <c r="K8" i="7"/>
  <c r="K7" i="7"/>
  <c r="K6" i="7"/>
  <c r="K5" i="7"/>
  <c r="K4" i="7"/>
  <c r="K25" i="7"/>
  <c r="K24" i="7"/>
  <c r="K23" i="7"/>
  <c r="K22" i="7"/>
  <c r="K21" i="7"/>
  <c r="K2" i="7"/>
  <c r="E12" i="7"/>
  <c r="I12" i="7"/>
  <c r="R12" i="7" s="1"/>
  <c r="I3" i="7"/>
  <c r="R3" i="7" s="1"/>
  <c r="K54" i="7" l="1"/>
  <c r="T50" i="7"/>
  <c r="S9" i="7"/>
  <c r="S6" i="7"/>
  <c r="S15" i="7"/>
  <c r="S23" i="7"/>
  <c r="S7" i="7"/>
  <c r="S16" i="7"/>
  <c r="S24" i="7"/>
  <c r="S8" i="7"/>
  <c r="S17" i="7"/>
  <c r="B109" i="7"/>
  <c r="S25" i="7"/>
  <c r="S18" i="7"/>
  <c r="S19" i="7"/>
  <c r="F109" i="7"/>
  <c r="S10" i="7"/>
  <c r="S2" i="7"/>
  <c r="S20" i="7"/>
  <c r="C109" i="7"/>
  <c r="S4" i="7"/>
  <c r="S13" i="7"/>
  <c r="S11" i="7"/>
  <c r="S5" i="7"/>
  <c r="S14" i="7"/>
  <c r="S22" i="7"/>
  <c r="P50" i="7"/>
  <c r="E109" i="7"/>
  <c r="S3" i="7"/>
  <c r="S12" i="7"/>
  <c r="G109" i="7"/>
  <c r="D109" i="7"/>
  <c r="O26" i="7"/>
  <c r="R26" i="7"/>
  <c r="S21" i="7"/>
  <c r="J26" i="7"/>
  <c r="O54" i="7"/>
  <c r="K12" i="7"/>
  <c r="K3" i="7"/>
  <c r="M26" i="7"/>
  <c r="I109" i="7" l="1"/>
  <c r="J109" i="7" s="1"/>
  <c r="S26" i="7"/>
  <c r="I26" i="7"/>
  <c r="G16" i="7"/>
  <c r="P16" i="7" s="1"/>
  <c r="G13" i="7"/>
  <c r="P13" i="7" s="1"/>
  <c r="G20" i="7"/>
  <c r="P20" i="7" s="1"/>
  <c r="G14" i="7"/>
  <c r="P14" i="7" s="1"/>
  <c r="G19" i="7"/>
  <c r="P19" i="7" s="1"/>
  <c r="G15" i="7"/>
  <c r="P15" i="7" s="1"/>
  <c r="G18" i="7"/>
  <c r="P18" i="7" s="1"/>
  <c r="G17" i="7"/>
  <c r="P17" i="7" s="1"/>
  <c r="G11" i="7"/>
  <c r="P11" i="7" s="1"/>
  <c r="G9" i="7"/>
  <c r="P9" i="7" s="1"/>
  <c r="G10" i="7"/>
  <c r="P10" i="7" s="1"/>
  <c r="G8" i="7"/>
  <c r="P8" i="7" s="1"/>
  <c r="G7" i="7"/>
  <c r="P7" i="7" s="1"/>
  <c r="G6" i="7"/>
  <c r="P6" i="7" s="1"/>
  <c r="G5" i="7"/>
  <c r="P5" i="7" s="1"/>
  <c r="G4" i="7"/>
  <c r="P4" i="7" s="1"/>
  <c r="G25" i="7"/>
  <c r="P25" i="7" s="1"/>
  <c r="G24" i="7"/>
  <c r="P24" i="7" s="1"/>
  <c r="G23" i="7"/>
  <c r="P23" i="7" s="1"/>
  <c r="G22" i="7"/>
  <c r="P22" i="7" s="1"/>
  <c r="G21" i="7"/>
  <c r="P21" i="7" s="1"/>
  <c r="G12" i="7"/>
  <c r="P12" i="7" s="1"/>
  <c r="G3" i="7"/>
  <c r="P3" i="7" s="1"/>
  <c r="G2" i="7"/>
  <c r="P2" i="7" s="1"/>
  <c r="D26" i="7"/>
  <c r="C26" i="7"/>
  <c r="B26" i="7"/>
  <c r="F12" i="7"/>
  <c r="F17" i="7"/>
  <c r="F18" i="7"/>
  <c r="F15" i="7"/>
  <c r="F19" i="7"/>
  <c r="F14" i="7"/>
  <c r="F20" i="7"/>
  <c r="F13" i="7"/>
  <c r="F16" i="7"/>
  <c r="AE76" i="7"/>
  <c r="AE75" i="7"/>
  <c r="AE74" i="7"/>
  <c r="AE73" i="7"/>
  <c r="AE72" i="7"/>
  <c r="AE71" i="7"/>
  <c r="AE70" i="7"/>
  <c r="AE69" i="7"/>
  <c r="AE68" i="7"/>
  <c r="AE67" i="7"/>
  <c r="AE66" i="7"/>
  <c r="AE65" i="7"/>
  <c r="AE64" i="7"/>
  <c r="AE63" i="7"/>
  <c r="AE62" i="7"/>
  <c r="AE61" i="7"/>
  <c r="AE60" i="7"/>
  <c r="AD76" i="7"/>
  <c r="AD75" i="7"/>
  <c r="AD74" i="7"/>
  <c r="AD73" i="7"/>
  <c r="AD72" i="7"/>
  <c r="AF72" i="7" s="1"/>
  <c r="AD71" i="7"/>
  <c r="AD70" i="7"/>
  <c r="AD69" i="7"/>
  <c r="AD68" i="7"/>
  <c r="AD67" i="7"/>
  <c r="AD66" i="7"/>
  <c r="AD65" i="7"/>
  <c r="AD64" i="7"/>
  <c r="AF64" i="7" s="1"/>
  <c r="AD63" i="7"/>
  <c r="AD62" i="7"/>
  <c r="AD61" i="7"/>
  <c r="AD60" i="7"/>
  <c r="AB76" i="7"/>
  <c r="AB75" i="7"/>
  <c r="AB74" i="7"/>
  <c r="AB73" i="7"/>
  <c r="AB72" i="7"/>
  <c r="AB71" i="7"/>
  <c r="AB70" i="7"/>
  <c r="AB69" i="7"/>
  <c r="AB68" i="7"/>
  <c r="AB67" i="7"/>
  <c r="AB66" i="7"/>
  <c r="AB65" i="7"/>
  <c r="AB64" i="7"/>
  <c r="AB63" i="7"/>
  <c r="AB62" i="7"/>
  <c r="AB61" i="7"/>
  <c r="AB60" i="7"/>
  <c r="W76" i="7"/>
  <c r="W75" i="7"/>
  <c r="W74" i="7"/>
  <c r="W73" i="7"/>
  <c r="W72" i="7"/>
  <c r="W71" i="7"/>
  <c r="W70" i="7"/>
  <c r="W69" i="7"/>
  <c r="W68" i="7"/>
  <c r="W67" i="7"/>
  <c r="W66" i="7"/>
  <c r="W65" i="7"/>
  <c r="W64" i="7"/>
  <c r="W63" i="7"/>
  <c r="W62" i="7"/>
  <c r="W61" i="7"/>
  <c r="W60" i="7"/>
  <c r="X76" i="7"/>
  <c r="X75" i="7"/>
  <c r="X74" i="7"/>
  <c r="X73" i="7"/>
  <c r="X72" i="7"/>
  <c r="X71" i="7"/>
  <c r="X70" i="7"/>
  <c r="X69" i="7"/>
  <c r="X68" i="7"/>
  <c r="X67" i="7"/>
  <c r="X66" i="7"/>
  <c r="X65" i="7"/>
  <c r="X64" i="7"/>
  <c r="X63" i="7"/>
  <c r="X61" i="7"/>
  <c r="X60" i="7"/>
  <c r="V77" i="7"/>
  <c r="U77" i="7"/>
  <c r="O76" i="7"/>
  <c r="O75" i="7"/>
  <c r="O74" i="7"/>
  <c r="O73" i="7"/>
  <c r="O72" i="7"/>
  <c r="O71" i="7"/>
  <c r="O70" i="7"/>
  <c r="O69" i="7"/>
  <c r="O68" i="7"/>
  <c r="O67" i="7"/>
  <c r="O66" i="7"/>
  <c r="O65" i="7"/>
  <c r="O64" i="7"/>
  <c r="O63" i="7"/>
  <c r="O62" i="7"/>
  <c r="O61" i="7"/>
  <c r="O60" i="7"/>
  <c r="G76" i="7"/>
  <c r="G75" i="7"/>
  <c r="G74" i="7"/>
  <c r="G73" i="7"/>
  <c r="G72" i="7"/>
  <c r="G71" i="7"/>
  <c r="G70" i="7"/>
  <c r="G69" i="7"/>
  <c r="G68" i="7"/>
  <c r="G67" i="7"/>
  <c r="G66" i="7"/>
  <c r="G65" i="7"/>
  <c r="G64" i="7"/>
  <c r="G63" i="7"/>
  <c r="G62" i="7"/>
  <c r="G61" i="7"/>
  <c r="G60" i="7"/>
  <c r="P76" i="7"/>
  <c r="P75" i="7"/>
  <c r="P74" i="7"/>
  <c r="P73" i="7"/>
  <c r="P72" i="7"/>
  <c r="P71" i="7"/>
  <c r="P70" i="7"/>
  <c r="P69" i="7"/>
  <c r="P68" i="7"/>
  <c r="P67" i="7"/>
  <c r="P66" i="7"/>
  <c r="P65" i="7"/>
  <c r="P64" i="7"/>
  <c r="P63" i="7"/>
  <c r="P62" i="7"/>
  <c r="P61" i="7"/>
  <c r="P60" i="7"/>
  <c r="H76" i="7"/>
  <c r="H75" i="7"/>
  <c r="H74" i="7"/>
  <c r="H73" i="7"/>
  <c r="H72" i="7"/>
  <c r="H71" i="7"/>
  <c r="H70" i="7"/>
  <c r="H69" i="7"/>
  <c r="H68" i="7"/>
  <c r="H67" i="7"/>
  <c r="H66" i="7"/>
  <c r="H65" i="7"/>
  <c r="H64" i="7"/>
  <c r="H63" i="7"/>
  <c r="H62" i="7"/>
  <c r="H61" i="7"/>
  <c r="H60" i="7"/>
  <c r="N77" i="7"/>
  <c r="M77" i="7"/>
  <c r="F77" i="7"/>
  <c r="E77" i="7"/>
  <c r="AA77" i="7"/>
  <c r="Z77" i="7"/>
  <c r="K77" i="7"/>
  <c r="J77" i="7"/>
  <c r="S77" i="7"/>
  <c r="R77" i="7"/>
  <c r="X62" i="7" s="1"/>
  <c r="L77" i="7"/>
  <c r="T77" i="7"/>
  <c r="D77" i="7"/>
  <c r="C77" i="7"/>
  <c r="B77" i="7"/>
  <c r="F25" i="7"/>
  <c r="F24" i="7"/>
  <c r="F23" i="7"/>
  <c r="F22" i="7"/>
  <c r="F21" i="7"/>
  <c r="F2" i="7"/>
  <c r="F11" i="7"/>
  <c r="F9" i="7"/>
  <c r="F10" i="7"/>
  <c r="F8" i="7"/>
  <c r="F7" i="7"/>
  <c r="F6" i="7"/>
  <c r="F5" i="7"/>
  <c r="F4" i="7"/>
  <c r="E3" i="7"/>
  <c r="E26" i="7" s="1"/>
  <c r="P26" i="7" l="1"/>
  <c r="AF62" i="7"/>
  <c r="AF63" i="7"/>
  <c r="AF70" i="7"/>
  <c r="AF71" i="7"/>
  <c r="AF61" i="7"/>
  <c r="AF69" i="7"/>
  <c r="AF60" i="7"/>
  <c r="AF68" i="7"/>
  <c r="K26" i="7"/>
  <c r="AF65" i="7"/>
  <c r="AF73" i="7"/>
  <c r="AF74" i="7"/>
  <c r="AF67" i="7"/>
  <c r="AF66" i="7"/>
  <c r="G26" i="7"/>
  <c r="AF75" i="7"/>
  <c r="AF76" i="7"/>
  <c r="AE77" i="7"/>
  <c r="AD77" i="7"/>
  <c r="AB77" i="7"/>
  <c r="W77" i="7"/>
  <c r="X77" i="7"/>
  <c r="G77" i="7"/>
  <c r="O77" i="7"/>
  <c r="P77" i="7"/>
  <c r="H77" i="7"/>
  <c r="F3" i="7"/>
  <c r="F26" i="7" s="1"/>
  <c r="AI77" i="7" l="1"/>
  <c r="AH81" i="7"/>
  <c r="AF7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Brianne</author>
  </authors>
  <commentList>
    <comment ref="F28" authorId="0" shapeId="0" xr:uid="{15FDF551-9903-5043-A58D-470A8BCE9E69}">
      <text>
        <r>
          <rPr>
            <b/>
            <sz val="9"/>
            <color rgb="FF000000"/>
            <rFont val="Tahoma"/>
            <family val="2"/>
          </rPr>
          <t>Brianne:</t>
        </r>
        <r>
          <rPr>
            <sz val="9"/>
            <color rgb="FF000000"/>
            <rFont val="Tahoma"/>
            <family val="2"/>
          </rPr>
          <t xml:space="preserve">
</t>
        </r>
        <r>
          <rPr>
            <sz val="9"/>
            <color rgb="FF000000"/>
            <rFont val="Tahoma"/>
            <family val="2"/>
          </rPr>
          <t>Can be up to AD level; Manager/Sr. Manager could be 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tc={5A14E02F-19A6-0D40-ABB1-461D5D279B4A}</author>
    <author>tc={442F7944-9BCB-DC4D-90D6-4503BCB3AD81}</author>
  </authors>
  <commentList>
    <comment ref="K90" authorId="0" shapeId="0" xr:uid="{5A14E02F-19A6-0D40-ABB1-461D5D279B4A}">
      <text>
        <t>[Threaded comment]
Your version of Excel allows you to read this threaded comment; however, any edits to it will get removed if the file is opened in a newer version of Excel. Learn more: https://go.microsoft.com/fwlink/?linkid=870924
Comment:
    As Peiwen is moved out from this role, and the backfill will be needed in 2027.</t>
      </text>
    </comment>
    <comment ref="D165" authorId="1" shapeId="0" xr:uid="{442F7944-9BCB-DC4D-90D6-4503BCB3AD81}">
      <text>
        <t>[Threaded comment]
Your version of Excel allows you to read this threaded comment; however, any edits to it will get removed if the file is opened in a newer version of Excel. Learn more: https://go.microsoft.com/fwlink/?linkid=870924
Comment:
    @Prameela Ramesan  Have you reviewed these to make sure they capture what you need?</t>
      </text>
    </comment>
  </commentList>
</comments>
</file>

<file path=xl/sharedStrings.xml><?xml version="1.0" encoding="utf-8"?>
<sst xmlns="http://schemas.openxmlformats.org/spreadsheetml/2006/main" count="13135" uniqueCount="2126">
  <si>
    <t>Temp Job ID</t>
  </si>
  <si>
    <t>Function</t>
  </si>
  <si>
    <t>Department</t>
  </si>
  <si>
    <t>Requestor / Manager</t>
  </si>
  <si>
    <t>Employee Type</t>
  </si>
  <si>
    <t>Level</t>
  </si>
  <si>
    <t>Title</t>
  </si>
  <si>
    <t>Location</t>
  </si>
  <si>
    <t>Target Start Dt</t>
  </si>
  <si>
    <t>Recruiting Status</t>
  </si>
  <si>
    <t>Recruiter</t>
  </si>
  <si>
    <t>Hired Name</t>
  </si>
  <si>
    <t>HiBob ID</t>
  </si>
  <si>
    <t>Asset</t>
  </si>
  <si>
    <t>Key Capability</t>
  </si>
  <si>
    <t>Catalyst for Growth (business rationale, key deliverables, etc.)</t>
  </si>
  <si>
    <t>Milestone / Trigger for Hire</t>
  </si>
  <si>
    <t>Talent Assessment</t>
  </si>
  <si>
    <t>Horizon 1</t>
  </si>
  <si>
    <t>Tradeoff?</t>
  </si>
  <si>
    <t>FP&amp;A
(CM - Level)</t>
  </si>
  <si>
    <t>FP&amp;A
(CM - Timing)</t>
  </si>
  <si>
    <t>FP&amp;A
(Note)</t>
  </si>
  <si>
    <t>FP&amp;A
(255 Approved FTEs)</t>
  </si>
  <si>
    <t>FP&amp;A
(Dept)</t>
  </si>
  <si>
    <t>FP&amp;A
(Dept Tie Out)</t>
  </si>
  <si>
    <t>FP&amp;A
(FTE Name)</t>
  </si>
  <si>
    <t>FP&amp;A
(Level)</t>
  </si>
  <si>
    <t>FP&amp;A
(Title)</t>
  </si>
  <si>
    <t>FP&amp;A
(Hire Date)</t>
  </si>
  <si>
    <t>Notes</t>
  </si>
  <si>
    <t>Communications</t>
  </si>
  <si>
    <t>930 Communications</t>
  </si>
  <si>
    <t>Tassos Gianakakos</t>
  </si>
  <si>
    <t>FTE</t>
  </si>
  <si>
    <t>09 - C-Suite</t>
  </si>
  <si>
    <t>Chief Communications Officer</t>
  </si>
  <si>
    <t>SSF</t>
  </si>
  <si>
    <t>2024 Q3</t>
  </si>
  <si>
    <t>Hired</t>
  </si>
  <si>
    <t>HIRED: Emily Faucette</t>
  </si>
  <si>
    <t>UA</t>
  </si>
  <si>
    <t>Communications Leader</t>
  </si>
  <si>
    <t>1. In line with Budget</t>
  </si>
  <si>
    <t>Included In Budget (Current FTE)</t>
  </si>
  <si>
    <t>x</t>
  </si>
  <si>
    <t>OK</t>
  </si>
  <si>
    <t>Emily Faucette</t>
  </si>
  <si>
    <t>07 - Exec. Director</t>
  </si>
  <si>
    <t>Executive Director, Corporate Communications</t>
  </si>
  <si>
    <t>PNJ</t>
  </si>
  <si>
    <t>2025 Q3</t>
  </si>
  <si>
    <t>Yen</t>
  </si>
  <si>
    <t>HIRED: Michael Bachner</t>
  </si>
  <si>
    <t>External Communications (scenario planning, writing, media and website strategy to support data read outs, pipeline developments and corporate milestons)</t>
  </si>
  <si>
    <t xml:space="preserve">Pipeline introduction </t>
  </si>
  <si>
    <t xml:space="preserve">EC levergae hire to support pipeline introduction and upcoming data readouts </t>
  </si>
  <si>
    <t>Experienced Leader with proven track record who can hit the ground running, set strategy, mobilize resources and execute directly as needed.  Must be willing (and motivated) to roll up sleeves and do the work.</t>
  </si>
  <si>
    <t>06 - Sr. Director</t>
  </si>
  <si>
    <t>KardiPro Internal and External Communications</t>
  </si>
  <si>
    <t>Chicago</t>
  </si>
  <si>
    <t>2026 Q1</t>
  </si>
  <si>
    <t>Open</t>
  </si>
  <si>
    <t>Steven</t>
  </si>
  <si>
    <t>N/A</t>
  </si>
  <si>
    <t>As the company launches the OKORO Heart Study and introduces Prolaio publically, we need to have a dedicated communications resource based in Chicago to oversee external communications (press releases, media outreach), partner with marketing on website and social media and develop a cohesive internal communications strategy to connect the Prolaians to each other and Kardigan as appropriate.</t>
  </si>
  <si>
    <t>Company growth, OKORO study launch, increased external presence and ongoing need to connect Kardigan and Prolaio people and stories as appropriate to drive each business forward.</t>
  </si>
  <si>
    <t>Kardigan acquiaition, OKORO study launch, first ever ublic presence beyond customer outreach</t>
  </si>
  <si>
    <t>Experienced Communications leader with proven track record who can hit the ground running, set strategy, mobilize resources and execute directly as needed.  Must be willing (and motivated) to roll up sleeves and do the work. Health Tech experience a plus</t>
  </si>
  <si>
    <t>Included In Budget (Open Role)</t>
  </si>
  <si>
    <t>Exec Director, Internal Communication</t>
  </si>
  <si>
    <t>2026 Q2</t>
  </si>
  <si>
    <t>Employee communications roadmap to drive internal engagement, connectivity and re-recruitment across sites, partner with on Employer Brand, partner with P&amp;C and IT on intranet startegy</t>
  </si>
  <si>
    <t>As company grows above 100 across 3 locations, increasinly important to have a seasoned, strategic internal communication expert to build a well thought out plan, including the resources to execute</t>
  </si>
  <si>
    <t xml:space="preserve">Pipeline introduction and upcoming data readouts </t>
  </si>
  <si>
    <t>3. Upgrade</t>
  </si>
  <si>
    <t>2. Delayed</t>
  </si>
  <si>
    <t>Development</t>
  </si>
  <si>
    <t>205 Executive Development</t>
  </si>
  <si>
    <t>Jaclyn Patterson</t>
  </si>
  <si>
    <t>TG</t>
  </si>
  <si>
    <t>01 - Below Manager</t>
  </si>
  <si>
    <t>Senior Executive Assistant</t>
  </si>
  <si>
    <t>Kim</t>
  </si>
  <si>
    <t>HIRED: Nichole Mirisis-Franks</t>
  </si>
  <si>
    <t>Executive assistant - Dev Ops and GPH's</t>
  </si>
  <si>
    <t>4. Incremental Request</t>
  </si>
  <si>
    <t>Incremental Request</t>
  </si>
  <si>
    <t>Confirm w/ P&amp;C</t>
  </si>
  <si>
    <t>OOBR</t>
  </si>
  <si>
    <t>CMO and Co-Founder</t>
  </si>
  <si>
    <t>2024 Q1</t>
  </si>
  <si>
    <t>HIRED: Jay Edelberg</t>
  </si>
  <si>
    <t>Lead Development Org</t>
  </si>
  <si>
    <t>Jay Edelberg</t>
  </si>
  <si>
    <t>HIred</t>
  </si>
  <si>
    <t>HIRED: Jen Yu</t>
  </si>
  <si>
    <t>Executive assistant - Dev and Quality</t>
  </si>
  <si>
    <t>05 - Director</t>
  </si>
  <si>
    <t>Director, Chief of Staff</t>
  </si>
  <si>
    <t>2026 Q3</t>
  </si>
  <si>
    <t>TBD</t>
  </si>
  <si>
    <t>Potential Tradeoff</t>
  </si>
  <si>
    <t>3. Accelerated</t>
  </si>
  <si>
    <t>208 Early Development</t>
  </si>
  <si>
    <t>08 - VP</t>
  </si>
  <si>
    <t>Vice President, Early Development</t>
  </si>
  <si>
    <t>2024 Q4</t>
  </si>
  <si>
    <t>HIRED: Yehuda Cohen</t>
  </si>
  <si>
    <t>ATA-TLA-Dani</t>
  </si>
  <si>
    <t>Translational Medicine</t>
  </si>
  <si>
    <t>Experienced Leader</t>
  </si>
  <si>
    <t>Yehuda Cohen</t>
  </si>
  <si>
    <t>Senior Director, Biomarkers</t>
  </si>
  <si>
    <t>2025 Q2</t>
  </si>
  <si>
    <t>HIRED: Philippe Coslet</t>
  </si>
  <si>
    <t>Biomarkers</t>
  </si>
  <si>
    <t>03 - Sr. Manager</t>
  </si>
  <si>
    <t>Sr. Scientist, Clinical Pharmacology</t>
  </si>
  <si>
    <t>Clinical pharmacology</t>
  </si>
  <si>
    <t>01 - Data Readout</t>
  </si>
  <si>
    <t>Hire in 2027</t>
  </si>
  <si>
    <t>210 Clinical Operations</t>
  </si>
  <si>
    <t>Senior Vice President, Development Operations and Biometrics</t>
  </si>
  <si>
    <t>2025 Q4</t>
  </si>
  <si>
    <t>HIRED: Jaclyn Patterson</t>
  </si>
  <si>
    <t>Sr. Director, Clinical Ops Program Lead, Dani</t>
  </si>
  <si>
    <t>HIRED: Brianne Leary</t>
  </si>
  <si>
    <t>Dani</t>
  </si>
  <si>
    <t>Sr. Director, Clinical Operations Program Lead, TLA</t>
  </si>
  <si>
    <t>2025 Q1</t>
  </si>
  <si>
    <t>HIRED: Caroline Cooper</t>
  </si>
  <si>
    <t>TLA</t>
  </si>
  <si>
    <t>Program Management. BACKFILL: Jim Marco</t>
  </si>
  <si>
    <t>Brianne Leary</t>
  </si>
  <si>
    <t>Director, Development Business Operations</t>
  </si>
  <si>
    <t>HIRED: Andrea Koh</t>
  </si>
  <si>
    <t>Clinical Contracts (CRO/vendors/sites)</t>
  </si>
  <si>
    <t>04 - Assoc. Director</t>
  </si>
  <si>
    <t>Associate Director, Clinical Program Lead</t>
  </si>
  <si>
    <t>HIRED: Mindy Worsham</t>
  </si>
  <si>
    <t>Program Management; Phase 3 planning</t>
  </si>
  <si>
    <t>Emerging Leader</t>
  </si>
  <si>
    <t>505 Medical Affairs</t>
  </si>
  <si>
    <t>Cheryl Abbas</t>
  </si>
  <si>
    <t>Executive Director, Medical Disease Area Lead, DCM/Danicamtiv</t>
  </si>
  <si>
    <t>US Remote</t>
  </si>
  <si>
    <t>HIRED: Kristin Williamson</t>
  </si>
  <si>
    <t>Medical Affairs</t>
  </si>
  <si>
    <t>Executive Director, Medical Disease Area Lead, Hypertension/Tonlamarsen</t>
  </si>
  <si>
    <t>HIRED: Jonathan Ward</t>
  </si>
  <si>
    <t>2025 WFP/ Back-fill</t>
  </si>
  <si>
    <t>likely Q1 fill (last med director to hire)</t>
  </si>
  <si>
    <t>Senior Director, Scientific Communications</t>
  </si>
  <si>
    <t>HIRED: Ruchir Shah</t>
  </si>
  <si>
    <t>Scientific comms, abstracts, etc. Role is dotted line to Communication for consistency in messaging.</t>
  </si>
  <si>
    <t>Sanjay Patel</t>
  </si>
  <si>
    <t>Associate Director, Clinical Trial Lead</t>
  </si>
  <si>
    <t>HIRED: Mandy Lin</t>
  </si>
  <si>
    <t>ATA</t>
  </si>
  <si>
    <t>Clinical Trial Management</t>
  </si>
  <si>
    <t>Caroline Cooper</t>
  </si>
  <si>
    <t>HIRED: Jody Dosanjh</t>
  </si>
  <si>
    <t>Senior Manager, Clinical Trial Lead</t>
  </si>
  <si>
    <t>HIRED: Araceli Melgar</t>
  </si>
  <si>
    <t>2. Downgrade</t>
  </si>
  <si>
    <t>2024 Q2</t>
  </si>
  <si>
    <t>HIRED: Jessica Kim</t>
  </si>
  <si>
    <t>Clinical Trial Management.  ION904 Clinical Trial Lead.</t>
  </si>
  <si>
    <t>HIRED: Tiffany Shu</t>
  </si>
  <si>
    <t>Vendor Oversight (CPET, Prolaio, etc)</t>
  </si>
  <si>
    <t>Associate Manager, Clinical Site Operations</t>
  </si>
  <si>
    <t>HIRED: Rachel Day</t>
  </si>
  <si>
    <t>Site Monitoring &amp; Performance. US ATA</t>
  </si>
  <si>
    <t>Mandy Lin</t>
  </si>
  <si>
    <t>Senior Clinical Trial Associate</t>
  </si>
  <si>
    <t>HIRED: Vicky Ho</t>
  </si>
  <si>
    <t>Clinical project mgmt support</t>
  </si>
  <si>
    <t>Sr. Director, Clinical Operations Program Lead, ATA</t>
  </si>
  <si>
    <t>HIRED: Sanjay Patel</t>
  </si>
  <si>
    <t>CW</t>
  </si>
  <si>
    <t>Clinical Operations Lead, Early Development</t>
  </si>
  <si>
    <t>Hired - CW</t>
  </si>
  <si>
    <t>CW: Susan Szambelan</t>
  </si>
  <si>
    <t>N/A - CW</t>
  </si>
  <si>
    <t>N/A (CW)</t>
  </si>
  <si>
    <t>Sr. Consultant, eTMF</t>
  </si>
  <si>
    <t>CW: Katie Hoover</t>
  </si>
  <si>
    <t>eTMF, Training</t>
  </si>
  <si>
    <t>Inspection Readiness Kick off</t>
  </si>
  <si>
    <t>Senior Manager, Clinical Site Operations</t>
  </si>
  <si>
    <t>CW: Ali Zetter</t>
  </si>
  <si>
    <t xml:space="preserve">Site selection and initiation (feasibility, qualifications) and monitoring </t>
  </si>
  <si>
    <t>CW: Chris Page</t>
  </si>
  <si>
    <t>Clinical Trial Lead</t>
  </si>
  <si>
    <t>CW: Jade Cao</t>
  </si>
  <si>
    <t>Dani program</t>
  </si>
  <si>
    <t>02 - Manager</t>
  </si>
  <si>
    <t>Clinical Trial Manager</t>
  </si>
  <si>
    <t>CW: Jutta Durstewitz</t>
  </si>
  <si>
    <t>N/A - Not in FP&amp;A list</t>
  </si>
  <si>
    <t>Not in FP&amp;A list</t>
  </si>
  <si>
    <t>Mindy Worsham</t>
  </si>
  <si>
    <t>CW: Anila Choudhry</t>
  </si>
  <si>
    <t>Jody Dosanjh</t>
  </si>
  <si>
    <t>Sr. Clinical Trial Manager</t>
  </si>
  <si>
    <t>CW: Suzette Warren</t>
  </si>
  <si>
    <t>CW: Mandeep Grewal</t>
  </si>
  <si>
    <t>Now</t>
  </si>
  <si>
    <t>Jessica Kim</t>
  </si>
  <si>
    <t>Sr. Clinical Trial Associate</t>
  </si>
  <si>
    <t>CW: Miranda Rhudy</t>
  </si>
  <si>
    <t>CW: Karrin Huang</t>
  </si>
  <si>
    <t>VP, Head of Clinical Operations</t>
  </si>
  <si>
    <t>BACKFILL: Brianne L.</t>
  </si>
  <si>
    <t>Development Operations</t>
  </si>
  <si>
    <t>Upgraded role to VP Clin Ops</t>
  </si>
  <si>
    <t>Head of Development Services</t>
  </si>
  <si>
    <t>Buffer role</t>
  </si>
  <si>
    <t>Head of Global Site Management</t>
  </si>
  <si>
    <t>Development Business Operations</t>
  </si>
  <si>
    <t>ED, Digital Health Technologies &amp; AI Enablement</t>
  </si>
  <si>
    <t>HIRED: Rinol Alaj</t>
  </si>
  <si>
    <t>keep / key</t>
  </si>
  <si>
    <t>BACKFILL: Anyi Ihiasota</t>
  </si>
  <si>
    <t>Site Monitoring, Inspection Readiness</t>
  </si>
  <si>
    <t>Head of Clinical Trial Management</t>
  </si>
  <si>
    <t>Exec. Director, Document Records Management &amp; Systems</t>
  </si>
  <si>
    <t>Formerly Head of eTMF role; confirm timing</t>
  </si>
  <si>
    <t>Sr. Director, Clinical Trial Optimization &amp; Strategic Partnerships</t>
  </si>
  <si>
    <t>Sr. Director, Site Management &amp; Monitoring</t>
  </si>
  <si>
    <t>Sr. Director, Vendor Relationship &amp; Management</t>
  </si>
  <si>
    <t>Formerly Director, Clinical Operations Program Lead, Early Dev</t>
  </si>
  <si>
    <t>OOBR - tradeoff with #5104</t>
  </si>
  <si>
    <t>Andrea Koh</t>
  </si>
  <si>
    <t xml:space="preserve">Dev Business Operations </t>
  </si>
  <si>
    <t>CW: Pam Foster Wiley</t>
  </si>
  <si>
    <t>Clinical Contracts specialist</t>
  </si>
  <si>
    <t>Clinical Site Contracts</t>
  </si>
  <si>
    <t>Clinical Trial Liaison (EU/UK)</t>
  </si>
  <si>
    <t>Linda</t>
  </si>
  <si>
    <t>Clinical Operations</t>
  </si>
  <si>
    <t>2026 Q4</t>
  </si>
  <si>
    <t>Jaclyn to check whether this role is required in 2026</t>
  </si>
  <si>
    <t>Global Site Lead</t>
  </si>
  <si>
    <t>Medical Trial Liaison (CTL)</t>
  </si>
  <si>
    <t>Business Critical</t>
  </si>
  <si>
    <t>Bob</t>
  </si>
  <si>
    <t>EU</t>
  </si>
  <si>
    <t>CW: Heather Fraser</t>
  </si>
  <si>
    <t>TMF Lead</t>
  </si>
  <si>
    <t>US regional Lead for DAN-301 and DAN-302</t>
  </si>
  <si>
    <t>Associate Clinical Trial Manager</t>
  </si>
  <si>
    <t>Clinical Document Specialist</t>
  </si>
  <si>
    <t>eTMF Document Specialist</t>
  </si>
  <si>
    <t>eTMF filing, QC</t>
  </si>
  <si>
    <t>215 Clinical Development</t>
  </si>
  <si>
    <t>Executive Director, Clinical Lead</t>
  </si>
  <si>
    <t>HIRED: Liz Moore</t>
  </si>
  <si>
    <t>Clinical Development</t>
  </si>
  <si>
    <t>HIRED: Juan Maya</t>
  </si>
  <si>
    <t>Clinical Development Dani, DCM</t>
  </si>
  <si>
    <t>Senior Director, Clinical Lead</t>
  </si>
  <si>
    <t>HIRED: Prameela Ramesan</t>
  </si>
  <si>
    <t>VP, Clinical Development</t>
  </si>
  <si>
    <t>Business Critical/ Infrasructure &amp; Support</t>
  </si>
  <si>
    <t>Doctorate degree; Clinical oversight of Combination strategy &amp; trial execution, combination strategy CDP development</t>
  </si>
  <si>
    <t>Development of combination strategy clinical trial program</t>
  </si>
  <si>
    <t>AVC data @24 weeks in ATA-301 &amp; PoM for KAR-141; Research ACLY data</t>
  </si>
  <si>
    <t>02 - Data Trigger</t>
  </si>
  <si>
    <t>accelerate to Q1 (open rec now)</t>
  </si>
  <si>
    <t>Immediate need given breadth of current program</t>
  </si>
  <si>
    <t>Liz Moore</t>
  </si>
  <si>
    <t>Clinical Scientist</t>
  </si>
  <si>
    <t>gate to data (sept)</t>
  </si>
  <si>
    <t>Juan Maya</t>
  </si>
  <si>
    <t>CW to FTE</t>
  </si>
  <si>
    <t>CW: Laura Liu</t>
  </si>
  <si>
    <t>Aid with scientific efforts (literature search, development rationale, program documentation)</t>
  </si>
  <si>
    <t>Convert to FTE now/next quarter: Currently developing OLE protocol, continuing to analyze 2A data, needed for KINSHIP data analysis</t>
  </si>
  <si>
    <t>Convert based on P2 data</t>
  </si>
  <si>
    <t>Prameela Ramesan</t>
  </si>
  <si>
    <t>CW: Yayan Z.</t>
  </si>
  <si>
    <t>Clinical Data Analysis and Interpretation needs</t>
  </si>
  <si>
    <t>Launch of TLA-201 (already occurred)</t>
  </si>
  <si>
    <t>CW: Amelia L.</t>
  </si>
  <si>
    <t>Lead/Aid with scientific efforts (literature search, development rationale, program documentation)</t>
  </si>
  <si>
    <r>
      <rPr>
        <b/>
        <sz val="11"/>
        <rFont val="Aptos Narrow"/>
        <scheme val="minor"/>
      </rPr>
      <t>NOW</t>
    </r>
    <r>
      <rPr>
        <sz val="11"/>
        <rFont val="Aptos Narrow"/>
        <scheme val="minor"/>
      </rPr>
      <t>: Not previously included in WFP – due to current MD shortage, this may provide faster avenue to recruitment and not require &gt;Dir hire</t>
    </r>
  </si>
  <si>
    <t>Accomplished Professional</t>
  </si>
  <si>
    <t>consider for conversion - gated to baseline data</t>
  </si>
  <si>
    <t>Executive</t>
  </si>
  <si>
    <t>216 Program Management</t>
  </si>
  <si>
    <t>Vice President, Global Program Head</t>
  </si>
  <si>
    <t>HIRED: Vicky Ballard</t>
  </si>
  <si>
    <t>Program Launch Leader Dani</t>
  </si>
  <si>
    <t>HIRED: Cheryl Abbas</t>
  </si>
  <si>
    <t>Program Launch Leader</t>
  </si>
  <si>
    <t>HIRED: Dawn Bell</t>
  </si>
  <si>
    <t>Program Launch Leader - TLL</t>
  </si>
  <si>
    <t xml:space="preserve">NOW </t>
  </si>
  <si>
    <t>Regional Oversight of sites and vendor management</t>
  </si>
  <si>
    <t>Tradeoff or push out?</t>
  </si>
  <si>
    <t>Planned conversion for Karrin</t>
  </si>
  <si>
    <t>220 Clinical Data Science</t>
  </si>
  <si>
    <t>Senior Director, Biostatistics</t>
  </si>
  <si>
    <t>HIRED: Wanying Li</t>
  </si>
  <si>
    <t>Biostatistics</t>
  </si>
  <si>
    <t>Wanying Li</t>
  </si>
  <si>
    <t>HIRED: YJ Choi</t>
  </si>
  <si>
    <t>Biostat lead for TLA</t>
  </si>
  <si>
    <t>Director, Head of Statistical Programming</t>
  </si>
  <si>
    <t>HIRED: Jessie Jun Yan</t>
  </si>
  <si>
    <t>Head of Stat programming team</t>
  </si>
  <si>
    <t>Director, Data Science</t>
  </si>
  <si>
    <t>HIRED: Peiwen Wu</t>
  </si>
  <si>
    <t>model simulation, stat methods evaluation and research</t>
  </si>
  <si>
    <t>Will take on ATA and Dani initially; catalyst for splitting the role is when ATA begins enrolling</t>
  </si>
  <si>
    <t>Director, Biostatistics</t>
  </si>
  <si>
    <t>HIRED: Angela Gao</t>
  </si>
  <si>
    <t>Biostat lead for Dani</t>
  </si>
  <si>
    <t>Not Indicated</t>
  </si>
  <si>
    <t>Biostat Contractor 1</t>
  </si>
  <si>
    <t>CW: Debi Kotlovker</t>
  </si>
  <si>
    <t>Biostat expert for exploratory data analysis and assisting in study management</t>
  </si>
  <si>
    <t>Consultant not counted (may be hidden)</t>
  </si>
  <si>
    <t>Jessie Yan</t>
  </si>
  <si>
    <t>Statistical Programming Contractor</t>
  </si>
  <si>
    <t>CW: Sandy Chang</t>
  </si>
  <si>
    <t>Stat programming support for study readout Dani</t>
  </si>
  <si>
    <t>Stat programming contractor</t>
  </si>
  <si>
    <t>CW: Nishant Dholakia</t>
  </si>
  <si>
    <t>Stat programming support for study readout ATA</t>
  </si>
  <si>
    <t>Biostat Contractor</t>
  </si>
  <si>
    <t>CW: Linda Tang</t>
  </si>
  <si>
    <t>Biostat Study Lead - TLA  program and support for submission</t>
  </si>
  <si>
    <t>Gate on receiving data - confidence in TLA, dedicated new studies, designing a registrational study</t>
  </si>
  <si>
    <t>Contractor, Clinical Data Scientist</t>
  </si>
  <si>
    <t>CW: Meng Xie</t>
  </si>
  <si>
    <t>Data visualization and dashboard build</t>
  </si>
  <si>
    <t>Contractor, Biostatistics</t>
  </si>
  <si>
    <t>CW: Christina Nurse</t>
  </si>
  <si>
    <t>Biostat study support for ATA</t>
  </si>
  <si>
    <t>Associate Director, Statistical Programmer</t>
  </si>
  <si>
    <t>HIRED: Sri Byrapuneni</t>
  </si>
  <si>
    <t>Stat Programming Lead for TLA</t>
  </si>
  <si>
    <t>Senior Manager, Data Scientist</t>
  </si>
  <si>
    <t>HIRED: Gene Chen</t>
  </si>
  <si>
    <t>Data Science for Advanced Analytics, Dashboard programming</t>
  </si>
  <si>
    <t>Senior Manager, Statistical Programming</t>
  </si>
  <si>
    <t>HIRED: George Wu</t>
  </si>
  <si>
    <t>Stat Programming Lead for ATA</t>
  </si>
  <si>
    <t>VP, Biometrics</t>
  </si>
  <si>
    <t xml:space="preserve">Associate Director, Statistical Programming </t>
  </si>
  <si>
    <t>TLA/ATA/Dani</t>
  </si>
  <si>
    <t>Support early development and legacy study</t>
  </si>
  <si>
    <t>Associate Director, Biostatistics</t>
  </si>
  <si>
    <t>Associate Director, Statistical Programming Dani</t>
  </si>
  <si>
    <t>Stat Programming Lead for Dani</t>
  </si>
  <si>
    <t>3 - 6 months before program readout for Dani</t>
  </si>
  <si>
    <t>SSF or PNJ</t>
  </si>
  <si>
    <t>Biostat support for data readout and publicatoin</t>
  </si>
  <si>
    <t>Gate on TLA-301 positive Part 1 data readout</t>
  </si>
  <si>
    <t>Angela Gao</t>
  </si>
  <si>
    <t xml:space="preserve">Biostat study lead </t>
  </si>
  <si>
    <t>VP Biometrics</t>
  </si>
  <si>
    <t>Executive Director, Head of Data Analytics</t>
  </si>
  <si>
    <t>infrastructure and process build, increase efficiency</t>
  </si>
  <si>
    <t>Stats Programming Study Lead</t>
  </si>
  <si>
    <t>221 Clinical Data Management</t>
  </si>
  <si>
    <t>Executive Director, Head of CDM</t>
  </si>
  <si>
    <t>BACKFILL: Lauren Cao</t>
  </si>
  <si>
    <t>TLA-Dani</t>
  </si>
  <si>
    <t>Head of Clinical Data Management</t>
  </si>
  <si>
    <t>Lauren Cao</t>
  </si>
  <si>
    <t>Director, Clinical Data Management</t>
  </si>
  <si>
    <t>HIRED: Frances Dingle</t>
  </si>
  <si>
    <t>CDM lead for TLA201</t>
  </si>
  <si>
    <t>When Dani is licensed in; once TLA lead is filled, will move CDM contractor into this role</t>
  </si>
  <si>
    <t>CDM contractor / Clinical programmer</t>
  </si>
  <si>
    <t>CW: Lucy Warner FSP ClinChoice</t>
  </si>
  <si>
    <t>CDM support for study readout</t>
  </si>
  <si>
    <t>DM contractor /Early Dev</t>
  </si>
  <si>
    <t>CW: Carina</t>
  </si>
  <si>
    <t>DM for all KAR-141 blood draw, ATA TQT, DAN-HI</t>
  </si>
  <si>
    <t>To provide immediate reporting/tools support prior to data lake system.  It may be a contractor to FTE position.</t>
  </si>
  <si>
    <t>Frances Dingle</t>
  </si>
  <si>
    <t>Senior Manager, Data Management</t>
  </si>
  <si>
    <t xml:space="preserve">Approved at 2025 re-forecast - Vijetha Thokala 
</t>
  </si>
  <si>
    <t>Support Data deliverable activities in ATA/DAN Program</t>
  </si>
  <si>
    <t>Support DAN 302 build, DAN301 and ATA301 read out, TLA 201 DBL</t>
  </si>
  <si>
    <t>Director, Data Management</t>
  </si>
  <si>
    <t>HIRED: Joseph Reitano</t>
  </si>
  <si>
    <t>ATA program DM lead, DM CRO oversight, contribute to DM consistency and data quality review oversight</t>
  </si>
  <si>
    <t>ATA baseline correlation delivery</t>
  </si>
  <si>
    <t>Included In Budget (Current FTE) / Align with P&amp;C duplicate temp job ID</t>
  </si>
  <si>
    <t>Sr. Manager, Data Management</t>
  </si>
  <si>
    <t xml:space="preserve">Approved at 2025 re-forecast as CW - Currently Open  (will extend offer 2025)
</t>
  </si>
  <si>
    <t>DANI DM  support</t>
  </si>
  <si>
    <t>TLA202/301 Protocol Initiation</t>
  </si>
  <si>
    <t>01 - Data Readout
Consultant not counted (may be hidden)</t>
  </si>
  <si>
    <t>Sheri Van Zandt</t>
  </si>
  <si>
    <t xml:space="preserve">Senior Manager, Data Management </t>
  </si>
  <si>
    <t xml:space="preserve">External Data Acquisition Lead </t>
  </si>
  <si>
    <t>ATA readout 2026 Q1, DAN 20pt read out 2026 Q2, 80pt read out 2026Q4</t>
  </si>
  <si>
    <t>Biomarker Lead</t>
  </si>
  <si>
    <t>230 Pharmacovigilance</t>
  </si>
  <si>
    <t>Vice President, Head of Pharmacovigilance</t>
  </si>
  <si>
    <t>HIRED: Krisztina Debreczeni</t>
  </si>
  <si>
    <t>Lead pharmacovigilance org</t>
  </si>
  <si>
    <t>Krisztina Debreczeni</t>
  </si>
  <si>
    <t>Senior Director, Pharmacovigilance Functional Excellence And Inspection Readiness</t>
  </si>
  <si>
    <t>HIRED: Brian Burns</t>
  </si>
  <si>
    <t>Lead PV quality management system development, strategic initiatives, compliance program, inspection readiness and process transformation</t>
  </si>
  <si>
    <t>Director, PV Scientist (non-MD)</t>
  </si>
  <si>
    <t>HIRED: John Simon</t>
  </si>
  <si>
    <t>Lead and coordinate safety data assessment and surveillance program, lead signal detection and management and coordinate benefit-risk analysis program across multiple assets</t>
  </si>
  <si>
    <t>Safety Surveillance program, company core risk management plan, DSUR, PSUR, PADER/PAER, company core safety information</t>
  </si>
  <si>
    <t>Safety data collection in one or more assets and the creation of the support timely and accurate safety data assessment and surveillance, signal detection, benefit-risk evaluation and safety risk management</t>
  </si>
  <si>
    <t>medical background with strong pharmacovigilance experience</t>
  </si>
  <si>
    <t>keep</t>
  </si>
  <si>
    <t>Brian Burns</t>
  </si>
  <si>
    <t>Associate Director, Pharmacovigilance Functional Excellence and Inspection Readiness (FEIR)</t>
  </si>
  <si>
    <t>HIRED: David Straube</t>
  </si>
  <si>
    <t>Experienced in pharmacovigilance case processing, vendor oversight and quality management systems</t>
  </si>
  <si>
    <t>PV QMS, Measures/KPIs for PV compliance</t>
  </si>
  <si>
    <t>Creation of PV compliance management program</t>
  </si>
  <si>
    <t xml:space="preserve">Strong compliance management mindset, vendor oversight, PV operations; Pharmacovigilance </t>
  </si>
  <si>
    <t>check</t>
  </si>
  <si>
    <t>Medical oversight across all assets and all trials.  Experienced in safety risk management, safety benefit-risk analysis, signal management and safety data assessment.  Leader of function</t>
  </si>
  <si>
    <t>235 Regulatory</t>
  </si>
  <si>
    <t>Stu Heminway</t>
  </si>
  <si>
    <t>Executive Director, CMC Regulatory</t>
  </si>
  <si>
    <t>HIRED: Nicole Hilgraf</t>
  </si>
  <si>
    <t>CMC Regulatory</t>
  </si>
  <si>
    <t>Senior Vice President, Regulatory</t>
  </si>
  <si>
    <t>HIRED: Stuart Heminway</t>
  </si>
  <si>
    <t>Regulatory</t>
  </si>
  <si>
    <t>Senior Director, Regulatory Strategy</t>
  </si>
  <si>
    <t>HIRED: Li Zhou</t>
  </si>
  <si>
    <t>Regulatory Strategy</t>
  </si>
  <si>
    <t>Nicole Hilgraf</t>
  </si>
  <si>
    <t>Associate Director, CMC Regulatory</t>
  </si>
  <si>
    <t>HIRED: Sarika Savant</t>
  </si>
  <si>
    <t>Ex/Sr Dir, Regulatory Strategy</t>
  </si>
  <si>
    <t>HIRED: Sonali Patel</t>
  </si>
  <si>
    <t>03 - NDA Submission</t>
  </si>
  <si>
    <t>candidate identified</t>
  </si>
  <si>
    <t>Senior Director, Regulatory Operations</t>
  </si>
  <si>
    <t>ATA-TLA</t>
  </si>
  <si>
    <t>Regulatory Operations</t>
  </si>
  <si>
    <t>NDA Submission leadership/infrastructure/vendors for Filing Teams</t>
  </si>
  <si>
    <t>Keep</t>
  </si>
  <si>
    <t>most critical 2026 hire</t>
  </si>
  <si>
    <t>Senior Director, CMC Regulatory</t>
  </si>
  <si>
    <t>HIRED: Julie Lee</t>
  </si>
  <si>
    <t>Sr. Director, Regulatory Science Communication (X-portfolio)</t>
  </si>
  <si>
    <t>Regulatory Science Communication</t>
  </si>
  <si>
    <t>Submission authoring and oversight including Medical Writers for Filing Teams</t>
  </si>
  <si>
    <t>capacity given other hires, realistically Q2</t>
  </si>
  <si>
    <t>Assoc. Director, Regulatory Strategy (TLA/ATA)</t>
  </si>
  <si>
    <t>Phase 3 initiations</t>
  </si>
  <si>
    <t>Potentially delay…</t>
  </si>
  <si>
    <t>Sr. Director, CMC Regulatory (ATA)</t>
  </si>
  <si>
    <t>Delay to Q3; NDA submission</t>
  </si>
  <si>
    <t>CW PT</t>
  </si>
  <si>
    <t>Dani NDA Lead Medical Writer and Clinical Efficacy</t>
  </si>
  <si>
    <t>Submission authoring Medical Writer for Filing Teams</t>
  </si>
  <si>
    <t>gated on data/NDA; ~20 mos before</t>
  </si>
  <si>
    <t>ATA NDA Lead Medical Writer and Clinical Efficacy</t>
  </si>
  <si>
    <t xml:space="preserve">Dani NDA Medical Writer Clinical Safety </t>
  </si>
  <si>
    <t>gated on data/NDA; ~18 mos before</t>
  </si>
  <si>
    <t>Dani NDA Medical Writer Clinical Pharmacology and Nonclinical support</t>
  </si>
  <si>
    <t>gated on data/NDA; ~15 mos before</t>
  </si>
  <si>
    <t xml:space="preserve">ATA NDA Medical Writer Clinical Safety </t>
  </si>
  <si>
    <t>ATA NDA Medical Writer Clinical Pharmacology and Nonclinical support</t>
  </si>
  <si>
    <t>Senior Director, Medical Disease Area Lead, Aortic Stenosis/Ataciguat</t>
  </si>
  <si>
    <t>HIRED: Kelly Kleeman</t>
  </si>
  <si>
    <t>Director, Patient Advocacy</t>
  </si>
  <si>
    <t>HIRED: Wendy Borsari</t>
  </si>
  <si>
    <t>Director, Medical Strategy &amp; Operations</t>
  </si>
  <si>
    <t>Business Critical; Infrastructure/Support</t>
  </si>
  <si>
    <t>Offer</t>
  </si>
  <si>
    <t>Formerly ID 5112</t>
  </si>
  <si>
    <t>Oversight and project management support of medical organizational infrastructure and core competency development, processes, budget, and strategic oversight across all assets</t>
  </si>
  <si>
    <t>Medical organization development for full medical launch readiness planning and to advance into full organizational model - support in the absence of a dedicated SVP of Medical Affairs</t>
  </si>
  <si>
    <t>Field Medical initial build - need this role in place for infrastructure development prior to Q2 2026 initial field medical team</t>
  </si>
  <si>
    <t xml:space="preserve">Emerging Leader but with experience in strategy/ops </t>
  </si>
  <si>
    <t>likely Q1 fill</t>
  </si>
  <si>
    <t>Clinical Research Medical Director (CRMD)</t>
  </si>
  <si>
    <t>Support EU site enrollment</t>
  </si>
  <si>
    <t>VP, Head of Medical Affairs</t>
  </si>
  <si>
    <t>Business Critcal</t>
  </si>
  <si>
    <t>Clnical research site engagement</t>
  </si>
  <si>
    <t>Build internal clinical research site engagement capabilities to optimize Katalyst AV timelines</t>
  </si>
  <si>
    <t>Trial is currently behind timelines and MedPace CRA model is limited</t>
  </si>
  <si>
    <t>Director, Medical Affairs – Digital Innovation &amp; AI (Prolaio)</t>
  </si>
  <si>
    <t>Prolaio</t>
  </si>
  <si>
    <t>Lead the strategy, development, and execution of digital and AI-enabled initiatives across MA</t>
  </si>
  <si>
    <t>ED, National Director of Field Medical</t>
  </si>
  <si>
    <t>Lead Med Affairs: strategy, leadership, team development/coaching, field ops/comms</t>
  </si>
  <si>
    <t>Director, Medical Affairs – Digital Innovation &amp; AI</t>
  </si>
  <si>
    <t>Candidate: Rahul</t>
  </si>
  <si>
    <t>Digital Innovation &amp; AI</t>
  </si>
  <si>
    <t>Technical Expert</t>
  </si>
  <si>
    <t>Medical Science Liaison (MSL)</t>
  </si>
  <si>
    <t>NDFM</t>
  </si>
  <si>
    <t>Associate Director, Clinical Data Management</t>
  </si>
  <si>
    <t>HIRED: Sheri Van Zandt</t>
  </si>
  <si>
    <t>CDM lead for DAN301</t>
  </si>
  <si>
    <t>HIRED: David Lim</t>
  </si>
  <si>
    <t>CDM lead for ATA</t>
  </si>
  <si>
    <t>Associate Director, Data Management</t>
  </si>
  <si>
    <t>Lead DM for DAN-301, CRO oversight, DM data quality and flow management</t>
  </si>
  <si>
    <t>lead DAN-301 DM CRO to DB Lock and filing</t>
  </si>
  <si>
    <t xml:space="preserve"> DAN-301 baseline readout coordination start</t>
  </si>
  <si>
    <t>901 Executive G&amp;A</t>
  </si>
  <si>
    <t>BOD</t>
  </si>
  <si>
    <t>CEO and Co-Founder</t>
  </si>
  <si>
    <t>HIRED: Tassos</t>
  </si>
  <si>
    <t>Senior Administrative Assistant</t>
  </si>
  <si>
    <t>HIRED: Staci Veremis</t>
  </si>
  <si>
    <t>Legal</t>
  </si>
  <si>
    <t>920 Legal</t>
  </si>
  <si>
    <t>Vice President, Corporate Law</t>
  </si>
  <si>
    <t>HIRED: Michael Rhee</t>
  </si>
  <si>
    <t>Legal Generalist</t>
  </si>
  <si>
    <t>Mike Rhee</t>
  </si>
  <si>
    <t>Senior Manager of Legal, Contracts &amp; Administration</t>
  </si>
  <si>
    <t>HIRED: Kathy Medeiros</t>
  </si>
  <si>
    <t>Vice President, Intellectual Property</t>
  </si>
  <si>
    <t>HIRED: Rich Person</t>
  </si>
  <si>
    <t>Director, Contracts and Transactions Counsel</t>
  </si>
  <si>
    <t>HIRED: Miruna Predescu</t>
  </si>
  <si>
    <t>General Counsel</t>
  </si>
  <si>
    <t>Agency</t>
  </si>
  <si>
    <t>Liz</t>
  </si>
  <si>
    <t>Backfill: Minako Pazdera</t>
  </si>
  <si>
    <t>HIRED: Craig Elkins</t>
  </si>
  <si>
    <t>Now (Prolaio)</t>
  </si>
  <si>
    <t>Senior Director, Healthcare &amp; Compliance</t>
  </si>
  <si>
    <t>HIRED: Priya Mannan</t>
  </si>
  <si>
    <t>Contract Manager</t>
  </si>
  <si>
    <t>Volume dependent</t>
  </si>
  <si>
    <t>Potentially a paralegal to help bring docketing system in house</t>
  </si>
  <si>
    <t>Rich Person</t>
  </si>
  <si>
    <t>Sr. Director, IP Counsel</t>
  </si>
  <si>
    <t>Sr. Director, Contracts</t>
  </si>
  <si>
    <t>Brianne Jahn</t>
  </si>
  <si>
    <t>Director, SEC attorney</t>
  </si>
  <si>
    <t>post IPO</t>
  </si>
  <si>
    <t>Director, IP Counsel</t>
  </si>
  <si>
    <t>Office of CFO</t>
  </si>
  <si>
    <t>915 Accounting</t>
  </si>
  <si>
    <t>Vice President, Finance and Accounting</t>
  </si>
  <si>
    <t>HIRED: Darrin Chang</t>
  </si>
  <si>
    <t>Accounting and Finance</t>
  </si>
  <si>
    <t>Darrin Chang</t>
  </si>
  <si>
    <t>Senior Director, Accounting</t>
  </si>
  <si>
    <t>HIRED: Suresh Sasidaran</t>
  </si>
  <si>
    <t>Clinical Accruals and Month end close</t>
  </si>
  <si>
    <t>Senior Procurement Manager</t>
  </si>
  <si>
    <t>HIRED: Maria Luz David</t>
  </si>
  <si>
    <t>Procurement, Systerm Implementation, Business partnership</t>
  </si>
  <si>
    <t>Suresh Sasidaran</t>
  </si>
  <si>
    <t>Senior Manager, Accounting and Payroll</t>
  </si>
  <si>
    <t>HIRED: Leonard Ruditski</t>
  </si>
  <si>
    <t>Director, SEC &amp; Technical Accounting</t>
  </si>
  <si>
    <t>HIRED: Monika Kocinska</t>
  </si>
  <si>
    <t>Requirments to prepare for IPO SEC reporitng, Technical memos, SOX. Etc</t>
  </si>
  <si>
    <t>Accounts Payable Manager</t>
  </si>
  <si>
    <t>HIRED: Angelo Pollari</t>
  </si>
  <si>
    <t>Senior Manager, Payroll &amp; Accounting</t>
  </si>
  <si>
    <t>HIRED: Niru Pandurangi</t>
  </si>
  <si>
    <t>Administer payroll for both Kardigan and Prolaio</t>
  </si>
  <si>
    <t>Procurment Manager</t>
  </si>
  <si>
    <t>Provide Procurement support for the increasing volume of contracting and procurement activitiy, and to support upgrading the P2P systems</t>
  </si>
  <si>
    <t>Maria already stretched thin and it's difficult for her to manage all of the business requests, and we need at least one additional person. I would place this person in Princeton to balance out team and support</t>
  </si>
  <si>
    <t>Director, Head of Finance &amp; Divisional Controller</t>
  </si>
  <si>
    <t>HIRED: Keith Adams</t>
  </si>
  <si>
    <t>Prolaio, Finance &amp; Accounting Business Partner for Senior Leardership Team</t>
  </si>
  <si>
    <t>Staff Accountant</t>
  </si>
  <si>
    <t>BACKFILL: Martha Alshaweesh</t>
  </si>
  <si>
    <t>SEC Reporting Technical Accounting &amp; SOX</t>
  </si>
  <si>
    <t>Support SEC reporting and other compliance requirements</t>
  </si>
  <si>
    <t>916 Finance</t>
  </si>
  <si>
    <t>Chief Financial Officer</t>
  </si>
  <si>
    <t>HIRED: Brianne Jahn</t>
  </si>
  <si>
    <t>Finance&amp; Accounting expert, Buisness valuation, IPO readiness, EC representative.   Once public then Controller Head of Finance &amp; Accounting</t>
  </si>
  <si>
    <t>Director, FP&amp;A Partner</t>
  </si>
  <si>
    <t>HIRED: Kyle Fetchko</t>
  </si>
  <si>
    <t>Consolidation, analysis, reporting - clinical accruals</t>
  </si>
  <si>
    <t>HIRED: Karl Palmares</t>
  </si>
  <si>
    <t>Budgeting/Planning,  LRP, IPO readiness, Business Partnership, System implementation</t>
  </si>
  <si>
    <t>Associate Director, Strategic Operations</t>
  </si>
  <si>
    <t>HIRED: Michele Canzi</t>
  </si>
  <si>
    <t>Corporate Athlete</t>
  </si>
  <si>
    <t>HIRED: Erin Torrissi</t>
  </si>
  <si>
    <t>Executive assistant - CFO and CTO</t>
  </si>
  <si>
    <t>Vice President, Investor Relations</t>
  </si>
  <si>
    <t>HIRED: Clayton Robertson</t>
  </si>
  <si>
    <t>Understand capital markets, be able to discuss science with DLL's and translate for investors</t>
  </si>
  <si>
    <t>Build Kardigan’s investor relations function from the ground up, including financing strategy, IPO preparation, investor targeting, and ongoing engagement to drive clear understanding and optimal valuation of the company’s story.</t>
  </si>
  <si>
    <t>Immediate Need to support IPO readiness</t>
  </si>
  <si>
    <t>Strong fund relationships and insight into investor behavior and market dynamics to shape Kardigan’s investor relations strategy and messaging. Experience at a bank a plus.</t>
  </si>
  <si>
    <t>VP, Finance</t>
  </si>
  <si>
    <t>Senior FP&amp;A leader that provides financial, strategic and operational direction to the organization</t>
  </si>
  <si>
    <t>960 Facilities</t>
  </si>
  <si>
    <t>Executive Director, Real Estate &amp; Facilities</t>
  </si>
  <si>
    <t>HIRED: Oliver Sjahsam</t>
  </si>
  <si>
    <t>Facilities Leader - Real Estate Strategy, Policies and Procedure</t>
  </si>
  <si>
    <t>Oliver Sjahsam</t>
  </si>
  <si>
    <t>Lab Operations Manager</t>
  </si>
  <si>
    <t>HIRED: Ferdie Evangelista</t>
  </si>
  <si>
    <t xml:space="preserve">Lab Operations </t>
  </si>
  <si>
    <t>Director, Facilities</t>
  </si>
  <si>
    <t>HIRED: Eric Yeager</t>
  </si>
  <si>
    <t>Senior Manager, Facilities</t>
  </si>
  <si>
    <t>HIRED: Michael Sothern</t>
  </si>
  <si>
    <t>Facilities, Office Manager, Soft Services</t>
  </si>
  <si>
    <t>EHS Manager</t>
  </si>
  <si>
    <t>EHS</t>
  </si>
  <si>
    <t>NOTE: Contractor to start, convert to FTE for Vivarium operations - Confirm with Beth</t>
  </si>
  <si>
    <t>Site Services Specialist</t>
  </si>
  <si>
    <t>Soft Services</t>
  </si>
  <si>
    <t>FTE v. Contractor depends on other admin support</t>
  </si>
  <si>
    <t>Facilities Contractor</t>
  </si>
  <si>
    <t>Handle local facilities / maintenance issues for Princeton Site</t>
  </si>
  <si>
    <t>Site Servicess Specialist, Shipping &amp; Receiving</t>
  </si>
  <si>
    <t xml:space="preserve">Shipping/Receiving </t>
  </si>
  <si>
    <t>970 IT</t>
  </si>
  <si>
    <t>Daren Wilkinson</t>
  </si>
  <si>
    <t>Senior IT Analyst</t>
  </si>
  <si>
    <t>HIRED: Brian Roudaush</t>
  </si>
  <si>
    <t>Research  Platform, Bioinformatics support. Role will start broad as general IT support and be refined to lab systems support as additional support headcount are added.</t>
  </si>
  <si>
    <t>Steve Servantez</t>
  </si>
  <si>
    <t>Senior Director, IT Infrastructure</t>
  </si>
  <si>
    <t>HIRED: Daren Wilkinson</t>
  </si>
  <si>
    <t xml:space="preserve">Infrastructure, Security, Asset, Vendor MGMT </t>
  </si>
  <si>
    <t>Anand Ramanathan</t>
  </si>
  <si>
    <t>Senior Manager, IT Business Analyst</t>
  </si>
  <si>
    <t>HIRED: Garret Brown</t>
  </si>
  <si>
    <t>Support multiple department applications; will be refined as additional App Engineers are hired</t>
  </si>
  <si>
    <t>Senior Director, IT Business Partner</t>
  </si>
  <si>
    <t>HIRED: Anand Ramanathan</t>
  </si>
  <si>
    <t>Manage IT Tasks and planning for Clinical Development</t>
  </si>
  <si>
    <t>Help Desk Support Lead</t>
  </si>
  <si>
    <t>HIRED: Jeffrey Wiernik</t>
  </si>
  <si>
    <t>Operations and end-user support and MSP mgmt</t>
  </si>
  <si>
    <t>Vice President, IT</t>
  </si>
  <si>
    <t>HIRED: Steve Servantez</t>
  </si>
  <si>
    <t>Executive level IT Management</t>
  </si>
  <si>
    <t>IT Systems Engineer</t>
  </si>
  <si>
    <t>IT systems enigeering and solutions to support infrastructure and applications</t>
  </si>
  <si>
    <t>IT Support Lead</t>
  </si>
  <si>
    <t>HIRED: Michael Case</t>
  </si>
  <si>
    <t>Prolaio, Support onsite team</t>
  </si>
  <si>
    <t>Received signoff from Tassos</t>
  </si>
  <si>
    <t>IT Security &amp; Data Privacy</t>
  </si>
  <si>
    <t>Cybersecurity operations and data privacy controls execution</t>
  </si>
  <si>
    <t>IT Business Partner, G&amp;A</t>
  </si>
  <si>
    <t>Enable enterprise scale and platform consoldation execution</t>
  </si>
  <si>
    <t>IT Project Manager</t>
  </si>
  <si>
    <t>CW: Robert Tully</t>
  </si>
  <si>
    <t>Manage IT projects and planning across the org</t>
  </si>
  <si>
    <t>IT Support Analyst</t>
  </si>
  <si>
    <t>CW: Joe Spooner</t>
  </si>
  <si>
    <t>Onsite deskside help desk support</t>
  </si>
  <si>
    <t>240 Portfolio Management</t>
  </si>
  <si>
    <t>Dawn Bell</t>
  </si>
  <si>
    <t>Senior Director, Global Program Manager</t>
  </si>
  <si>
    <t>HIRED: Akhil Agrawal</t>
  </si>
  <si>
    <t>Program Management to drive cross-functional strategic planning, execution, risk management, resource management, and decision-making for key programs</t>
  </si>
  <si>
    <t>Director, Global Program Manager</t>
  </si>
  <si>
    <t>HIRED: Dani Gilbert</t>
  </si>
  <si>
    <t>Regulatory Program Management to drive cross-functional strategic planning, execution, risk management, resource management, and decision-making for key programs</t>
  </si>
  <si>
    <t>HIRED: Lee Anna Ghosh</t>
  </si>
  <si>
    <t>Vicky Ballard</t>
  </si>
  <si>
    <t>HIRED: Kate Costello</t>
  </si>
  <si>
    <t>Research - Translational</t>
  </si>
  <si>
    <t>105 Translational Sciences</t>
  </si>
  <si>
    <t>Hector Rodriguez</t>
  </si>
  <si>
    <t>Senior Manager, Research Program Manager</t>
  </si>
  <si>
    <t>HIRED: Chris Willits</t>
  </si>
  <si>
    <t>Program Management support across Research to develop &amp; maintain timelines, drive reporting/governance cadence</t>
  </si>
  <si>
    <t>Office of CSO</t>
  </si>
  <si>
    <t>Andy Pasternak</t>
  </si>
  <si>
    <t>Executive Director, Portfolio Strategy</t>
  </si>
  <si>
    <t>BACKFILL: Amy Westfall</t>
  </si>
  <si>
    <t>PPM Leader</t>
  </si>
  <si>
    <t>Head of Portfolio Strategy</t>
  </si>
  <si>
    <t>Director, Portfolio</t>
  </si>
  <si>
    <t>Portfolio Strategy Analyst</t>
  </si>
  <si>
    <t> </t>
  </si>
  <si>
    <t>Under direction from Portfolio Lead, and in partnership with GPMs, drive portfolio analytics and support decision-making needs (scenario analyses, options/trade-off analyses, presentations, etc.); would be tool owner (eg, Clarity/Planisware)</t>
  </si>
  <si>
    <t>Implementation of Portfolio Management process and systems</t>
  </si>
  <si>
    <t>Decision to implement portfolio system</t>
  </si>
  <si>
    <t>605 Marketing</t>
  </si>
  <si>
    <t>Vice President, Marketing</t>
  </si>
  <si>
    <t>HIRED: Geoff McKinley</t>
  </si>
  <si>
    <t>Strategic Marketing</t>
  </si>
  <si>
    <t>VP, Head of Product Strategy</t>
  </si>
  <si>
    <t>HIRED: Joe Gialanella</t>
  </si>
  <si>
    <t>Industry leader</t>
  </si>
  <si>
    <t>Included In Budget (Open Role) / Align with P&amp;C duplicate temp job ID</t>
  </si>
  <si>
    <t>Joe Gialanella</t>
  </si>
  <si>
    <t>Senior Director, HCP Marketing</t>
  </si>
  <si>
    <t>HIRED: Sarah Rose</t>
  </si>
  <si>
    <t>Sr. Dir. Product Strategy</t>
  </si>
  <si>
    <t>HIRED: Paul Rendeiro</t>
  </si>
  <si>
    <t>Experienced leader</t>
  </si>
  <si>
    <t>Sr Dir, Commercial Ops (all programs)</t>
  </si>
  <si>
    <t>Commercial operations experience; launch experience; commercical and organizational readiness planning; congress/meeting planning</t>
  </si>
  <si>
    <t>Lead organizational readiness planning</t>
  </si>
  <si>
    <t>Series B</t>
  </si>
  <si>
    <t>Rising star</t>
  </si>
  <si>
    <t>Need in place for Dani readout</t>
  </si>
  <si>
    <t>615 Commercial Analytics</t>
  </si>
  <si>
    <t>Senior Director, Insights &amp; Analytics</t>
  </si>
  <si>
    <t>HIRED: Grace Xiao</t>
  </si>
  <si>
    <t>Frame the opportunity for the IPO, assess opportunities, helping Research team understand opportunities, internally more disciplined about what we can discuss externally.</t>
  </si>
  <si>
    <t>Senior Manager, Insights &amp; Analytics</t>
  </si>
  <si>
    <t>HIRED: Adrian Garcia</t>
  </si>
  <si>
    <t>Forecasting mgr.</t>
  </si>
  <si>
    <t>917 Corporate Strategy</t>
  </si>
  <si>
    <t>Executive Vice President, Chief Strategy Officer</t>
  </si>
  <si>
    <t>HIRED: Andy Pasternak</t>
  </si>
  <si>
    <t>Vice President, Corporate Strategy</t>
  </si>
  <si>
    <t>HIRED: Brett Koch</t>
  </si>
  <si>
    <t>Brett Koch</t>
  </si>
  <si>
    <t>Formerly ED/VP, Head of Program Management (Lead GPMS)</t>
  </si>
  <si>
    <t>Director, Corporate Strategy</t>
  </si>
  <si>
    <t>Candidate: Tylee</t>
  </si>
  <si>
    <t>Downgrade role and move to Corp. Strategy</t>
  </si>
  <si>
    <t>925 Business Development</t>
  </si>
  <si>
    <t>VP Business Development</t>
  </si>
  <si>
    <t>HIRED: Betsy O'Neill</t>
  </si>
  <si>
    <t>Strategic deal execution, structuring and negotiation</t>
  </si>
  <si>
    <t>Expanding proactive BD strategy</t>
  </si>
  <si>
    <t>Proximity to proactive BD strategy rollout</t>
  </si>
  <si>
    <t>Betsy O'Neill</t>
  </si>
  <si>
    <t>Senior Director, Business Development</t>
  </si>
  <si>
    <t>HIRED: Matt Terwelp</t>
  </si>
  <si>
    <t>Relationships with banks, analysts, investors, and internal teams across BD, Finance, and Legal to support transactions and strategic initiatives</t>
  </si>
  <si>
    <t>Executive Director, Commercial Assessment</t>
  </si>
  <si>
    <t>Candidate: Jason Morhart</t>
  </si>
  <si>
    <t>Executive Director, Search and Evaluation</t>
  </si>
  <si>
    <t>Candidate: Alex Turner</t>
  </si>
  <si>
    <t>Director, Transaction Support</t>
  </si>
  <si>
    <t>Candidate: Steve Mais</t>
  </si>
  <si>
    <t>P&amp;C</t>
  </si>
  <si>
    <t>910 People and Culture</t>
  </si>
  <si>
    <t>Liz Nguyen</t>
  </si>
  <si>
    <t>Senior Director, People &amp; Culture</t>
  </si>
  <si>
    <t>HIRED: Phillip Wright</t>
  </si>
  <si>
    <t>HRBP / Recruiting</t>
  </si>
  <si>
    <t>Eric Turzak</t>
  </si>
  <si>
    <t>Senior Manager, People and Culture Operations</t>
  </si>
  <si>
    <t>HIRED: Ophelia Ng</t>
  </si>
  <si>
    <t>HR Operations</t>
  </si>
  <si>
    <t>Chief People Officer</t>
  </si>
  <si>
    <t>HIRED: Liz Nguyen</t>
  </si>
  <si>
    <t>People &amp; Culture Leader</t>
  </si>
  <si>
    <t>HIRED: Terry O'Donnell</t>
  </si>
  <si>
    <t>Executive assistant - Research and G&amp;A</t>
  </si>
  <si>
    <t>Senior Manager, People and Culture Partner</t>
  </si>
  <si>
    <t>HIRED: Angelina Dwyer</t>
  </si>
  <si>
    <t>Ophelia Ng</t>
  </si>
  <si>
    <t>People and Culture Operations Analyst</t>
  </si>
  <si>
    <t>HIRED: Derrick Liang</t>
  </si>
  <si>
    <t>Vice President, Talent &amp; Culture</t>
  </si>
  <si>
    <t>HIRED: Nicole Skaluba</t>
  </si>
  <si>
    <t>Phillip Wright</t>
  </si>
  <si>
    <t>Director, Talent Acquisition</t>
  </si>
  <si>
    <t>HIRED: Steven Cha</t>
  </si>
  <si>
    <t>Nicole Skaluba</t>
  </si>
  <si>
    <t>Senior P&amp;C Generalist</t>
  </si>
  <si>
    <t>HIRED: Kristin Fanning</t>
  </si>
  <si>
    <t>Senior Talent Acquisition Partner</t>
  </si>
  <si>
    <t>HIRED: Yen Do Lin</t>
  </si>
  <si>
    <t>Recruiter to support projects, G&amp;A, etc.</t>
  </si>
  <si>
    <t>Executive Director, Head of Total Rewards &amp; Analytics</t>
  </si>
  <si>
    <t>HIRED: Eric Turzak</t>
  </si>
  <si>
    <t>Candidate: Grace Chung</t>
  </si>
  <si>
    <t>Senior Director, People &amp; Culture Business Partner</t>
  </si>
  <si>
    <t>BP support for Commercial &amp; Medical</t>
  </si>
  <si>
    <t>Executive Director, Head of OD/Learning</t>
  </si>
  <si>
    <t>HIRED: Jonathan Becker</t>
  </si>
  <si>
    <t>Leading OD and Training at Kardigan</t>
  </si>
  <si>
    <t>Head of Talent Acquisition</t>
  </si>
  <si>
    <t>HIRED: Theresa O'Neill</t>
  </si>
  <si>
    <t>Leading TA for Kardigan</t>
  </si>
  <si>
    <t>Recruiter - Tech Ops / Quality</t>
  </si>
  <si>
    <t>CW: Kim Gutowski</t>
  </si>
  <si>
    <t>Recruiter to support Tech Ops / Quality</t>
  </si>
  <si>
    <t>TA Sourcer / Recruiter</t>
  </si>
  <si>
    <t>CW: Bob Lavin</t>
  </si>
  <si>
    <t>TA Sourcer</t>
  </si>
  <si>
    <t>CW: Alyssa O'Neal</t>
  </si>
  <si>
    <t>Sr TA Operations coordinator</t>
  </si>
  <si>
    <t>CW: Suzette Medina</t>
  </si>
  <si>
    <t>Support scheduling, GH, sourcing, etc.</t>
  </si>
  <si>
    <t>Recruiter - Dev Function</t>
  </si>
  <si>
    <t>CW: Ashley Suncar</t>
  </si>
  <si>
    <t>Recruiter to support Development function</t>
  </si>
  <si>
    <t>Quality</t>
  </si>
  <si>
    <t>305 Quality</t>
  </si>
  <si>
    <t>Chief Quality Officer</t>
  </si>
  <si>
    <t>HIRED: Diane Hagerty</t>
  </si>
  <si>
    <t>Quality Leader</t>
  </si>
  <si>
    <t>Diane Hagerty</t>
  </si>
  <si>
    <t>Vice President, CMC Quality</t>
  </si>
  <si>
    <t>HIRED: Kaoru Nishino</t>
  </si>
  <si>
    <t>CMC Quality</t>
  </si>
  <si>
    <t>Senior Director, Clinical Quality Assurance</t>
  </si>
  <si>
    <t>HIRED: Donna Walters</t>
  </si>
  <si>
    <t>Clinical Quality</t>
  </si>
  <si>
    <t>Senior Director, GxP Quality Systems</t>
  </si>
  <si>
    <t>HIRED: Theresa Friend</t>
  </si>
  <si>
    <t>GxP Quality Systems</t>
  </si>
  <si>
    <t>Kaoru Nishino</t>
  </si>
  <si>
    <t>Senior Director, Product Quality Lead</t>
  </si>
  <si>
    <t>HIRED: Polly Mak Kwan</t>
  </si>
  <si>
    <t>Donna Walters</t>
  </si>
  <si>
    <t>Director, Clinical Quality Lead</t>
  </si>
  <si>
    <t>BACKFILL: Shaun Gordon</t>
  </si>
  <si>
    <t>Director, Product Quality Lead</t>
  </si>
  <si>
    <t>HIRED: Ming Lei</t>
  </si>
  <si>
    <t>ATA-Dani</t>
  </si>
  <si>
    <t>Associate Director, QC and Stability Operations</t>
  </si>
  <si>
    <t>HIRED: Justin Thompson</t>
  </si>
  <si>
    <t>Theresa Friend</t>
  </si>
  <si>
    <t>Senior Manager, Document and Knowledge Management</t>
  </si>
  <si>
    <t>HIRED: Becky Nagel</t>
  </si>
  <si>
    <t>Emerging talent</t>
  </si>
  <si>
    <t>Senior Director, GxP Compliance</t>
  </si>
  <si>
    <t>HIRED: Ndidi Rickert</t>
  </si>
  <si>
    <t>GxP Compliance</t>
  </si>
  <si>
    <t>Director, Clinical Quality</t>
  </si>
  <si>
    <t>HIRED: Christophe Renou-Adamore</t>
  </si>
  <si>
    <t>Increasing number of overall programs and programs entering late stage.  Highly outsourced and vendor oversight is resource draining.</t>
  </si>
  <si>
    <t>Partial CW starting Q1, Full time CW Q2. If TLA data + , convert to FTE Q4</t>
  </si>
  <si>
    <t>Exerienced Leader</t>
  </si>
  <si>
    <t>Director, GxP Training</t>
  </si>
  <si>
    <t>HIRED: Karmen Starks</t>
  </si>
  <si>
    <t>Converted to Full Time Employee</t>
  </si>
  <si>
    <t>Ndidi Rickert</t>
  </si>
  <si>
    <t>Senior Manager, GxP Compliance Operations</t>
  </si>
  <si>
    <t>HIRED: Sabrina San Diego</t>
  </si>
  <si>
    <t xml:space="preserve">Drive ramp up of inspection readiness in preperation of the NDA filings for all programs and the volume of back to back activities </t>
  </si>
  <si>
    <t>Convert to FTE in 2026</t>
  </si>
  <si>
    <t>Emerging Talent</t>
  </si>
  <si>
    <t>Convert to FTE in Jan.</t>
  </si>
  <si>
    <t>Justin Thompson</t>
  </si>
  <si>
    <t>Quality Operations</t>
  </si>
  <si>
    <t>CW: Susan Lin</t>
  </si>
  <si>
    <t>Initial build out of quality operations to support the true volume of work to support existing programs</t>
  </si>
  <si>
    <t>In 2025 currently a CW, Convert to FTE in January 2026</t>
  </si>
  <si>
    <t>Convert to FTE</t>
  </si>
  <si>
    <t>CSA/Data Integrity Head</t>
  </si>
  <si>
    <t>CW: J. Dinh onboard. Partial CW in Q1. Full time CW Q2. If TLA data  +, convert to FTE Q4</t>
  </si>
  <si>
    <t>GxP Quality Systems; Prolaio interface</t>
  </si>
  <si>
    <t>Increasing demand for computer systems needed to supportthe program and the quality system requires a strong Quality IT leader to drive decision making and ensuring data integrity.  Key business partner to map data flows and ensure integrity of the data.  IR need to ensure vendor computer systems are validated.</t>
  </si>
  <si>
    <t>This is becoming more apparent that having a strong Quality IT/CSV person in place is a critical GAP in resources given all of the systems being requested and brought onboard cross GxP.  Gewt consultant in ASAP.  Gated to Series B request</t>
  </si>
  <si>
    <t>Inspection Readiness GMP Lead</t>
  </si>
  <si>
    <t>Becky Nagel</t>
  </si>
  <si>
    <t>Technical Writer for QMS</t>
  </si>
  <si>
    <t>CW: Alicia Woodfall Jones (CW Q2-Q4 will need in 2026-2028)</t>
  </si>
  <si>
    <t>Increasing demand for support in drafting the initial processes, SOPs and Policies needed to drive work across the product lifecycle</t>
  </si>
  <si>
    <t>Critical role identified to help get SOPs launched to meet corporate goals. In 2025 20-25 hrs per week.  Role to continue through 2028 with potentially increased hours based on volume.</t>
  </si>
  <si>
    <t>QMS Lead</t>
  </si>
  <si>
    <t>CW: Lori Richter (CW with us Q3-Q4, will use Jason Dinh in role 2026</t>
  </si>
  <si>
    <t>Increased demand as programs ramp up to support the key QMS elements of TCC, DEV/CAPA, and Vendor Mgmt</t>
  </si>
  <si>
    <t>convert to FTE in 2027</t>
  </si>
  <si>
    <t>N/A (CW) - 2027 conversion per budget</t>
  </si>
  <si>
    <t>TLA Clinical Quality Lead</t>
  </si>
  <si>
    <t>CW at 40 hrs in 2026, convert to a FTE in 2027</t>
  </si>
  <si>
    <t>Product Quality Lead Dani</t>
  </si>
  <si>
    <t>Increasing number of overall programs and programs entering late stage</t>
  </si>
  <si>
    <t>CW ro FTE in 2027</t>
  </si>
  <si>
    <t>GCP Audit Lead</t>
  </si>
  <si>
    <t>CW in 2026 and convert in 2027</t>
  </si>
  <si>
    <t>Veeva Admin</t>
  </si>
  <si>
    <t>As employee number increase and as we get more vaults to support the business need a resource to maintain the system from an administrative perspective</t>
  </si>
  <si>
    <t>Will provide training admin support in 2026 in addition to veeva admin work</t>
  </si>
  <si>
    <t>Karmen Starks</t>
  </si>
  <si>
    <t>Training Coordinator</t>
  </si>
  <si>
    <t>As we start to increase our work force as well as build out the QMS support of developing training plans and material will increase.  Will also help support increasing number of stakeholder groups both GxP and non-GxP</t>
  </si>
  <si>
    <t>Convert to FTE in 2027</t>
  </si>
  <si>
    <t>QRM Lead</t>
  </si>
  <si>
    <t>Need a skilled coach to help drive quality risk management activities across the programs and product lifecycle and build capability withing the organization.  Drive coordination across GxP</t>
  </si>
  <si>
    <t>Inspection readiness GCP Lead</t>
  </si>
  <si>
    <t>Clear that this may need to be in place before 2026 as IR activities will kickoff at the start of the year to support NDA filing: Drive ramp up of inspection readiness in preperation of the NDA filings for all programs</t>
  </si>
  <si>
    <t>CW in 2026, Convert to FTE in 2027</t>
  </si>
  <si>
    <t>Research - Discovery</t>
  </si>
  <si>
    <t>110 Discovery</t>
  </si>
  <si>
    <t>Vice President, Discovery Research</t>
  </si>
  <si>
    <t>HIRED: Johan David Oslob</t>
  </si>
  <si>
    <t>Discovery Research Leader</t>
  </si>
  <si>
    <t>Johan Oslob</t>
  </si>
  <si>
    <t>Principal Scientist, Research Informatics</t>
  </si>
  <si>
    <t>HIRED: Peipei Li</t>
  </si>
  <si>
    <t>Research Informatics</t>
  </si>
  <si>
    <t>Director, DMPK</t>
  </si>
  <si>
    <t>HIRED: Ron Aoyama</t>
  </si>
  <si>
    <t>DMPK</t>
  </si>
  <si>
    <t>Director, Medicinal Chemistry</t>
  </si>
  <si>
    <t>HIRED: Steve McKerrall</t>
  </si>
  <si>
    <t>Medicinal chemistry</t>
  </si>
  <si>
    <t>Manager, Compound Management</t>
  </si>
  <si>
    <t>HIRED: Daniel Gross</t>
  </si>
  <si>
    <t>Compound Management</t>
  </si>
  <si>
    <t>Ron Aoyama</t>
  </si>
  <si>
    <t>Principal Scientist, DMPK</t>
  </si>
  <si>
    <t>HIRED: Jim Driscoll</t>
  </si>
  <si>
    <t>Scientist, DMPK</t>
  </si>
  <si>
    <t>HIRED: Bhargavi Ramisetty</t>
  </si>
  <si>
    <t>Steve McKerrall</t>
  </si>
  <si>
    <t>Principal Sci./Assoc.Dir., MedChem</t>
  </si>
  <si>
    <t>≥2 H2L/LO/SA efforts</t>
  </si>
  <si>
    <t>check timing</t>
  </si>
  <si>
    <t>2 Discovery projects; High throughput screen readout</t>
  </si>
  <si>
    <t>Jim Driscoll</t>
  </si>
  <si>
    <t>Senior Scientist, DMPK</t>
  </si>
  <si>
    <t>Dilara Batan</t>
  </si>
  <si>
    <t>RA, Biology</t>
  </si>
  <si>
    <t>Valvular biochemistry</t>
  </si>
  <si>
    <t>In vitro Combo Studies - Support for PAR4 program</t>
  </si>
  <si>
    <t>Bandwidth for AS - Combos</t>
  </si>
  <si>
    <t>Peipei Li</t>
  </si>
  <si>
    <t>Bioinformatics Scientist</t>
  </si>
  <si>
    <t>HIRED: Michael Sikora</t>
  </si>
  <si>
    <t>Omic analyses (transcriptomic - including single cell and proteomic)</t>
  </si>
  <si>
    <t>Data available now</t>
  </si>
  <si>
    <t>NOW</t>
  </si>
  <si>
    <t>needs review</t>
  </si>
  <si>
    <t>Mary Papadaki</t>
  </si>
  <si>
    <t>Postdoc</t>
  </si>
  <si>
    <t>Postdoctoral Fellow</t>
  </si>
  <si>
    <t>EHT platform engineering</t>
  </si>
  <si>
    <t>Beth Geist</t>
  </si>
  <si>
    <t>Postdoctoral Fellow / Visiting Scholar (veterinarian)</t>
  </si>
  <si>
    <t>Expansion of large-animal in vivo capabilities and to support USDA in vivarium</t>
  </si>
  <si>
    <t>NOW - NG ATA in vivo telemetry screening</t>
  </si>
  <si>
    <t>Vivarium operational for rabbits</t>
  </si>
  <si>
    <t>DE moving to ML scientist role</t>
  </si>
  <si>
    <t>Brooke Cobb</t>
  </si>
  <si>
    <t>Animal Care, vivarium</t>
  </si>
  <si>
    <t>vivarium - support for USDA species (Rabbit)</t>
  </si>
  <si>
    <t>USDA species</t>
  </si>
  <si>
    <t>Include</t>
  </si>
  <si>
    <t>HIRED: Xiang Wang</t>
  </si>
  <si>
    <t>Build tools for estimating valve leaflet thickness and compliance from 2D echo data</t>
  </si>
  <si>
    <t>Carlos del Rio</t>
  </si>
  <si>
    <t>Senior/PI, Tox</t>
  </si>
  <si>
    <t>CW: Jennifer Woo</t>
  </si>
  <si>
    <t>Non-Clinical Dev</t>
  </si>
  <si>
    <t>Existence of multiple programs with NC neeeds</t>
  </si>
  <si>
    <t>NOW, NDA readyness</t>
  </si>
  <si>
    <t>CW in the meantime</t>
  </si>
  <si>
    <t>Lab Manager / Research Admin for legal and procurement (repurpose for lab manager)</t>
  </si>
  <si>
    <t>Need to assess this role given our conversation about the contract process</t>
  </si>
  <si>
    <t>Vice President, Research and Translational Sciences</t>
  </si>
  <si>
    <t>HIRED: Carlos Luis del Rio</t>
  </si>
  <si>
    <t>Translational Research Leader</t>
  </si>
  <si>
    <t>Staff Scientist, Director, Sarcomere Biology</t>
  </si>
  <si>
    <t>HIRED: Na Sa</t>
  </si>
  <si>
    <t>Biochem/biophys</t>
  </si>
  <si>
    <t>Principal Scientist, Biology</t>
  </si>
  <si>
    <t>HIRED: Rafael Shimkunas</t>
  </si>
  <si>
    <t>Myocyte</t>
  </si>
  <si>
    <t>Principal Scientist, In Vitro Pharmacology</t>
  </si>
  <si>
    <t>HIRED: Mary Papadaki</t>
  </si>
  <si>
    <t>In vitro pharm</t>
  </si>
  <si>
    <t>Senior Scientist, Biology</t>
  </si>
  <si>
    <t>HIRED: Jani Saksi</t>
  </si>
  <si>
    <t>Na Sa</t>
  </si>
  <si>
    <t>Scientist, Biology</t>
  </si>
  <si>
    <t>HIRED: Dilara Batan</t>
  </si>
  <si>
    <t>HIRED: Anu Rose Anto</t>
  </si>
  <si>
    <t>Sarcomere biochemisty</t>
  </si>
  <si>
    <t>Scientist, In Vitro Pharmacology</t>
  </si>
  <si>
    <t>HIRED: Saffie Mohran</t>
  </si>
  <si>
    <t>Vice President, New Targets</t>
  </si>
  <si>
    <t>HIRED: Hector Rodriguez</t>
  </si>
  <si>
    <t>Cardiac biology</t>
  </si>
  <si>
    <t>Anu Anto</t>
  </si>
  <si>
    <t>Associate Scientist, Biochemistry</t>
  </si>
  <si>
    <t>HIRED: Christina Rivera</t>
  </si>
  <si>
    <t>Associate Director, New Targets</t>
  </si>
  <si>
    <t>HIRED: Thula Ranjasingham</t>
  </si>
  <si>
    <t>Support for new target role</t>
  </si>
  <si>
    <t>Recruit now</t>
  </si>
  <si>
    <t>Jani Saki</t>
  </si>
  <si>
    <t>Associate Scientist, Molecular Biology</t>
  </si>
  <si>
    <t>HIRED: Hannah Kleppe</t>
  </si>
  <si>
    <t>Biochem/biophys - TLA in vitro assays</t>
  </si>
  <si>
    <t>Mechanism(s) for TLA AND in vitro PoC for mRNA (CORIN/ANP) or FABP4 program</t>
  </si>
  <si>
    <t>AGT Assays - Molelcular Biology - In house experiments for TLA mechanism and differentiation</t>
  </si>
  <si>
    <t>Staff Scientist, Associate Director, Comp. Biology</t>
  </si>
  <si>
    <t>Expansion of Computational Biology / Informatics</t>
  </si>
  <si>
    <t>Need for a group leader</t>
  </si>
  <si>
    <t>115 In Vivo Pharmacology</t>
  </si>
  <si>
    <t>Staff Scientist, Director, In Vivo Pharmacology &amp; Attending Vet</t>
  </si>
  <si>
    <t>HIRED: Beth Geist</t>
  </si>
  <si>
    <t>In vivo pharmacology</t>
  </si>
  <si>
    <t>Senior Scientist, In Vivo Pharmacology</t>
  </si>
  <si>
    <t>HIRED: Chris Zambataro</t>
  </si>
  <si>
    <t>Vivarium Manager</t>
  </si>
  <si>
    <t>HIRED: Brooke Cobb</t>
  </si>
  <si>
    <t>Chris Zambataro</t>
  </si>
  <si>
    <t>Research Assistant, In Vivo Pharmacology</t>
  </si>
  <si>
    <t>HIRED: Enkhjin Bat-Erdene</t>
  </si>
  <si>
    <t>Modeling/Visualization (DATA)</t>
  </si>
  <si>
    <t>Applied Machine Learning Scientist</t>
  </si>
  <si>
    <t>HIRED: Daniel Edelberg</t>
  </si>
  <si>
    <t>ML/AI</t>
  </si>
  <si>
    <t>Need for AI/ML Analysis</t>
  </si>
  <si>
    <t>NOW, availability of ECG data and in-house multi-omic data to process</t>
  </si>
  <si>
    <t>Tech Ops</t>
  </si>
  <si>
    <t>405 Supply Chain</t>
  </si>
  <si>
    <t>Aaron Misrack</t>
  </si>
  <si>
    <t>Director, Supply Chain Planning</t>
  </si>
  <si>
    <t/>
  </si>
  <si>
    <t>Planning for multiple assets, future growth and a large CMO network</t>
  </si>
  <si>
    <t xml:space="preserve">Multiple assets </t>
  </si>
  <si>
    <t>Increasing CMO Network; SC complexity</t>
  </si>
  <si>
    <t>Taylor Elkington</t>
  </si>
  <si>
    <t>Sr. Manager, Clinical Supply Chain</t>
  </si>
  <si>
    <t>CW: Carlos Castro</t>
  </si>
  <si>
    <t>Clinical Supply Chain &amp; distribution and logistics for DS &amp; DP (~ 15-20 hrs / week)</t>
  </si>
  <si>
    <t>Erika Riffel</t>
  </si>
  <si>
    <t>External Manufacturing</t>
  </si>
  <si>
    <t>CW: Frosina Kanova</t>
  </si>
  <si>
    <t>Contracts &amp; POs coordination for Tech Ops (~35-40 hrs per week)</t>
  </si>
  <si>
    <t>410 Manufacturing</t>
  </si>
  <si>
    <t>Senior Manager, Clinical Supply Chain</t>
  </si>
  <si>
    <t>HIRED: Jennifer Banh</t>
  </si>
  <si>
    <t>Clinical Supply Chain: Forecasting, inventory management, label/pack, IRT, study oversight</t>
  </si>
  <si>
    <t>ATA-301</t>
  </si>
  <si>
    <t>Chief Technical Operations Officer</t>
  </si>
  <si>
    <t>HIRED: Donald Mackenzie</t>
  </si>
  <si>
    <t>Tech Ops Leader</t>
  </si>
  <si>
    <t>Donald Mackenzie</t>
  </si>
  <si>
    <t>Vice President, Drug Product Development</t>
  </si>
  <si>
    <t>HIRED: Rennan Pan</t>
  </si>
  <si>
    <t>Product Development</t>
  </si>
  <si>
    <t>Lead DP dev for TLA; Manage DPD for all other projects</t>
  </si>
  <si>
    <t>CTOO hired</t>
  </si>
  <si>
    <t>Vice President, Head of Analytical Development</t>
  </si>
  <si>
    <t>HIRED: Leon Zhou</t>
  </si>
  <si>
    <t>Analytical Science</t>
  </si>
  <si>
    <t>Vice President, Head of External Manufacturing and Supply Chain</t>
  </si>
  <si>
    <t>HIRED: Amelia Milani</t>
  </si>
  <si>
    <t>External Manufacturing and Supply Chain</t>
  </si>
  <si>
    <t>Leon Zhou</t>
  </si>
  <si>
    <t>Senior Director, Analytical Development</t>
  </si>
  <si>
    <t>HIRED: Esteban Bornancini</t>
  </si>
  <si>
    <t>Senior Director, CMC Strategy &amp; Chief of Staff</t>
  </si>
  <si>
    <t>HIRED: William Walker</t>
  </si>
  <si>
    <t>CMC leadership, planning and strategy, chief-of-staff</t>
  </si>
  <si>
    <t>Amelia Milani</t>
  </si>
  <si>
    <t>Senior Director, Clinical Supply Chain</t>
  </si>
  <si>
    <t>HIRED: Taylor Elkington</t>
  </si>
  <si>
    <t>Clinical Supply Chain leadership and forecasting, inventory management, label/pack, IRT, study oversight</t>
  </si>
  <si>
    <t>Rennan Pan</t>
  </si>
  <si>
    <t>Senior Director, Drug Product Development</t>
  </si>
  <si>
    <t>HIRED: Gang Yang</t>
  </si>
  <si>
    <t>Lead DP dev for Dani</t>
  </si>
  <si>
    <t>Plan endorsed for Dani clinical studies</t>
  </si>
  <si>
    <t>Senior Director, External Manufacturing</t>
  </si>
  <si>
    <t>HIRED: Erika Riffel</t>
  </si>
  <si>
    <t>External mfg oversight: contracts, procure to pay, BD relationship mgmt &amp; CMO performance oversight</t>
  </si>
  <si>
    <t>Senior Director, Head of Planning</t>
  </si>
  <si>
    <t>HIRED: Aaron Misrack</t>
  </si>
  <si>
    <t>Clinical and commercial planning, current and future assets, S&amp;OP and SC resilience</t>
  </si>
  <si>
    <t>HIRED: Deepak Mundhra</t>
  </si>
  <si>
    <t>To lead DP development for ATA</t>
  </si>
  <si>
    <t>IND submission for ATA-301 study</t>
  </si>
  <si>
    <t>Director, Analytical Development</t>
  </si>
  <si>
    <t>HIRED: Qin Xiang</t>
  </si>
  <si>
    <t>HIRED: Norris Ng</t>
  </si>
  <si>
    <t>Clinical Supply Chain</t>
  </si>
  <si>
    <t>DAN-301</t>
  </si>
  <si>
    <t>VP DS</t>
  </si>
  <si>
    <t>Sr Director/Director, API / Drug Substance</t>
  </si>
  <si>
    <t>BACKFILL: Vijaya Gondi</t>
  </si>
  <si>
    <t xml:space="preserve">Director/Assoc Director DS </t>
  </si>
  <si>
    <t xml:space="preserve">TLA and ATA Program Development </t>
  </si>
  <si>
    <t xml:space="preserve">TLA Process Characterization Pre PPQ  and NDA Authoring  TLA 301 Study </t>
  </si>
  <si>
    <t>Head of API / Drug Substance</t>
  </si>
  <si>
    <t>BACKFILL: Gus Kodersha</t>
  </si>
  <si>
    <t>Drug Substance Development</t>
  </si>
  <si>
    <t>Associate Director, External Mfg.</t>
  </si>
  <si>
    <t>HIRED: Nrupa Patel</t>
  </si>
  <si>
    <t>CMO mgmt &amp; oversight</t>
  </si>
  <si>
    <t>Needed since June 2025</t>
  </si>
  <si>
    <t>Associate Director, Clinical Supply Chain</t>
  </si>
  <si>
    <t>HIRED: Abe Nagi</t>
  </si>
  <si>
    <t>TLA-301</t>
  </si>
  <si>
    <t>TLA/ATA PPQ</t>
  </si>
  <si>
    <t>William Walker</t>
  </si>
  <si>
    <t>Senior Manager, Technical Operations Program Manager</t>
  </si>
  <si>
    <t>HIRED: Roshan Yoganathan</t>
  </si>
  <si>
    <t>Project management within CMC / Tech Ops, owning timelines, RAID, meetings, and cross-fcungional coordination across Tech Ops</t>
  </si>
  <si>
    <t>Enable execution of Tech Ops operating model (meetings, timeline, actions, RAID, etc.) driven by increasing complexity of deliverables</t>
  </si>
  <si>
    <t>ATA program in late-stage development</t>
  </si>
  <si>
    <t>Tech Ops Program Lead (TOPL)</t>
  </si>
  <si>
    <t>Strategic, cross-functional leadership of Tech Ops program, accountable for development, NDA readiness, risks mgmt, and EC / GPT interface</t>
  </si>
  <si>
    <t>Multiple and concurrent early to late stage programs requiring dedicated strategic leadership to manage cross-functional Tech Ops activities</t>
  </si>
  <si>
    <t>TLA Program in late-stage development</t>
  </si>
  <si>
    <t>Assoc Director /Sr. Manager</t>
  </si>
  <si>
    <t xml:space="preserve">DANI Program Development </t>
  </si>
  <si>
    <t xml:space="preserve">DANI Proc Char and Pre PPQ and NDA Authoring </t>
  </si>
  <si>
    <t>Director, External Mfg.</t>
  </si>
  <si>
    <t>New CDMO selections, mgmt &amp; oversight, tech transfers, preparations for PPQ batches</t>
  </si>
  <si>
    <t>Programs advancing</t>
  </si>
  <si>
    <t>Dir/Associate Director - DP</t>
  </si>
  <si>
    <t>To support NDA prep for ATA, ATA reformulation</t>
  </si>
  <si>
    <t>FPI for ATA-301 study</t>
  </si>
  <si>
    <t xml:space="preserve">ATA Program Development </t>
  </si>
  <si>
    <t xml:space="preserve">ATA 301 Patient recuiting ATA Proc Char and Pre PPQ and NDA Authoring </t>
  </si>
  <si>
    <t>Associate Director, Analytical Development</t>
  </si>
  <si>
    <t>Analytical Science/Technical Writer</t>
  </si>
  <si>
    <t>TLA/ATA NDAs</t>
  </si>
  <si>
    <t>To support NDA prep for TLA and PFS development</t>
  </si>
  <si>
    <t>INDa for TLA-301 study</t>
  </si>
  <si>
    <t>xBUFFER - INSERT ROWS ABOVE</t>
  </si>
  <si>
    <t>N/A - Extra Row</t>
  </si>
  <si>
    <t>G&amp;A</t>
  </si>
  <si>
    <t>Senior Manager, Business Development</t>
  </si>
  <si>
    <t>Capacity building</t>
  </si>
  <si>
    <t>2027 Q1</t>
  </si>
  <si>
    <t>Financial, market, and scientific literacy—with the balance of scientific vs. financial expertise tailored to the role and shaped by the backgrounds of candidates hired into other open positions.</t>
  </si>
  <si>
    <t>Support the implementation of a proactive BD strategy by expanding our capacity for opportunity sourcing, strengthening CI, accelerating deal readiness, and enhancing cross-functional execution</t>
  </si>
  <si>
    <t>Proactive BD strategy rollout</t>
  </si>
  <si>
    <t>Manager, Business Development</t>
  </si>
  <si>
    <t>2027 Q2</t>
  </si>
  <si>
    <t>Scientific Literacy - ability to assess mechanisms of action, target biology, and indication relevance to support BD evaluations and cross-functional alignment</t>
  </si>
  <si>
    <t>04 - Associate</t>
  </si>
  <si>
    <t>Associate or Director, Business Development</t>
  </si>
  <si>
    <t>2027 Q3</t>
  </si>
  <si>
    <t>Associate or director level</t>
  </si>
  <si>
    <t>Financial and market literacy - skilled in basic valuation, deal analysis, market research, and competitive intelligence to support strategic assessments and BD decisions</t>
  </si>
  <si>
    <t>Extensive background in finance</t>
  </si>
  <si>
    <t>Analyst, Business Development</t>
  </si>
  <si>
    <t>IR Agency TBD</t>
  </si>
  <si>
    <t xml:space="preserve"> 2026 H1 pending insight from VP hire</t>
  </si>
  <si>
    <t>CW: TBD</t>
  </si>
  <si>
    <t>Once time of IPO becomes certain</t>
  </si>
  <si>
    <t>Health + Commerce</t>
  </si>
  <si>
    <t>Onboard as of November 2024</t>
  </si>
  <si>
    <t>Agency support and industry expertise/insights to serve as additional thought partners with capabilities to help Kardigan communications leadership execute plans - key areas of support include media relations and digital marketing</t>
  </si>
  <si>
    <t>Exiting stealth mode</t>
  </si>
  <si>
    <t>(Senior) Manager</t>
  </si>
  <si>
    <t>Communications Manager</t>
  </si>
  <si>
    <t>2026 H1</t>
  </si>
  <si>
    <t>Agency support</t>
  </si>
  <si>
    <t>Executional support across all communications workstreams with an emphasis on internal where more junior support is required and in-house perspective critical.  Digital and social media skills a plus.</t>
  </si>
  <si>
    <t>As we begin to build out inmtegrated function this level hire will help us rely less on external agency support</t>
  </si>
  <si>
    <t>Ideally someone coming out of an agency environment who can wear many hats and is adept/thrives working in 
a fast-paced environment on multiple projects at once. </t>
  </si>
  <si>
    <t>PPM</t>
  </si>
  <si>
    <t>240 PPM</t>
  </si>
  <si>
    <t>Amy Westfall</t>
  </si>
  <si>
    <t>06- Sr. Director</t>
  </si>
  <si>
    <t>Alliance Management</t>
  </si>
  <si>
    <t>SSF or  PNJ</t>
  </si>
  <si>
    <t>Partner with GPMs to manage partnership commitmenets &amp; milestones; build and drive capability for In-licensing/Out-licensing - develop playbooks for this</t>
  </si>
  <si>
    <t>Dependent on partnership activity and/or in/out-licensing activity</t>
  </si>
  <si>
    <t>Amy Westfall/Sr Dir Alliance Management</t>
  </si>
  <si>
    <t>Project Manage/own specific in-licensing/out-licensing activities; # of roles dependent on partnership activity</t>
  </si>
  <si>
    <t>Amy Westfall/VP GPM</t>
  </si>
  <si>
    <t>Global Program Manager, New Asset</t>
  </si>
  <si>
    <t>Program Management to drive cross-functional strategic planning, execution, risk management, resource management, and decision-making for key programs; # of roles dependent on new Asset activity</t>
  </si>
  <si>
    <t>Dependent on new Asset(s) within portfolio</t>
  </si>
  <si>
    <t>Project Manager</t>
  </si>
  <si>
    <t>Addiitonal Project Management capability to support filing activities/NDA readiness</t>
  </si>
  <si>
    <t>Go decisions on NDA readiness</t>
  </si>
  <si>
    <t>Gus Kodersha</t>
  </si>
  <si>
    <t>Future Asset</t>
  </si>
  <si>
    <t xml:space="preserve">IND Support DS Pre-IND </t>
  </si>
  <si>
    <t>Pre IND DS to support IND filing</t>
  </si>
  <si>
    <t>To support NDA prep for Dani; CR formulation development; New Projects</t>
  </si>
  <si>
    <t>FPI for Dani clinical study</t>
  </si>
  <si>
    <t>Dir - DP</t>
  </si>
  <si>
    <t>To lead drug product development for new assets</t>
  </si>
  <si>
    <t>Candidate selection</t>
  </si>
  <si>
    <t>In-licensing agreement signed</t>
  </si>
  <si>
    <t>Analytical and Material Sciences</t>
  </si>
  <si>
    <t>2G ATA and new INDs</t>
  </si>
  <si>
    <t>KAR-141</t>
  </si>
  <si>
    <t>Associate Director, Clinical Supply Chain Planning</t>
  </si>
  <si>
    <t>Focused clinical planning resource to support forecasting system implementation, additional trials, new molecules and potential indications</t>
  </si>
  <si>
    <t>Organic &amp; inorganic asset growth</t>
  </si>
  <si>
    <t>Planning / increased modeling, ERP system implementation and ongoing oversight / use</t>
  </si>
  <si>
    <t>Commercial launches of multiple assets</t>
  </si>
  <si>
    <t>12-18 mo ahead of first commercial launch</t>
  </si>
  <si>
    <t>Associate Director, Logistics &amp; Trade Compliance</t>
  </si>
  <si>
    <t>Infrastructure / Support</t>
  </si>
  <si>
    <t>Global foot print and increase logistics needs - bringing the capability in house.  Replaces a consultant</t>
  </si>
  <si>
    <t>Volume increase and commercial launches a year out</t>
  </si>
  <si>
    <t>Senior Manager, External Mfg.</t>
  </si>
  <si>
    <t>Coordinate, manage and execute the procure to pay processes &amp; systems for Tech Ops.  Replaces a consultant</t>
  </si>
  <si>
    <t>Multiple assets and CDMOs</t>
  </si>
  <si>
    <t>Clinical Supply Chain Associate</t>
  </si>
  <si>
    <t>Additional indications / studies / programs</t>
  </si>
  <si>
    <t>Senior Manager, Clinical Device Supply Chain</t>
  </si>
  <si>
    <t>Prolaio kits planning, inventory management and coordination</t>
  </si>
  <si>
    <t>Senior Director, Commercial Supply Chain</t>
  </si>
  <si>
    <t>Oversight of commercial SC and launch capabilities needed: 3PL, Serialization, State Licenses, Shipping Val, etc.</t>
  </si>
  <si>
    <t>Launches for ATA, TLA and DANI</t>
  </si>
  <si>
    <t>1 year prior to NDA filing</t>
  </si>
  <si>
    <t>Tech Ops Program Manager</t>
  </si>
  <si>
    <t>Dani Program in late-stage development</t>
  </si>
  <si>
    <t>3x early stage programs approaching IND within two to three quarters</t>
  </si>
  <si>
    <t xml:space="preserve">TLA Proc Char and Pre PPQ and NDA Authoring </t>
  </si>
  <si>
    <t>To lead drug product development for KAR-141, process dev, CTM, TT, etc.</t>
  </si>
  <si>
    <t>Completion of KAR-141 POM study</t>
  </si>
  <si>
    <t>Director, Analytical Lifecycle Management</t>
  </si>
  <si>
    <t>Analytical Life Cycle</t>
  </si>
  <si>
    <t>Sr. Manager, Analytical Development</t>
  </si>
  <si>
    <t>Planning, analytics, resilience strategy enablement</t>
  </si>
  <si>
    <t>Commercial CMO mgmt</t>
  </si>
  <si>
    <t>NDA submissions</t>
  </si>
  <si>
    <t>9-12 mo ahead of NDA submission</t>
  </si>
  <si>
    <t>Director, Clinical Supply Chain</t>
  </si>
  <si>
    <t>OLE studies / additional indications / studies / programs</t>
  </si>
  <si>
    <t>Director, Commercial Supply Chain</t>
  </si>
  <si>
    <t>9 mo prior to NDA filing</t>
  </si>
  <si>
    <t xml:space="preserve">Director </t>
  </si>
  <si>
    <t>2028 Q1</t>
  </si>
  <si>
    <t xml:space="preserve">KAR 141 tech transfer to support Reg stability studies </t>
  </si>
  <si>
    <t xml:space="preserve">KAR POM and POC results. KAR-141 Tech transfer to CDMO for Reg Stab production campaign </t>
  </si>
  <si>
    <t>Dani-KAR-141</t>
  </si>
  <si>
    <t>NDA submissions, KAR-141 advancement (POC start)</t>
  </si>
  <si>
    <t>Associate Director, Commercial Supply Chain</t>
  </si>
  <si>
    <t>Commercial Supply Chain; Artwork Mgmt, Pkg Eng for Expanded WW Markts; Support for WW Expansion</t>
  </si>
  <si>
    <t>Further building of internal capabilities</t>
  </si>
  <si>
    <t>~6 mo prior to launch</t>
  </si>
  <si>
    <t>2x Emerging programs (including KAR-141) in portfolio and a 3rd within one quarter</t>
  </si>
  <si>
    <t>915 Finance &amp; Accounting</t>
  </si>
  <si>
    <t>Accounting Analyst / Senior Accountant</t>
  </si>
  <si>
    <t>As Kardigan's headcount growth continues, we need a dedicated individual to support expense and corporate credit card reporting. This person would also help with the general increase in accounting activity</t>
  </si>
  <si>
    <t>New</t>
  </si>
  <si>
    <t xml:space="preserve">Payroll </t>
  </si>
  <si>
    <t>Provide payroll support for large, scaling organization</t>
  </si>
  <si>
    <t>Cost Accounting</t>
  </si>
  <si>
    <t>Provide Cost Accounting and inventory management capabilities to the organization as the company moves to commercialization</t>
  </si>
  <si>
    <t>Hired needed only if we have an assets that will be commercialized</t>
  </si>
  <si>
    <t>As Kardigan makes clincial progress and  moves towards commericalization, we need a dedicated individual to support Sunshine Act reporting requirements.</t>
  </si>
  <si>
    <t>SOX  / Internal Audit</t>
  </si>
  <si>
    <t xml:space="preserve">Leadership over necessary compliance and governence responsibilities for a publicy traded organization </t>
  </si>
  <si>
    <t>Revenue Accounting</t>
  </si>
  <si>
    <t>2028 Q2</t>
  </si>
  <si>
    <t>Provide Revenue Accounting capabilities to the organization as the company moves to commercialization</t>
  </si>
  <si>
    <t>Day Porter</t>
  </si>
  <si>
    <t>2025 WFP Wave 3</t>
  </si>
  <si>
    <t>&gt; 75 employees at the site</t>
  </si>
  <si>
    <t>2 - Below Manager</t>
  </si>
  <si>
    <t>Lab Ops Specialist</t>
  </si>
  <si>
    <t xml:space="preserve">Support Day to Day Lab Op/Stocking  </t>
  </si>
  <si>
    <t>Capacity Building</t>
  </si>
  <si>
    <t>Lab Operations Support</t>
  </si>
  <si>
    <t>Additional SSF lab users &gt;50, vivarium workload</t>
  </si>
  <si>
    <t>Post Phase II fit-out</t>
  </si>
  <si>
    <t>Facilities Technician</t>
  </si>
  <si>
    <t>Facilities Engineering</t>
  </si>
  <si>
    <t>Support lab metrology, utilities and specialized equipment</t>
  </si>
  <si>
    <t>Occupancy &gt;85% SSF labs</t>
  </si>
  <si>
    <t>Facilities Coordinator</t>
  </si>
  <si>
    <t>Facilities / Soft Services</t>
  </si>
  <si>
    <t>Princeton site &gt;100 employees</t>
  </si>
  <si>
    <t>Headcount milestone reached</t>
  </si>
  <si>
    <t>EHS Specialist</t>
  </si>
  <si>
    <t>EHS Compliance</t>
  </si>
  <si>
    <t>Support EHS Manager for vivarium &amp; chemistry operations</t>
  </si>
  <si>
    <t>Chemistrystart up /Vivarium full operations</t>
  </si>
  <si>
    <t>Sr. Talent Acquisition Partner</t>
  </si>
  <si>
    <t>Total Rewards Analyst</t>
  </si>
  <si>
    <t>Additional capacity to support comp and benefits for field and global staff</t>
  </si>
  <si>
    <t xml:space="preserve">Senior Manager, Statistical Programming </t>
  </si>
  <si>
    <t>TLA-202 study lead</t>
  </si>
  <si>
    <t>Critical Role - Not Accounted for in top down guidance; shifted to 2027.</t>
  </si>
  <si>
    <t>ATA-301 study lead</t>
  </si>
  <si>
    <t>Post TAVR Study aCTM</t>
  </si>
  <si>
    <t>Lisa Morello</t>
  </si>
  <si>
    <t>Director, Clinical Operations Program lead</t>
  </si>
  <si>
    <t>ATA COPL New Indications</t>
  </si>
  <si>
    <t>Mild AS Global CTL</t>
  </si>
  <si>
    <t>Post TAVR Global CTL</t>
  </si>
  <si>
    <t>Mild AS  CTM</t>
  </si>
  <si>
    <t>Mild AS aCTM</t>
  </si>
  <si>
    <t>Bi-Cuspid CTL</t>
  </si>
  <si>
    <t>Post TAVR CTM</t>
  </si>
  <si>
    <t xml:space="preserve">Clinical Operations Program Lead </t>
  </si>
  <si>
    <t>ATA-KAR-141</t>
  </si>
  <si>
    <t>ClinOps Program Management: Combo ATA+KAR-141</t>
  </si>
  <si>
    <t>Sample and Data Governance</t>
  </si>
  <si>
    <t>Early Development - New Programs</t>
  </si>
  <si>
    <t>Clinical Operations Excellence</t>
  </si>
  <si>
    <t>LVAD</t>
  </si>
  <si>
    <t>LVAD CTL</t>
  </si>
  <si>
    <t>LVAD CTM</t>
  </si>
  <si>
    <t>LVAD CTA</t>
  </si>
  <si>
    <t>Post TAVR Study CTA</t>
  </si>
  <si>
    <t>Clinical Outsourcing</t>
  </si>
  <si>
    <t>Executive  Director, Clinical Development Lead</t>
  </si>
  <si>
    <t>ATA (Post-TAVR)</t>
  </si>
  <si>
    <t>Doctorate degree; Clinical oversight of post-TAVR strategy &amp; trial execution, post-TAVR CDP development</t>
  </si>
  <si>
    <t>Development of post-TAVR strategy clinical trial program</t>
  </si>
  <si>
    <t>Preparation for post-TAVR CDP</t>
  </si>
  <si>
    <t>Associate Director, Clinical Programming</t>
  </si>
  <si>
    <t>Moved to 2027</t>
  </si>
  <si>
    <t>Lead DM for TLA 2nd Indication</t>
  </si>
  <si>
    <t>support growing TLA pipeline activities</t>
  </si>
  <si>
    <t>TLA 2nd indication protocol synopsis</t>
  </si>
  <si>
    <t>moved to 2027</t>
  </si>
  <si>
    <t>CRO oversight, ATA Mild AS study DB build and cross functional study launch activities</t>
  </si>
  <si>
    <t>Lead DM for ATA Mild AS</t>
  </si>
  <si>
    <t>ATA Mild AS study launch (Synopsis)</t>
  </si>
  <si>
    <t>lead DM for ATA Post TAVR study DB build and cross functional study launch activities</t>
  </si>
  <si>
    <t>initiation of ATA Post TAVR study: synopsis</t>
  </si>
  <si>
    <t>EDC URL Management and Configuration oversight</t>
  </si>
  <si>
    <t>Data Science for Advanced Analytics, lead for Data Excellence Center</t>
  </si>
  <si>
    <t>Sr Director, Statistical Strategy and Standards</t>
  </si>
  <si>
    <t>Regulatory senior stat review and strategy planning, innovative study design research</t>
  </si>
  <si>
    <t>Associate Director, Biostatistician ATA</t>
  </si>
  <si>
    <t>Biostat support for ATA</t>
  </si>
  <si>
    <t>Gate on ATA-301 positive wk 24 data readout</t>
  </si>
  <si>
    <t>Stat programming support for ATA submission</t>
  </si>
  <si>
    <t>Stat programming support for TLA submission</t>
  </si>
  <si>
    <t>Biostat programming for legacy studies readiness for submission</t>
  </si>
  <si>
    <t>Clinical Data Scientist</t>
  </si>
  <si>
    <t>Early development</t>
  </si>
  <si>
    <t>Early development programs, including KAR141 and clin pharm studies and other IND activities, and RWD or registrational study</t>
  </si>
  <si>
    <t>Sr Manager, Biostatistics</t>
  </si>
  <si>
    <t>Supporting early development biostat activities</t>
  </si>
  <si>
    <t>Supporting early development programming activities</t>
  </si>
  <si>
    <t xml:space="preserve">Sr Manager, Statistical Programming </t>
  </si>
  <si>
    <t>Associate Director, Statistical Strategy and Standards</t>
  </si>
  <si>
    <t>cross portfolio stat review and strategy planning, innovative study design research</t>
  </si>
  <si>
    <t>Senior Manager, Biostatistician</t>
  </si>
  <si>
    <t>Biostat study lead for ATA mild AS</t>
  </si>
  <si>
    <t>pending approval of Mild AS study</t>
  </si>
  <si>
    <t>Stat programming support for Dani readout</t>
  </si>
  <si>
    <t>Gate on DAN-301 Part 1 data readout</t>
  </si>
  <si>
    <t>Oversee DM activities for 4 Early Dev studies</t>
  </si>
  <si>
    <t>2026 Q4: SOW review for the next wave of Phase 1 studies</t>
  </si>
  <si>
    <t>Clinical Programmer</t>
  </si>
  <si>
    <t>Remote</t>
  </si>
  <si>
    <t>Support data review, validation, dashboard programming needs - flex point at DAN-LTE launch</t>
  </si>
  <si>
    <t>ClinChoice</t>
  </si>
  <si>
    <t>initiation of DAN-OLE/LTE study: synopsis</t>
  </si>
  <si>
    <t>legacy study data lead, Data Platforms and transfers management, Process data distribution requests, Kardigan Data Platforms Access Requests oversight</t>
  </si>
  <si>
    <t>DAN data analysis, ATA data transfer blinding management</t>
  </si>
  <si>
    <t>Dashboard and systems programming</t>
  </si>
  <si>
    <t>Manage Kardigan EDC URL oversight and standards consistency application over all Kardigan EDC URLs, maintain validation review and reports</t>
  </si>
  <si>
    <t xml:space="preserve">Contractor, Statistical Programming </t>
  </si>
  <si>
    <t>Biostat study lead support for Dani</t>
  </si>
  <si>
    <t>pending OLE study approval</t>
  </si>
  <si>
    <t>Contractor, Biostatistician</t>
  </si>
  <si>
    <t>Biostat study lead for ATA post-TAVR</t>
  </si>
  <si>
    <t>pending approval of post-TVAR study</t>
  </si>
  <si>
    <t>Biostat study lead for TLA second indication</t>
  </si>
  <si>
    <t>pending approval of TLA study in second indication</t>
  </si>
  <si>
    <t xml:space="preserve">Stat programming support for study readout </t>
  </si>
  <si>
    <t>Stat programming support for ATA readout</t>
  </si>
  <si>
    <t>Philippe Costet</t>
  </si>
  <si>
    <t xml:space="preserve"> Director</t>
  </si>
  <si>
    <t>Director, Biomarker Lead imaging</t>
  </si>
  <si>
    <t>Imaging SME. Drive clinical imaging&amp;EKG biomarker planing&amp;execution  and biomarker-related collaborations</t>
  </si>
  <si>
    <t>Ongoing trials imaging readouts</t>
  </si>
  <si>
    <t>Assistant Director</t>
  </si>
  <si>
    <t>Assit Director, Biomarker Lead</t>
  </si>
  <si>
    <t>Assist with clinical biomarker planing&amp;execution  and biomarker-related collaborations</t>
  </si>
  <si>
    <t xml:space="preserve">In vivo validation of third new molecule </t>
  </si>
  <si>
    <t>Experiences biomarke SME</t>
  </si>
  <si>
    <t>Senior Director, Pharmacovigilance Operations Lead</t>
  </si>
  <si>
    <t>Not approved for 2026; was requested to move to 2027.</t>
  </si>
  <si>
    <t>Lead pharmacovigilance operational activities for the collection and processing of safety data across all assets.  Support safety data assessment and surveillance.  Support pharmacovigilance vendor compliance oversight</t>
  </si>
  <si>
    <t>safety data intake and processing, safety surveillance team agenda/documentation, safety data management, pharmacovigilance vendor oversight, represents PV in clinical program meetings such as data management</t>
  </si>
  <si>
    <t>increased safety data collected from clinical development programs</t>
  </si>
  <si>
    <t>Associate Director, Pharmacovigilance Systems &amp; Technical Compliance</t>
  </si>
  <si>
    <t>Strategic Capability</t>
  </si>
  <si>
    <t>Technical compliance with strong pharmacovigilance knowledge.  Knowledge of administration of safety database, signal management system and other key PV systems</t>
  </si>
  <si>
    <t>PV IT Compliance, system deliverables, system validation, IT change management, program management, system administration</t>
  </si>
  <si>
    <t>Planning for internal or external pharmacovigilance technical/IT capabilities</t>
  </si>
  <si>
    <t>PV IT System administration; IT system and security control understanding</t>
  </si>
  <si>
    <t>Senior Manager, Pharmacovigilance Vendor Oversight, Contracts and Agreements</t>
  </si>
  <si>
    <t>Lead in the process, creation, negotiation, management of pharmacovigilance agreements internationally and across the company including commercial. Lead vendor PV language contract process.  Oversee technical pharmacovigilance third-party program</t>
  </si>
  <si>
    <t>Pharmacovigilance Agreements, Safety Data Exchange Agreements, Vendor Pharmacovigilance contract language, third-party oversight program for pharmacovigilance lead</t>
  </si>
  <si>
    <t>Contracting with any vendor that may receive, process or manage patient safety including any company vendor, product distributor, business partner or process provider.</t>
  </si>
  <si>
    <t>Pharmacovigilance contracting, legal background a plus</t>
  </si>
  <si>
    <t>Senior Manager, Pharmacovigilance Data Analyst &amp; Signal Management</t>
  </si>
  <si>
    <t>program and create IT solutions for the analysis of safety data to support filings and internal safety data analysis.  Lead signal management system configuration and innovative real-world data analysis solutions for patient safety data or signal detection</t>
  </si>
  <si>
    <t>Pharmacovigilance aggregate reports, signal detection, signal management log, IND/NDA filing, company core safety information, safety surveillance data analysis</t>
  </si>
  <si>
    <t>increased data for pharmacovigilance filings and internal IT data utilization across multiple internal and external platforms</t>
  </si>
  <si>
    <t>IT programming, pharmacovigilance data analysis</t>
  </si>
  <si>
    <t>Manager, Pharmacovigilance Operations</t>
  </si>
  <si>
    <t>Manage pharmacovigilance operational activities for the collection and processing of safety data across all assigned assets.  Support safety data assessment and surveillance.  Support pharmacovigilance vendor compliance oversight</t>
  </si>
  <si>
    <t>pharmacovigilance safety database processing; project management; vendor oversight</t>
  </si>
  <si>
    <t>Executive Assistant, PV</t>
  </si>
  <si>
    <t>Experienced project management and department operations.  Abile to support wide range of activities to directly support department head and all direct reports</t>
  </si>
  <si>
    <t xml:space="preserve">Department growth and complexity. </t>
  </si>
  <si>
    <t>planning for department growth and culture</t>
  </si>
  <si>
    <t>Project management; department administration</t>
  </si>
  <si>
    <t>Senior Director, Pharmacovigilance Safety Scientist Lead</t>
  </si>
  <si>
    <t>Planning</t>
  </si>
  <si>
    <t>Senior Manager, Pharmacovigilance Process Excellence and Training</t>
  </si>
  <si>
    <t>experienced in pharmacovigilance quality systems and training program development.  Interactions with third-parties for external PV training management</t>
  </si>
  <si>
    <t>pharmacovigilance quality management system enablement from centralized to global (local), pharmacovigilance training material development and management.  coordinate with functional areas for internal and external patient safety process and training needs.</t>
  </si>
  <si>
    <t>preparation for commercialization.  implementation of pharmacovigilance IT systems.  Alignment with regulatory expectations regarding training programs for pharmacovigilance staff and internal/external staff supporting pharmacovigilance operations</t>
  </si>
  <si>
    <t xml:space="preserve">Strong compliance management mindset; Pharmacovigilance </t>
  </si>
  <si>
    <t>Director, Pharmacovigilance Physician</t>
  </si>
  <si>
    <t>Medical oversight across all assets and all trials. Experienced in safety risk management, safety benefit-risk analysis, signal management and safety data assessment.</t>
  </si>
  <si>
    <t>medical degree with strong pharmacovigilance experience</t>
  </si>
  <si>
    <t>Head of Reg Ops</t>
  </si>
  <si>
    <t>Assoc. Director, Regulatory Operations</t>
  </si>
  <si>
    <r>
      <t>20</t>
    </r>
    <r>
      <rPr>
        <sz val="11"/>
        <color rgb="FFFF0000"/>
        <rFont val="Aptos Narrow"/>
        <family val="2"/>
        <scheme val="minor"/>
      </rPr>
      <t>28 Q1</t>
    </r>
  </si>
  <si>
    <t>Incremental FTE: Jun</t>
  </si>
  <si>
    <t>Submission Manager for 2nd NDA and vendors oversight</t>
  </si>
  <si>
    <t>Associate Director, CMC Regulatory (X-portfolio)</t>
  </si>
  <si>
    <t>Incremental FTE: Mar</t>
  </si>
  <si>
    <t>NDA filing support and maintainance</t>
  </si>
  <si>
    <t>Associate Director, Regulatory Strategy (X-portfolio)</t>
  </si>
  <si>
    <t>Director, Labeling Operations</t>
  </si>
  <si>
    <r>
      <t xml:space="preserve">2027 </t>
    </r>
    <r>
      <rPr>
        <sz val="11"/>
        <color rgb="FFFF0000"/>
        <rFont val="Aptos Narrow"/>
        <family val="2"/>
        <scheme val="minor"/>
      </rPr>
      <t>Q2</t>
    </r>
  </si>
  <si>
    <t>Incremental FTE: Nov</t>
  </si>
  <si>
    <t>Regulatory Labeling</t>
  </si>
  <si>
    <t>To be hired after first NDA submission, Labeling process lead, electronic drug listing and compliance</t>
  </si>
  <si>
    <t>Director, Medical Science Liaision (6-8 total)</t>
  </si>
  <si>
    <t>Initial field medical build - 2-3 MSLs per region (x3 regions allocated to medical asset leads)</t>
  </si>
  <si>
    <t>Medical launch readiness planning, external medical engagement</t>
  </si>
  <si>
    <t>First positive internal data readout - impact to timeline of first NDA submission</t>
  </si>
  <si>
    <t xml:space="preserve">Experienced MSL/Leader </t>
  </si>
  <si>
    <t xml:space="preserve">Cheryl Abbas </t>
  </si>
  <si>
    <t>SVP, Medical Affairs</t>
  </si>
  <si>
    <t>Medical leadership for transition to full medical organizational model</t>
  </si>
  <si>
    <t>Medical launch readiness planning</t>
  </si>
  <si>
    <t>Medical organization model in place at least 1 year prior to first NDA approval</t>
  </si>
  <si>
    <t>Executive Director, Head of Scientific Communications</t>
  </si>
  <si>
    <t>Full build of SciComms team for medical content development, medical information oversight, scientific communications strategy (also for field medical)</t>
  </si>
  <si>
    <t>Medical launch readiness and sci comms planning/content development across 3 assets</t>
  </si>
  <si>
    <t>Semi-emerging/experienced leader (can grow into this role)</t>
  </si>
  <si>
    <t>Executive Director, Head of Field Medical</t>
  </si>
  <si>
    <t>Field Medical leadership for full MSL team build</t>
  </si>
  <si>
    <t>Executive Director, Head of Evidence Generation/HEOR</t>
  </si>
  <si>
    <t>Internal capability of HEOR/RWE, IIT management, registries, claims assessments</t>
  </si>
  <si>
    <t>Medical Director, ATA x 2</t>
  </si>
  <si>
    <t>Support of ATA Medical Launch Readiness plan</t>
  </si>
  <si>
    <t>Medical launch readiness planning and execution</t>
  </si>
  <si>
    <t>Medical tactical execution 1 year prior to NDA approval</t>
  </si>
  <si>
    <t>Semi-emerging</t>
  </si>
  <si>
    <t>Post TAVR Regional Lead</t>
  </si>
  <si>
    <t>Bi-Cuspid CTM</t>
  </si>
  <si>
    <t>Bi-Cuspid aCTM</t>
  </si>
  <si>
    <t>Combo CTL</t>
  </si>
  <si>
    <t>Combo CTM</t>
  </si>
  <si>
    <t>Clinical Trial Associate</t>
  </si>
  <si>
    <t>Combo CTA</t>
  </si>
  <si>
    <t xml:space="preserve">Clinical Trial Liaison </t>
  </si>
  <si>
    <t>Clinical Trial Lead - 2nd indication</t>
  </si>
  <si>
    <t>Senior Director</t>
  </si>
  <si>
    <t>Clinical Trial Physician</t>
  </si>
  <si>
    <t>DANI</t>
  </si>
  <si>
    <t>Trial oversight, medical monitoring of KINSHIP-OLE</t>
  </si>
  <si>
    <t>1Q ahead of FPI for OLE study</t>
  </si>
  <si>
    <t>Imminent enrollment of first patient in OLE, NDA submission</t>
  </si>
  <si>
    <t>Associate Director, Pharmacovigilance Scientist</t>
  </si>
  <si>
    <t>Director, Regulatory Operations</t>
  </si>
  <si>
    <t>Submission Manager for 1st NDA and vendors oversight</t>
  </si>
  <si>
    <r>
      <rPr>
        <sz val="11"/>
        <color rgb="FFFF0000"/>
        <rFont val="Aptos Narrow"/>
        <family val="2"/>
        <scheme val="minor"/>
      </rPr>
      <t>Sr Manager</t>
    </r>
    <r>
      <rPr>
        <sz val="11"/>
        <rFont val="Aptos Narrow"/>
        <family val="2"/>
        <scheme val="minor"/>
      </rPr>
      <t>, Regulatory Operations</t>
    </r>
  </si>
  <si>
    <r>
      <t>2027</t>
    </r>
    <r>
      <rPr>
        <sz val="11"/>
        <color rgb="FFFF0000"/>
        <rFont val="Aptos Narrow"/>
        <family val="2"/>
        <scheme val="minor"/>
      </rPr>
      <t xml:space="preserve"> Q3</t>
    </r>
  </si>
  <si>
    <r>
      <t>Submission Manager</t>
    </r>
    <r>
      <rPr>
        <sz val="11"/>
        <color rgb="FFFF0000"/>
        <rFont val="Aptos Narrow"/>
        <family val="2"/>
        <scheme val="minor"/>
      </rPr>
      <t xml:space="preserve"> x-folio</t>
    </r>
  </si>
  <si>
    <t>Sr. Director, Ad Promo</t>
  </si>
  <si>
    <r>
      <rPr>
        <sz val="11"/>
        <color rgb="FFFF0000"/>
        <rFont val="Aptos Narrow"/>
        <family val="2"/>
        <scheme val="minor"/>
      </rPr>
      <t>Director</t>
    </r>
    <r>
      <rPr>
        <sz val="11"/>
        <rFont val="Aptos Narrow"/>
        <family val="2"/>
        <scheme val="minor"/>
      </rPr>
      <t>, Ad Promo (</t>
    </r>
    <r>
      <rPr>
        <sz val="11"/>
        <color rgb="FFFF0000"/>
        <rFont val="Aptos Narrow"/>
        <family val="2"/>
        <scheme val="minor"/>
      </rPr>
      <t>ATA</t>
    </r>
    <r>
      <rPr>
        <sz val="11"/>
        <rFont val="Aptos Narrow"/>
        <family val="2"/>
        <scheme val="minor"/>
      </rPr>
      <t>)</t>
    </r>
  </si>
  <si>
    <r>
      <t xml:space="preserve">2027 </t>
    </r>
    <r>
      <rPr>
        <sz val="11"/>
        <color rgb="FFFF0000"/>
        <rFont val="Aptos Narrow"/>
        <family val="2"/>
        <scheme val="minor"/>
      </rPr>
      <t>Q3</t>
    </r>
  </si>
  <si>
    <t>Ad Promo</t>
  </si>
  <si>
    <t>Topline Data for 2nd NDA</t>
  </si>
  <si>
    <r>
      <rPr>
        <sz val="11"/>
        <color rgb="FFFF0000"/>
        <rFont val="Aptos Narrow"/>
        <family val="2"/>
        <scheme val="minor"/>
      </rPr>
      <t>Director</t>
    </r>
    <r>
      <rPr>
        <sz val="11"/>
        <rFont val="Aptos Narrow"/>
        <family val="2"/>
        <scheme val="minor"/>
      </rPr>
      <t xml:space="preserve">, Ad Promo </t>
    </r>
    <r>
      <rPr>
        <sz val="11"/>
        <color rgb="FFFF0000"/>
        <rFont val="Aptos Narrow"/>
        <family val="2"/>
        <scheme val="minor"/>
      </rPr>
      <t>(TLA)</t>
    </r>
  </si>
  <si>
    <r>
      <t>20</t>
    </r>
    <r>
      <rPr>
        <sz val="11"/>
        <color rgb="FFFF0000"/>
        <rFont val="Aptos Narrow"/>
        <family val="2"/>
        <scheme val="minor"/>
      </rPr>
      <t>28 Q2</t>
    </r>
  </si>
  <si>
    <t>Incremental FTE: Dec</t>
  </si>
  <si>
    <t>Topline Data for 3rd NDA</t>
  </si>
  <si>
    <r>
      <t>Sr. Director, Ad Promo (X-portfolio</t>
    </r>
    <r>
      <rPr>
        <sz val="11"/>
        <color rgb="FFFF0000"/>
        <rFont val="Aptos Narrow"/>
        <family val="2"/>
        <scheme val="minor"/>
      </rPr>
      <t>/Dani</t>
    </r>
    <r>
      <rPr>
        <sz val="11"/>
        <rFont val="Aptos Narrow"/>
        <family val="2"/>
        <scheme val="minor"/>
      </rPr>
      <t>)</t>
    </r>
  </si>
  <si>
    <t>Topline Data for 1st NDA</t>
  </si>
  <si>
    <t>04 - Launch</t>
  </si>
  <si>
    <t>Medical Director, Dani x 2</t>
  </si>
  <si>
    <t>Support of Dani Medical Launch Readiness plan</t>
  </si>
  <si>
    <t>ATA (Bicuspid)</t>
  </si>
  <si>
    <t>Clinical scientist support for development of phase III ATA bicuspid trial</t>
  </si>
  <si>
    <t>Preparation of AVC data @24 weeks in ATA-301; Pig data on Bicuspid (Research plan?)</t>
  </si>
  <si>
    <t>TLA DLL</t>
  </si>
  <si>
    <t>n/a</t>
  </si>
  <si>
    <t>Clinical Development, Medical Monitoring</t>
  </si>
  <si>
    <t>Upon next major clinical trial (likely TLA-302 for Heart Failure with elevated BP)</t>
  </si>
  <si>
    <t>DRC-Gov approval to pursue next indication (after HTN Crisis)</t>
  </si>
  <si>
    <t>Trial design, oversight, and medical monitoring of LCM trial</t>
  </si>
  <si>
    <t>In preparation for next novel indication  (e.g., LVAD, Afib)</t>
  </si>
  <si>
    <t>EC endorsement of follow-on indication, NDA submission</t>
  </si>
  <si>
    <t>Clinical/Physician Trialist</t>
  </si>
  <si>
    <t>ATA (Mod/Mild)</t>
  </si>
  <si>
    <t>MD; Clinical oversight of trial execution, additional support on data mining, medical writing</t>
  </si>
  <si>
    <t>Clinical data anlaysis support/data mining in preparation for AVC @24 weeks in ATA-301</t>
  </si>
  <si>
    <t>Preparation of AVC data @24 weeks in ATA-301</t>
  </si>
  <si>
    <t>MD; Clinical oversight of trial execution for bicuspid phase III</t>
  </si>
  <si>
    <t>Clinical support for ATA bicuspid phase III</t>
  </si>
  <si>
    <t>AVC data @24 weeks in ATA-301</t>
  </si>
  <si>
    <t>Director of Clinical Development Lead</t>
  </si>
  <si>
    <t>Clinical Development; Trial Design; CDP</t>
  </si>
  <si>
    <t>Upon next novel indication for TLA (likley Pregnancy associated HTN)</t>
  </si>
  <si>
    <t>DRC-Gov approval to pursue program for Pregnancy associated HTN</t>
  </si>
  <si>
    <t>Director, Clinical Scientist</t>
  </si>
  <si>
    <t>ATA (LCM)</t>
  </si>
  <si>
    <t>Clinical Development Plan for LCM</t>
  </si>
  <si>
    <t xml:space="preserve">Trial support for additional Ph3 Studies; </t>
  </si>
  <si>
    <t>Sr. Manager, CMC Regulatory (X-portfolio)</t>
  </si>
  <si>
    <t>NDA Filing Team Kick-offs</t>
  </si>
  <si>
    <t>Incremental FTE: Sep</t>
  </si>
  <si>
    <t>Jay Edelberg (ad interim TLA DLL)</t>
  </si>
  <si>
    <t>Medical Director, TLA x 2</t>
  </si>
  <si>
    <t xml:space="preserve">Support of TLA Medical Launch Readiness plan </t>
  </si>
  <si>
    <t>2027 Q4</t>
  </si>
  <si>
    <r>
      <rPr>
        <b/>
        <sz val="11"/>
        <rFont val="Aptos Narrow"/>
        <family val="2"/>
        <scheme val="minor"/>
      </rPr>
      <t>NOW</t>
    </r>
    <r>
      <rPr>
        <sz val="11"/>
        <rFont val="Aptos Narrow"/>
        <family val="2"/>
        <scheme val="minor"/>
      </rPr>
      <t>: Not previously included in WFP – due to current MD shortage, this may provide faster avenue to recruitment and not require &gt;Dir hire</t>
    </r>
  </si>
  <si>
    <t>Senior Manager, PV Policy and Inspection Readiness</t>
  </si>
  <si>
    <t>experienced in pharmacovigilance quality systems, international pharmacovigilance health authority requirements and inspection readiness activities</t>
  </si>
  <si>
    <t>PV quality management system alignment with PV IT systems, execution of the PV inspection readiness plan/capability</t>
  </si>
  <si>
    <t>final pre-go live configuration of the PV safety database.  Preparation for inspections in any GXP area for which safety data will be requested.</t>
  </si>
  <si>
    <t>Senior Manager, Pharmacovigilance Patient Safety External Engagement</t>
  </si>
  <si>
    <t>experienced in requirements for safety data collection, privacy regulations and safety data management across all assets</t>
  </si>
  <si>
    <t>Responsible for systems related to safety data coming  from social media, medical information, patient interactions, product quality complaints, third-parties.  Including reconciling between company safety database and source</t>
  </si>
  <si>
    <t>Support of post marking spontaneous reporting as well as safety data received from all non-clinical trial sources</t>
  </si>
  <si>
    <t>pharmacovigilance experience; experience privacy regulations; IT/Technical background</t>
  </si>
  <si>
    <t>Executive Director, International Pharmacovigilance QPPV Lead/ EU QPPV</t>
  </si>
  <si>
    <t>Lead international pharmacovigilance organization, product safety oversight, legally required</t>
  </si>
  <si>
    <t>Legally required individual due to Pharmacovigilance regulations</t>
  </si>
  <si>
    <t>At Least three months prior to the marketing authorization filing in Europe</t>
  </si>
  <si>
    <t>Regional Pharmacovigilance Lead/ Local PV Responsible Person</t>
  </si>
  <si>
    <t>At least three months prior to the in ex-US country</t>
  </si>
  <si>
    <t>At least three months prior to the marketing authorization filing in the UK (placeholder country)</t>
  </si>
  <si>
    <t>Local PV Responsible Person</t>
  </si>
  <si>
    <t>At least three months prior to the marking authorization filing in ex-US country</t>
  </si>
  <si>
    <t>Pharmacovigilance Systems Masterfile Coordinator</t>
  </si>
  <si>
    <t>Experienced in the process, creation, authoring, publishing, submission and maintenance of the PSMF.  Required for submission and ongoing.</t>
  </si>
  <si>
    <t>Pharmacovigilance System Masterfile required ex-US, Submission Records support masterfile, associated processes</t>
  </si>
  <si>
    <t>At Least three months prior to the marketing authorization filing in Europe, PSMF is required for filing</t>
  </si>
  <si>
    <t>Project management; pharmacovigilance experience; direct PSMF experience</t>
  </si>
  <si>
    <t>Sr. Manager, Regulatory Strategy (X-portfolio)</t>
  </si>
  <si>
    <t>07 - Executive Director</t>
  </si>
  <si>
    <t>Therapeutic Area Lead</t>
  </si>
  <si>
    <t>Management of CTMs; FSP</t>
  </si>
  <si>
    <t>Sr. Director</t>
  </si>
  <si>
    <t>Sr. Director, Clinical Lead</t>
  </si>
  <si>
    <t>Translational medicine, trial design and management</t>
  </si>
  <si>
    <t>Assist with clinical pharmacology studies; design and implement FIH and PoM studies for new molecules</t>
  </si>
  <si>
    <t>Senior Scientist</t>
  </si>
  <si>
    <t>Sr. Scientist, Biomarker assays</t>
  </si>
  <si>
    <t>Assist with biomarker assay development and validation</t>
  </si>
  <si>
    <t xml:space="preserve">In vivo validation of first new molecule </t>
  </si>
  <si>
    <t>Experienced laboratory SME</t>
  </si>
  <si>
    <t>Head of IT</t>
  </si>
  <si>
    <t>MSP</t>
  </si>
  <si>
    <t>IT Infrastructure Support</t>
  </si>
  <si>
    <t>IT Infrastructure / Security MSP</t>
  </si>
  <si>
    <t>Managed services vendor for remote IT infrastructure support across all companies/offices</t>
  </si>
  <si>
    <t>IT Service Desk</t>
  </si>
  <si>
    <t>In contracts</t>
  </si>
  <si>
    <t>Service Desk MSP</t>
  </si>
  <si>
    <t>Managed services vendor for remote IT service desk across all companies/offices/remote workers</t>
  </si>
  <si>
    <t>Sr. Director Infrastructure &amp; Operations</t>
  </si>
  <si>
    <t>MSP in contracts</t>
  </si>
  <si>
    <t>HC growth &gt;100 at SSF</t>
  </si>
  <si>
    <t>IT Quality &amp; Compliance</t>
  </si>
  <si>
    <t>IT computer systems compliance with regualatory requirements and audit/inspection readiness</t>
  </si>
  <si>
    <t>Increased compliance requirements for SOX and GxP (&gt; 5-10+ validated systems)</t>
  </si>
  <si>
    <t>Sr. Director, R&amp;D IT Business Partner</t>
  </si>
  <si>
    <t>IT Business Analyst, Development</t>
  </si>
  <si>
    <t>PV Safety, CMC, Early Discovery Informatics IT support</t>
  </si>
  <si>
    <t>IT Business Partner, Commercial</t>
  </si>
  <si>
    <t>Enable commercial product launch IT system capabilities</t>
  </si>
  <si>
    <t>IT Business Partner, Research</t>
  </si>
  <si>
    <t>Princeton HC &gt;75</t>
  </si>
  <si>
    <t>AI/ML/Data Science Engineer</t>
  </si>
  <si>
    <t>AI enablement and application support, data science and reporting system support</t>
  </si>
  <si>
    <t>Medical, Clinical, and Quality IT systems support</t>
  </si>
  <si>
    <t>IT Business Analyst, Research</t>
  </si>
  <si>
    <t>Research, TechOps, Early Discoverty Informatics IT support</t>
  </si>
  <si>
    <t>AI Lead</t>
  </si>
  <si>
    <t>IT Business Analyst, Commercial</t>
  </si>
  <si>
    <t>Commercial launch readiness, field sales support</t>
  </si>
  <si>
    <t>Minako Pazdera</t>
  </si>
  <si>
    <t>Sr. Director Commercial law</t>
  </si>
  <si>
    <t>Launch readiness</t>
  </si>
  <si>
    <t>Sr. Director, IP</t>
  </si>
  <si>
    <t>Director, Contracts</t>
  </si>
  <si>
    <t>Sr. Director, IP - SSF</t>
  </si>
  <si>
    <t>Pipeline expansion</t>
  </si>
  <si>
    <t>VP, Compliance</t>
  </si>
  <si>
    <t>Director, Commerical law - PNJ</t>
  </si>
  <si>
    <t>Sr. IP Paralegal</t>
  </si>
  <si>
    <t>Bring docketing in house; reduce outside counsel spend</t>
  </si>
  <si>
    <t>Director, IP - PNJ</t>
  </si>
  <si>
    <t>Director, Employment law - SSF</t>
  </si>
  <si>
    <t>Commercial readiness; expanding WF</t>
  </si>
  <si>
    <t>QC Operations</t>
  </si>
  <si>
    <t>2025 WFP Approved CW</t>
  </si>
  <si>
    <t xml:space="preserve">Ramp up of quality operations to support higher number of programs </t>
  </si>
  <si>
    <t>NDA Authoring Support</t>
  </si>
  <si>
    <t>Tech writing for NDA preperation</t>
  </si>
  <si>
    <t>Quality Systems Business Operations Head</t>
  </si>
  <si>
    <t>Increased responsibilities for infrastructure support to drive vendor management oversight, QRM, QMS, CI (all key compliance expectations).  In addition to BPM and PM support that are key strategic capabilities</t>
  </si>
  <si>
    <t>CSA/Quality IT/Veeva Head</t>
  </si>
  <si>
    <t>Quality IT</t>
  </si>
  <si>
    <t>Increasing demand for computer systems needed to supportt he programs and the quality system requires additional support</t>
  </si>
  <si>
    <t>Convert in 2028</t>
  </si>
  <si>
    <t>GMP Audit Lead</t>
  </si>
  <si>
    <t>CW in 2027 (Q1-Q2)  and convert in late 2027</t>
  </si>
  <si>
    <t>External Monitoring Intelligence Lead</t>
  </si>
  <si>
    <t xml:space="preserve">SSF </t>
  </si>
  <si>
    <t>Ensuring alignment with emerging regulatory expectations and aligning IR activities.  Augments audit program</t>
  </si>
  <si>
    <t>CW in 2027, Convert to FTE 2028</t>
  </si>
  <si>
    <t>Inspection Readiness GMP Support</t>
  </si>
  <si>
    <t>Support will be needed through 2028</t>
  </si>
  <si>
    <t>Inspection Readiness GCP Support</t>
  </si>
  <si>
    <t>Dani CQL</t>
  </si>
  <si>
    <t>Ex US Oversight</t>
  </si>
  <si>
    <t>Support Needed 2027-2028</t>
  </si>
  <si>
    <t>CQA Operations Lead</t>
  </si>
  <si>
    <t>CQL Support</t>
  </si>
  <si>
    <t>All</t>
  </si>
  <si>
    <t>Convert to FTE in 2028</t>
  </si>
  <si>
    <t>CQA Ops Support</t>
  </si>
  <si>
    <t>N/a</t>
  </si>
  <si>
    <t>CI/BPM Lead</t>
  </si>
  <si>
    <t>Quality Data Analytics/Metrics and Quality Mgmt Review</t>
  </si>
  <si>
    <t xml:space="preserve"> PNJ</t>
  </si>
  <si>
    <t xml:space="preserve">2027 Q1 </t>
  </si>
  <si>
    <t>Strategic capability to create more agile and timely decision making for the Quality System and managing Quality across the org</t>
  </si>
  <si>
    <t>CW in 2027 convert to FTE in 2028</t>
  </si>
  <si>
    <t>Lead Investigator, DEV/CAPA Coordinator</t>
  </si>
  <si>
    <t>As we start building out more processes and manufacaturing more product the need will increase to have someone proficient in RCA and driving investigations as well as coordination of the QMS Veeva System for Dev and CAPA.  Cross GxP role and key resource to lead issue escalation meetings</t>
  </si>
  <si>
    <t>Doc Coordinator</t>
  </si>
  <si>
    <t>Increasing demand for support in drafting the initial processes, SOPs and Policies needed to drive work across the product lifecycle through stakeholder management and support</t>
  </si>
  <si>
    <t>Instructional Designer</t>
  </si>
  <si>
    <t>As we start to increase our work force as well as build out the QMS support of developing training plans and material will increase</t>
  </si>
  <si>
    <t>CW 15% in 2026 so remove from WFP in 2026</t>
  </si>
  <si>
    <t>Training Admin</t>
  </si>
  <si>
    <t>As we start to increase our work force as well as build out the QMS support of training administration and coordination in Veeva will increase</t>
  </si>
  <si>
    <t>CW 2027-2028: with growing workforce and trainings bot GxP and Non-GxP support needed to manage the growing assignments to free up Head of training to develop training programs will be necessary.</t>
  </si>
  <si>
    <t>Continuous Improvement (CI)/ Business Process Management (BPM) Lead</t>
  </si>
  <si>
    <t>Increased focus from regulators on CI built into the QMS.  This role represents a strong strategic capability that will help drive our competative advantage</t>
  </si>
  <si>
    <t xml:space="preserve">CW in 2027 Q1-Q2 then  convert to FTE in late 2027. </t>
  </si>
  <si>
    <t>Vendor Oversight Lead</t>
  </si>
  <si>
    <t>Technical Change Control Coordinator</t>
  </si>
  <si>
    <t xml:space="preserve">SSF  </t>
  </si>
  <si>
    <t>Project Mgr/Quality Portfolio Support</t>
  </si>
  <si>
    <t>Ramp up to support key projects in the quality portfolio : volume dependant</t>
  </si>
  <si>
    <t>Will need support through 2028</t>
  </si>
  <si>
    <t>volume dependant support through 2028</t>
  </si>
  <si>
    <t>CQA Operations</t>
  </si>
  <si>
    <t>CW 20% in 2026 so remove from WFP in 2026</t>
  </si>
  <si>
    <t>BB/Quality Statistician (Quality Engineer)</t>
  </si>
  <si>
    <t>Strategic capability to create more agile and timely decision making for the Quality System and managing Quality across the org, drive CI mindset and build capability in the org</t>
  </si>
  <si>
    <t>Device Quality Support</t>
  </si>
  <si>
    <t>Lifecycle management for combo products and need to design device QMS elements</t>
  </si>
  <si>
    <t>CW 25% in 2026 so remove from WFP in 2026</t>
  </si>
  <si>
    <t>Emmerging Leader</t>
  </si>
  <si>
    <t xml:space="preserve">Depending on volume. </t>
  </si>
  <si>
    <t>CQA Phase 4 Support</t>
  </si>
  <si>
    <t>CW in 2027 convert in 2028</t>
  </si>
  <si>
    <t>Commercial readiness and execution</t>
  </si>
  <si>
    <t>Non-Clinical/Early Dev Clinical Quality Lead</t>
  </si>
  <si>
    <t xml:space="preserve"> Convert to FTE in 2027 :  CW in 2026 but at 20 hrs so not captured in org chart</t>
  </si>
  <si>
    <t>≥3 H2L/LO/SA efforts</t>
  </si>
  <si>
    <t>Pushed out 1 year</t>
  </si>
  <si>
    <t>≥5 H2L/LO/SA efforts</t>
  </si>
  <si>
    <t>Daniel Gross</t>
  </si>
  <si>
    <t>Compounder</t>
  </si>
  <si>
    <t>Director, Computational Chemist</t>
  </si>
  <si>
    <t>2025 WFP Wave 2</t>
  </si>
  <si>
    <t>Computational chemistry</t>
  </si>
  <si>
    <t>Validated hits from HTS and AT BU go</t>
  </si>
  <si>
    <t>Principal Scientist, Computational Chemist</t>
  </si>
  <si>
    <t>Structurally enabled H2L/LO effort</t>
  </si>
  <si>
    <t>Principal Scientist</t>
  </si>
  <si>
    <t>≥4 H2L/LO/SA efforts</t>
  </si>
  <si>
    <t>Senior RA, DMPK</t>
  </si>
  <si>
    <t>Requests from clinical stage programs</t>
  </si>
  <si>
    <t>Medicinal chemistry - lab based</t>
  </si>
  <si>
    <t>Positive readouts</t>
  </si>
  <si>
    <t>Staff Scientist</t>
  </si>
  <si>
    <t>105 Non-Clinical</t>
  </si>
  <si>
    <t>C.del Rio's Group</t>
  </si>
  <si>
    <t>Initiation of INDE studies for in-house program or combo</t>
  </si>
  <si>
    <t>Go for either NG ATA or PAR4</t>
  </si>
  <si>
    <t>105 In vitro pharm</t>
  </si>
  <si>
    <t>Staff Scientist, Associate Director,In vitro</t>
  </si>
  <si>
    <t>In vitro head - Program Lead</t>
  </si>
  <si>
    <t>Initiation of new program (PAR4 or in house)</t>
  </si>
  <si>
    <t>GAP - NOT COVERED</t>
  </si>
  <si>
    <t>S. Mohran</t>
  </si>
  <si>
    <t>Scientist, in vitro</t>
  </si>
  <si>
    <t>Fiber systems</t>
  </si>
  <si>
    <t>105 Biochemistry</t>
  </si>
  <si>
    <t>in vitro PoC for mRNA (CORIN/ANP) or FABP4 program</t>
  </si>
  <si>
    <t>New program</t>
  </si>
  <si>
    <t>Expansion of in vitro AS toolset</t>
  </si>
  <si>
    <t>Long-term commitment to AS - ATA readout</t>
  </si>
  <si>
    <t>Sarcomere</t>
  </si>
  <si>
    <t>Initiation of an in-house sarcomere program</t>
  </si>
  <si>
    <t>N. Sa's Group</t>
  </si>
  <si>
    <t>Scientist/SRA, Biology</t>
  </si>
  <si>
    <t>Cell Culture</t>
  </si>
  <si>
    <t>Now - Multiple cell culture needs im house (VICs, IPSC, HEK, HEP, etc)</t>
  </si>
  <si>
    <t>Bandwitdh for Biology team</t>
  </si>
  <si>
    <t>Maintenance / Support of cell cultrures</t>
  </si>
  <si>
    <t>105 in vivo</t>
  </si>
  <si>
    <t>Rafael Shimkunas</t>
  </si>
  <si>
    <t>Scientist, Pharmacology</t>
  </si>
  <si>
    <t>Telemetry Instrumentation / Myocyte Support</t>
  </si>
  <si>
    <t>Grace from BMS/Myokardia</t>
  </si>
  <si>
    <t>Scientist, Pharamcology</t>
  </si>
  <si>
    <t>Expansion of in vivo capabilities (support for ATA, DANI, and new programs)</t>
  </si>
  <si>
    <t>Advancement of NG ATA / Sarcomere program (structural biology needs)</t>
  </si>
  <si>
    <t>RA, in vitro</t>
  </si>
  <si>
    <t>TTN/MYH7 DCM datasets - LV vs. LA</t>
  </si>
  <si>
    <t>DANI mechanism + new program</t>
  </si>
  <si>
    <t>105 Comp. Biology</t>
  </si>
  <si>
    <t>Scientist, TM</t>
  </si>
  <si>
    <t>Genetics</t>
  </si>
  <si>
    <t>Need for Genetic Analyses</t>
  </si>
  <si>
    <t>Availability of Genetic data and datasets (TLA, DANI, ATA support</t>
  </si>
  <si>
    <t>106 New Targets</t>
  </si>
  <si>
    <t>additional SRA/CRO management and biology support</t>
  </si>
  <si>
    <t>M. Papadaki's</t>
  </si>
  <si>
    <t>2026 WFP</t>
  </si>
  <si>
    <t>EHT systems</t>
  </si>
  <si>
    <t>Expansion of mutant EHT program for DCM or new indications</t>
  </si>
  <si>
    <t>2027 WFP</t>
  </si>
  <si>
    <t>Senior/PI, Safety</t>
  </si>
  <si>
    <t>Expansion of in-house INDE or clinical programs</t>
  </si>
  <si>
    <t>RA, Pharmacology</t>
  </si>
  <si>
    <t>2028 WFP</t>
  </si>
  <si>
    <t>Next gen advancement</t>
  </si>
  <si>
    <t>2029 WFP</t>
  </si>
  <si>
    <t>Initiation of an second in-house sarcomere program</t>
  </si>
  <si>
    <t>RA/Study Support, in vivo</t>
  </si>
  <si>
    <t>2030 WFP</t>
  </si>
  <si>
    <t>vivarium - support</t>
  </si>
  <si>
    <t>Increased Usaged (in house programs + Translational support)</t>
  </si>
  <si>
    <t>AS advancemcent</t>
  </si>
  <si>
    <t>Scientist, TBD</t>
  </si>
  <si>
    <t>Bandwith Expansion</t>
  </si>
  <si>
    <t>Depending on bandwidth; not in org chart</t>
  </si>
  <si>
    <t>Scientist/RA, TBD</t>
  </si>
  <si>
    <t xml:space="preserve">Business critical </t>
  </si>
  <si>
    <t>Assist with clinical pharmacology studies; deisgn and implement FIH and PoM studies for new molecules</t>
  </si>
  <si>
    <t>Gate on new molecule from Research</t>
  </si>
  <si>
    <t>Scientific data management system specialist</t>
  </si>
  <si>
    <t>Build of computational biology function</t>
  </si>
  <si>
    <t>Sr. Director Regulatory Science Communication</t>
  </si>
  <si>
    <t>TLA NDA Lead Medical Writer and Clinical Efficacy</t>
  </si>
  <si>
    <t xml:space="preserve">TLA NDA Medical Writer Clinical Safety </t>
  </si>
  <si>
    <t>TLA NDA Medical Writer Clinical Pharmacology and Nonclinical support</t>
  </si>
  <si>
    <t>Director, Clinical Operations Program Lead, Early Dev</t>
  </si>
  <si>
    <t>Tradeoff confirmed with Jaclyn on 3/11/26</t>
  </si>
  <si>
    <t>Staff Scientist, Director Non-Clinical</t>
  </si>
  <si>
    <t>Push to 2027 confirmed with Carlos on 3/10/26</t>
  </si>
  <si>
    <t>Subtotal</t>
  </si>
  <si>
    <t>Duplicate Temp Job IDs</t>
  </si>
  <si>
    <t>Total</t>
  </si>
  <si>
    <t>5273 / 5029 / 5357 / 5358</t>
  </si>
  <si>
    <t>Q1</t>
  </si>
  <si>
    <t>Q2</t>
  </si>
  <si>
    <t>Q3</t>
  </si>
  <si>
    <t>Q4</t>
  </si>
  <si>
    <t>Employee Name</t>
  </si>
  <si>
    <t>Job title</t>
  </si>
  <si>
    <t>Start Date</t>
  </si>
  <si>
    <t>Start Date (Month)</t>
  </si>
  <si>
    <t>Start Date (Year)</t>
  </si>
  <si>
    <t>Jan</t>
  </si>
  <si>
    <t>Feb</t>
  </si>
  <si>
    <t>Mar</t>
  </si>
  <si>
    <t>Apr</t>
  </si>
  <si>
    <t>May</t>
  </si>
  <si>
    <t>Jun</t>
  </si>
  <si>
    <t>Jul</t>
  </si>
  <si>
    <t>Aug</t>
  </si>
  <si>
    <t>Sep</t>
  </si>
  <si>
    <t>Oct</t>
  </si>
  <si>
    <t>Nov</t>
  </si>
  <si>
    <t>Dec</t>
  </si>
  <si>
    <t>105 Research and Translational Science</t>
  </si>
  <si>
    <t>08. VP</t>
  </si>
  <si>
    <t>03. Sr. Manager / Sr. Scientist</t>
  </si>
  <si>
    <t>02. Manager / Scientist</t>
  </si>
  <si>
    <t>04. AD / Staff Scientist</t>
  </si>
  <si>
    <t>Jani Saksi</t>
  </si>
  <si>
    <t>Saffie Mohran</t>
  </si>
  <si>
    <t>Hector Manuel Rodriguez</t>
  </si>
  <si>
    <t>Christine Rivera</t>
  </si>
  <si>
    <t>CW: Hannah Kleppe</t>
  </si>
  <si>
    <t>01. IC / Coordinator</t>
  </si>
  <si>
    <t>SRA, Biology</t>
  </si>
  <si>
    <t>Scientist, TM (Computational Biologist) - Omics (transcriptomics)</t>
  </si>
  <si>
    <t>Daniel Edelberg</t>
  </si>
  <si>
    <t>05. Director</t>
  </si>
  <si>
    <t>Daniel Paul Geddes Gross</t>
  </si>
  <si>
    <t>Srija Ramisetty</t>
  </si>
  <si>
    <t>115 In Vivo Research</t>
  </si>
  <si>
    <t>Enkhjin Bat-Erdene</t>
  </si>
  <si>
    <t>10. C-Suite</t>
  </si>
  <si>
    <t>Chief Medical Officer</t>
  </si>
  <si>
    <t>Jen Yu</t>
  </si>
  <si>
    <t>Executive Assistant</t>
  </si>
  <si>
    <t>SVP, Clinical Development</t>
  </si>
  <si>
    <t>VP, Head of Early Clinical</t>
  </si>
  <si>
    <t>AD / Director, Biomarkers</t>
  </si>
  <si>
    <t>06. Sr. Director</t>
  </si>
  <si>
    <t>Senior Director, Development Operations</t>
  </si>
  <si>
    <t>Director, Clinical Operations Excellence</t>
  </si>
  <si>
    <t>Director, Clinical Ops Program Lead, TLA</t>
  </si>
  <si>
    <t>Tiffany Shu</t>
  </si>
  <si>
    <t>Rachel Day</t>
  </si>
  <si>
    <t>Anyi Ihiasota</t>
  </si>
  <si>
    <t xml:space="preserve">Director, Dev Business Operations </t>
  </si>
  <si>
    <t>Vicky Ho</t>
  </si>
  <si>
    <t>SVP, Development Operations</t>
  </si>
  <si>
    <t>Clinical Ops Program Lead ATA</t>
  </si>
  <si>
    <t>Clinical Trial Lead (dani)</t>
  </si>
  <si>
    <t>Clinical Ops Program Lead Dani</t>
  </si>
  <si>
    <t>Head of TMF Operations (ClinOps Systems)</t>
  </si>
  <si>
    <t>07. Exec. Director</t>
  </si>
  <si>
    <t>Executive Medical Director (Clinical Research Ataciguat)</t>
  </si>
  <si>
    <t>Executive Director, Clinical Research, Dani / DCM</t>
  </si>
  <si>
    <t>Sr. Medical Director (Clinical Lead TLA)</t>
  </si>
  <si>
    <t>BACKFILL: Ajay Ahuja</t>
  </si>
  <si>
    <t>Vice President, Development Launch Leader (TLA)</t>
  </si>
  <si>
    <t>Senior Director of Clinical Development</t>
  </si>
  <si>
    <t>Vice President, Development Launch Leader</t>
  </si>
  <si>
    <t>Director, Statistical Programming</t>
  </si>
  <si>
    <t>Peiwen Wu</t>
  </si>
  <si>
    <t>Director, Biostatistician ATA</t>
  </si>
  <si>
    <t>Gene Chen</t>
  </si>
  <si>
    <t>Sr Manager, Data Science</t>
  </si>
  <si>
    <t xml:space="preserve">Director, Biostatistician Dani </t>
  </si>
  <si>
    <t>Sri Byrapuneni</t>
  </si>
  <si>
    <t>Associate Director, Statistical Programming ATA</t>
  </si>
  <si>
    <t>George Wu</t>
  </si>
  <si>
    <t>Senior Manager, Statistical Programming TLA</t>
  </si>
  <si>
    <t>BACKFILL: Abbas</t>
  </si>
  <si>
    <t>Director, Biostatistician, TLA</t>
  </si>
  <si>
    <t>Associate Director, Biostatistician Dani</t>
  </si>
  <si>
    <t>Head of Data Analytics</t>
  </si>
  <si>
    <t>6000 (5357 Previously)</t>
  </si>
  <si>
    <t>6001 (5358 Previously)</t>
  </si>
  <si>
    <t>Senior Director, Clinical Data Management</t>
  </si>
  <si>
    <t>David Lim</t>
  </si>
  <si>
    <t>Associate Director, Clinical Data Management ATA</t>
  </si>
  <si>
    <t>Associate Director, Clinical Data Management Dani</t>
  </si>
  <si>
    <t>Frances Seput Dingle</t>
  </si>
  <si>
    <t>Associate Director, Clinical Data Management TLA</t>
  </si>
  <si>
    <t>Head PV</t>
  </si>
  <si>
    <t>Senior Director, Pharmacovigilance Functional Excellence and Inspection Readiness</t>
  </si>
  <si>
    <t>Director, Pharmacovigilance Standards &amp; Process Compliance</t>
  </si>
  <si>
    <t>Director, PV Scientist</t>
  </si>
  <si>
    <t>Head of Regulatory</t>
  </si>
  <si>
    <t>Li Zhou</t>
  </si>
  <si>
    <t>Director, Regulatory Strategy</t>
  </si>
  <si>
    <t>Sarika Savant</t>
  </si>
  <si>
    <t>CW: Kevin Miller conversion</t>
  </si>
  <si>
    <t>Sr. Dir. Reg CMC (Dani)</t>
  </si>
  <si>
    <t>Associate Director, Regulatory Strategy (TLA/ATA)</t>
  </si>
  <si>
    <t>Sr. Director, Ad Promo (X-portfolio)</t>
  </si>
  <si>
    <t>Vice President, Portfolio &amp; Project Management</t>
  </si>
  <si>
    <t>Dani Gilbert</t>
  </si>
  <si>
    <t>Director, Global Program Manager, TLA</t>
  </si>
  <si>
    <t>Lee Anna Ghosh</t>
  </si>
  <si>
    <t>Global Program Manager, ATA</t>
  </si>
  <si>
    <t>Chris Willits</t>
  </si>
  <si>
    <t>Research Program Manager</t>
  </si>
  <si>
    <t>Kate Costello</t>
  </si>
  <si>
    <t>Global Program Manager, Dani</t>
  </si>
  <si>
    <t>Akhil Agrawal</t>
  </si>
  <si>
    <t>Sr. Director, Global Program Manager, TLA</t>
  </si>
  <si>
    <t>ED/VP of Program Management (Lead GPMS)</t>
  </si>
  <si>
    <t>Portfolio Analyst</t>
  </si>
  <si>
    <t>Head of  CMC Quality</t>
  </si>
  <si>
    <t>Head of Clinical Quality Assurance (EC)</t>
  </si>
  <si>
    <t>Head of GxP Quality Systems</t>
  </si>
  <si>
    <t>Head of QA/QC Operations</t>
  </si>
  <si>
    <t>Shaun Gordon</t>
  </si>
  <si>
    <t>ATA/KAR 141 Clinical Quality Lead</t>
  </si>
  <si>
    <t>Document and Knowledge Mgmt</t>
  </si>
  <si>
    <t>Polly Mak Kwan</t>
  </si>
  <si>
    <t>Product Quality Lead TLA</t>
  </si>
  <si>
    <t>Ming Lei</t>
  </si>
  <si>
    <t>Product Quality Lead ATA</t>
  </si>
  <si>
    <t>Head of GxP Compliance</t>
  </si>
  <si>
    <t>Christophe Renou-Adamore</t>
  </si>
  <si>
    <t>DANI Clinical Quality Lead</t>
  </si>
  <si>
    <t>GxP Training</t>
  </si>
  <si>
    <t>CW: Sabrina Santiago</t>
  </si>
  <si>
    <t>GxP Compliance Operations</t>
  </si>
  <si>
    <t>11/3: Convert in 2027</t>
  </si>
  <si>
    <t>11/3: Convert in 2027; CW: Lori Richter (CW with us Q3-Q4)</t>
  </si>
  <si>
    <t>Jennifer Banh</t>
  </si>
  <si>
    <t>Head of DP Development</t>
  </si>
  <si>
    <t>Esteban Bornancini</t>
  </si>
  <si>
    <t>Sr Director, Analytical Development</t>
  </si>
  <si>
    <t>CMC Strategy and Chief of Staff</t>
  </si>
  <si>
    <t>Head of External Manufacturing and Supply Chain</t>
  </si>
  <si>
    <t>Head of Analytical Development</t>
  </si>
  <si>
    <t>Gang Yang</t>
  </si>
  <si>
    <t>Sr Director, DP Development</t>
  </si>
  <si>
    <t>Sr Director, Demand Planning</t>
  </si>
  <si>
    <t>Deepak Mundhra</t>
  </si>
  <si>
    <t>Sr Dir (ATA) - DP</t>
  </si>
  <si>
    <t>Norris Ng</t>
  </si>
  <si>
    <t>Qin Xiang</t>
  </si>
  <si>
    <t>Abe Nagi</t>
  </si>
  <si>
    <t>Backfill: Vijaya Bhasker Gondi</t>
  </si>
  <si>
    <t>Wendy Borsari</t>
  </si>
  <si>
    <t>Patient Advocacy</t>
  </si>
  <si>
    <t>Ruchir Shah</t>
  </si>
  <si>
    <t>Sr. Director, Scientific Communications</t>
  </si>
  <si>
    <t>Kristin Williamson</t>
  </si>
  <si>
    <t>Medical Disease Area Lead, Dani</t>
  </si>
  <si>
    <t>Kelly Lynn Kleeman</t>
  </si>
  <si>
    <t>Medical Disease Area Lead, ATA</t>
  </si>
  <si>
    <t>BACKFILL: Avery Ince TID: 1060</t>
  </si>
  <si>
    <t>Medical Disease Area Lead, TLA</t>
  </si>
  <si>
    <r>
      <t xml:space="preserve">Director, Medical Science Liaision </t>
    </r>
    <r>
      <rPr>
        <b/>
        <i/>
        <u/>
        <sz val="10"/>
        <rFont val="Arial"/>
        <family val="2"/>
      </rPr>
      <t>(6-8 total)</t>
    </r>
  </si>
  <si>
    <t>09. SVP</t>
  </si>
  <si>
    <r>
      <t xml:space="preserve">Medical Director, ATA </t>
    </r>
    <r>
      <rPr>
        <b/>
        <i/>
        <u/>
        <sz val="10"/>
        <rFont val="Arial"/>
        <family val="2"/>
      </rPr>
      <t>x 2</t>
    </r>
  </si>
  <si>
    <r>
      <t xml:space="preserve">Medical Director, Dani </t>
    </r>
    <r>
      <rPr>
        <b/>
        <i/>
        <u/>
        <sz val="10"/>
        <rFont val="Arial"/>
        <family val="2"/>
      </rPr>
      <t>x 2</t>
    </r>
  </si>
  <si>
    <r>
      <t xml:space="preserve">Medical Director, TLA </t>
    </r>
    <r>
      <rPr>
        <b/>
        <i/>
        <u/>
        <sz val="10"/>
        <rFont val="Arial"/>
        <family val="2"/>
      </rPr>
      <t>x 2</t>
    </r>
  </si>
  <si>
    <t>Geoff McKinley</t>
  </si>
  <si>
    <t>VP Product Strategy Head</t>
  </si>
  <si>
    <t>Sarah Rose</t>
  </si>
  <si>
    <t>Product Strategy Head (TLA), Lead (Dani)</t>
  </si>
  <si>
    <t>Sr. Dir. Marketing</t>
  </si>
  <si>
    <t>Sr. Dir Digital Mktg (ALL FRANCHISES)</t>
  </si>
  <si>
    <t>Grace Xiao</t>
  </si>
  <si>
    <t>Sr. Director, Insights and Analytics</t>
  </si>
  <si>
    <t>Adrian Garcia</t>
  </si>
  <si>
    <t>Sr. Manager, Insights and Analytics</t>
  </si>
  <si>
    <t>Sr Manager, Market Research</t>
  </si>
  <si>
    <t>Staci Veremis</t>
  </si>
  <si>
    <t>Chief Strategy Officer</t>
  </si>
  <si>
    <t>Placeholder</t>
  </si>
  <si>
    <t>Buffer Role</t>
  </si>
  <si>
    <t>910 People &amp; Culture</t>
  </si>
  <si>
    <t>Manager, People &amp; Culture Operations</t>
  </si>
  <si>
    <t>Terry O'Donnell</t>
  </si>
  <si>
    <t>Derrick Liang</t>
  </si>
  <si>
    <t>Sr P&amp;C Ops Analyst</t>
  </si>
  <si>
    <t>Angelina Dwyer</t>
  </si>
  <si>
    <t>Sr Mgr P&amp;C Business Partner</t>
  </si>
  <si>
    <t>Steven Cha</t>
  </si>
  <si>
    <t>Kristin Fanning</t>
  </si>
  <si>
    <t>Yen Lin</t>
  </si>
  <si>
    <t>Head of Total Rewards &amp; Analytics</t>
  </si>
  <si>
    <t>Backfill: Alison Nowlan</t>
  </si>
  <si>
    <t>Executive Director, People &amp; Culture</t>
  </si>
  <si>
    <t>Candidate: Jonathan Becker</t>
  </si>
  <si>
    <t>Head of OD/Learning</t>
  </si>
  <si>
    <t>VP, Finance (Head of Fiinance and Accounting)</t>
  </si>
  <si>
    <t>Sr. Director, Accounting</t>
  </si>
  <si>
    <t>Maria Luz David</t>
  </si>
  <si>
    <t>Sr. Procurement Manager</t>
  </si>
  <si>
    <t>Martha Alshaweesh</t>
  </si>
  <si>
    <t>Leonard Ruditski</t>
  </si>
  <si>
    <t>Sr. Manager, Accounting &amp; Payroll</t>
  </si>
  <si>
    <t>Angelo Pollari</t>
  </si>
  <si>
    <t>AP Manager</t>
  </si>
  <si>
    <t>Monika Kocinska</t>
  </si>
  <si>
    <t>Niru Pandurangi</t>
  </si>
  <si>
    <t>Shared respoonsibility between Brianne, Emily and Matt</t>
  </si>
  <si>
    <t>Karl Palmares</t>
  </si>
  <si>
    <t>Director, FP&amp;A (support Tech Ops)</t>
  </si>
  <si>
    <t>Kyle Fetchko</t>
  </si>
  <si>
    <t>Director, FP&amp;A (support Clin Ops)</t>
  </si>
  <si>
    <t>Erin Torrissi</t>
  </si>
  <si>
    <t>Michele Canzi</t>
  </si>
  <si>
    <t>Divisional Controller / Head of Finance</t>
  </si>
  <si>
    <t>VP Corporate Law</t>
  </si>
  <si>
    <t>Kathy Fernandez</t>
  </si>
  <si>
    <t>Sr. Manager of Legal, Contracts and Administration</t>
  </si>
  <si>
    <t>Vice President, IP Counsel</t>
  </si>
  <si>
    <t>Miruna Predescu</t>
  </si>
  <si>
    <t>Craig Elkins</t>
  </si>
  <si>
    <t>VP Corporate Law (Prolaio)</t>
  </si>
  <si>
    <t>Sr Director, IP Counsel</t>
  </si>
  <si>
    <t>Director, Healthcare and Privacy Law</t>
  </si>
  <si>
    <t>Contract Manager / IP Paralegal</t>
  </si>
  <si>
    <t>Sr. Director Contracts</t>
  </si>
  <si>
    <t>Matt Terwelp</t>
  </si>
  <si>
    <t>Senior Director, Corporate Strategy and Business Development</t>
  </si>
  <si>
    <t>Michael Bachner</t>
  </si>
  <si>
    <t>Executive Director, External Communications</t>
  </si>
  <si>
    <t>CW: Meredith Kiernan (Convert to FTE Q1 26)</t>
  </si>
  <si>
    <t>Senior Director, Internal Communication</t>
  </si>
  <si>
    <t>Ferdie Evangelista</t>
  </si>
  <si>
    <t>Lab Operations manager</t>
  </si>
  <si>
    <t>Mike Sothern</t>
  </si>
  <si>
    <t>Sr. Manager, Facilities</t>
  </si>
  <si>
    <t>Eric Yeager</t>
  </si>
  <si>
    <t>Brian Roudabush</t>
  </si>
  <si>
    <t>Garret Brown</t>
  </si>
  <si>
    <t>Sr. Manager, G&amp;A IT Business Analyst</t>
  </si>
  <si>
    <t>Jeffrey Wiernik</t>
  </si>
  <si>
    <t>Backfill: Jason Tepelmann</t>
  </si>
  <si>
    <t>Head of  IT</t>
  </si>
  <si>
    <t>Sr. Manager, IT Support (Prolaio)</t>
  </si>
  <si>
    <t>Dif</t>
  </si>
  <si>
    <t>Trade-off Status</t>
  </si>
  <si>
    <t>Confirmed push to 2027</t>
  </si>
  <si>
    <t>Count of Temp Job ID</t>
  </si>
  <si>
    <t>Column Labels</t>
  </si>
  <si>
    <t>Function / Dept</t>
  </si>
  <si>
    <t>Grand Total</t>
  </si>
  <si>
    <t>(All)</t>
  </si>
  <si>
    <t>2026 Q1 Total</t>
  </si>
  <si>
    <t>(blank)</t>
  </si>
  <si>
    <t>To be opened</t>
  </si>
  <si>
    <t>Active Q1 Roles</t>
  </si>
  <si>
    <t>Not Yet Started</t>
  </si>
  <si>
    <t>Remaining Q1 Unfilled</t>
  </si>
  <si>
    <t>Total Q1 Target</t>
  </si>
  <si>
    <t>Hired % of Target</t>
  </si>
  <si>
    <t>(Multiple Items)</t>
  </si>
  <si>
    <t>2026 Starts</t>
  </si>
  <si>
    <t>Remaining 2026 Unfilled</t>
  </si>
  <si>
    <t>Total 2026 Target</t>
  </si>
  <si>
    <t>Research</t>
  </si>
  <si>
    <t>% of HC Target</t>
  </si>
  <si>
    <t>Projected Year-end by Grade and Function</t>
  </si>
  <si>
    <t>CFO</t>
  </si>
  <si>
    <t>Comms</t>
  </si>
  <si>
    <t>CSO</t>
  </si>
  <si>
    <t>Dev</t>
  </si>
  <si>
    <t>Exec</t>
  </si>
  <si>
    <t>Res</t>
  </si>
  <si>
    <t>%</t>
  </si>
  <si>
    <t>New Requests for 2026 WFP</t>
  </si>
  <si>
    <t>Hiring by Quarter</t>
  </si>
  <si>
    <t>Q1 Breakdown</t>
  </si>
  <si>
    <t>Remaining Unfilled</t>
  </si>
  <si>
    <t>Unfilled</t>
  </si>
  <si>
    <t>Hiring by Recruiting Status</t>
  </si>
  <si>
    <t>2026 Q1 Hired</t>
  </si>
  <si>
    <t>Hiring by Location and Grade - Current</t>
  </si>
  <si>
    <t>Hiring by Location and Grade - Future</t>
  </si>
  <si>
    <t>Change Management</t>
  </si>
  <si>
    <t>Impact to Level</t>
  </si>
  <si>
    <t>Impact to Timing</t>
  </si>
  <si>
    <t>Incremental Requests</t>
  </si>
  <si>
    <t>Downgrade</t>
  </si>
  <si>
    <t>Upgrade</t>
  </si>
  <si>
    <t>Delayed</t>
  </si>
  <si>
    <t>Accelerated</t>
  </si>
  <si>
    <t>Hiring by Grade</t>
  </si>
  <si>
    <t>2025 #</t>
  </si>
  <si>
    <t>2026 #</t>
  </si>
  <si>
    <t>% Y-over-Y Growth</t>
  </si>
  <si>
    <t>C-Suite</t>
  </si>
  <si>
    <t>SVP / VP</t>
  </si>
  <si>
    <t>ED-AD</t>
  </si>
  <si>
    <t>Sr. Mgr / Mgr / IC</t>
  </si>
  <si>
    <t>TA Support</t>
  </si>
  <si>
    <t>Function / Mgr</t>
  </si>
  <si>
    <t>CW / PD</t>
  </si>
  <si>
    <t>CW Part time</t>
  </si>
  <si>
    <t>2026 Guidance</t>
  </si>
  <si>
    <t>Total FTE + CW</t>
  </si>
  <si>
    <t>Current FTE</t>
  </si>
  <si>
    <t>Potential Hires</t>
  </si>
  <si>
    <t>Starts in 2025</t>
  </si>
  <si>
    <t>% FTE 2026</t>
  </si>
  <si>
    <t>% Total WF</t>
  </si>
  <si>
    <t>% FTE 2025</t>
  </si>
  <si>
    <t>Commercial</t>
  </si>
  <si>
    <t>205 Development Management</t>
  </si>
  <si>
    <t>225 Early Development</t>
  </si>
  <si>
    <t>901 Executive</t>
  </si>
  <si>
    <t>Current</t>
  </si>
  <si>
    <t>Growth</t>
  </si>
  <si>
    <t>Current Breakout</t>
  </si>
  <si>
    <t>WFP Total</t>
  </si>
  <si>
    <t>ATA 100%</t>
  </si>
  <si>
    <t>ATA 50%</t>
  </si>
  <si>
    <t>ATA 33%</t>
  </si>
  <si>
    <t>ATA HC Equiv.</t>
  </si>
  <si>
    <t>ATA Total HC</t>
  </si>
  <si>
    <t>TLA 100%</t>
  </si>
  <si>
    <t>TLA 50%</t>
  </si>
  <si>
    <t>TLA 33%</t>
  </si>
  <si>
    <t>TLA HC Equiv.</t>
  </si>
  <si>
    <t>TLA Total HC</t>
  </si>
  <si>
    <t>Dani 100%</t>
  </si>
  <si>
    <t>Dani 50%</t>
  </si>
  <si>
    <t>Dani 33%</t>
  </si>
  <si>
    <t>Dani  HC Equiv.</t>
  </si>
  <si>
    <t>Dani Total</t>
  </si>
  <si>
    <t>Unassigned</t>
  </si>
  <si>
    <t>UA Total</t>
  </si>
  <si>
    <t>Total EE</t>
  </si>
  <si>
    <t>Other G&amp;A</t>
  </si>
  <si>
    <t>Avg. equiv</t>
  </si>
  <si>
    <t>Avg. total HC</t>
  </si>
  <si>
    <t>Assigned to UA</t>
  </si>
  <si>
    <t>Current OB</t>
  </si>
  <si>
    <t>2026 Adds</t>
  </si>
  <si>
    <t>Year</t>
  </si>
  <si>
    <t>2025*</t>
  </si>
  <si>
    <t>2026 Hiring Plan</t>
  </si>
  <si>
    <t>Executive Director, Corporate Strategy</t>
  </si>
  <si>
    <t>Functional Priority</t>
  </si>
  <si>
    <t>Manager, Corporate Strategy</t>
  </si>
  <si>
    <t>Corp. Priority</t>
  </si>
  <si>
    <t>Assoc Director, DS Development</t>
  </si>
  <si>
    <t>Sr. Director, DS Development</t>
  </si>
  <si>
    <t>Sr Director, API / Drug Substance Development</t>
  </si>
  <si>
    <t>Clinical Trial Liaison (CTL)</t>
  </si>
  <si>
    <t>Program</t>
  </si>
  <si>
    <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</si>
</sst>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_);\(0\)"/>
  </numFmts>
  <fonts count="39" x14ac:knownFonts="1">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1"/>
      <name val="Aptos Narrow"/>
      <family val="2"/>
      <scheme val="minor"/>
    </font>
    <font>
      <sz val="11"/>
      <color rgb="FF000000"/>
      <name val="Aptos Narrow"/>
      <family val="2"/>
      <scheme val="minor"/>
    </font>
    <font>
      <sz val="11"/>
      <color rgb="FF000000"/>
      <name val="Aptos"/>
      <family val="2"/>
    </font>
    <font>
      <sz val="11"/>
      <name val="Aptos Narrow"/>
      <family val="2"/>
    </font>
    <font>
      <sz val="11"/>
      <color theme="4"/>
      <name val="Aptos Narrow"/>
      <family val="2"/>
      <scheme val="minor"/>
    </font>
    <font>
      <sz val="12"/>
      <color rgb="FFFF0000"/>
      <name val="Aptos Narrow"/>
      <family val="2"/>
    </font>
    <font>
      <sz val="12"/>
      <color rgb="FF000000"/>
      <name val="Aptos Narrow"/>
      <family val="2"/>
      <scheme val="minor"/>
    </font>
    <font>
      <strike/>
      <sz val="11"/>
      <color theme="1"/>
      <name val="Aptos Narrow"/>
      <family val="2"/>
      <scheme val="minor"/>
    </font>
    <font>
      <b/>
      <sz val="11"/>
      <name val="Aptos Narrow"/>
      <family val="2"/>
      <scheme val="minor"/>
    </font>
    <font>
      <sz val="11"/>
      <color rgb="FF000000"/>
      <name val="Aptos Narrow"/>
      <family val="2"/>
    </font>
    <font>
      <strike/>
      <sz val="11"/>
      <name val="Aptos Narrow"/>
      <family val="2"/>
      <scheme val="minor"/>
    </font>
    <font>
      <i/>
      <sz val="11"/>
      <color theme="1"/>
      <name val="Aptos Narrow"/>
      <family val="2"/>
      <scheme val="minor"/>
    </font>
    <font>
      <sz val="12"/>
      <name val="Aptos Narrow"/>
      <family val="2"/>
      <scheme val="minor"/>
    </font>
    <font>
      <strike/>
      <sz val="12"/>
      <color theme="1"/>
      <name val="Aptos Narrow"/>
      <family val="2"/>
      <scheme val="minor"/>
    </font>
    <font>
      <b/>
      <sz val="9"/>
      <color rgb="FF000000"/>
      <name val="Tahoma"/>
      <family val="2"/>
    </font>
    <font>
      <sz val="9"/>
      <color rgb="FF000000"/>
      <name val="Tahoma"/>
      <family val="2"/>
    </font>
    <font>
      <sz val="11"/>
      <color rgb="FFFF0000"/>
      <name val="Aptos Narrow"/>
      <family val="2"/>
      <scheme val="minor"/>
    </font>
    <font>
      <b/>
      <sz val="12"/>
      <color theme="1"/>
      <name val="Aptos Narrow"/>
      <family val="2"/>
      <scheme val="minor"/>
    </font>
    <font>
      <b/>
      <sz val="11"/>
      <color theme="1"/>
      <name val="Aptos Narrow"/>
      <scheme val="minor"/>
    </font>
    <font>
      <sz val="11"/>
      <color theme="1"/>
      <name val="Aptos Narrow"/>
      <scheme val="minor"/>
    </font>
    <font>
      <sz val="11"/>
      <name val="Aptos Narrow"/>
      <scheme val="minor"/>
    </font>
    <font>
      <strike/>
      <sz val="11"/>
      <name val="Aptos Narrow"/>
      <scheme val="minor"/>
    </font>
    <font>
      <i/>
      <sz val="11"/>
      <name val="Aptos Narrow"/>
      <scheme val="minor"/>
    </font>
    <font>
      <b/>
      <sz val="11"/>
      <name val="Aptos Narrow"/>
      <scheme val="minor"/>
    </font>
    <font>
      <b/>
      <sz val="18"/>
      <color theme="1"/>
      <name val="Aptos Narrow"/>
      <scheme val="minor"/>
    </font>
    <font>
      <sz val="11"/>
      <color rgb="FF000000"/>
      <name val="Aptos Narrow"/>
      <scheme val="minor"/>
    </font>
    <font>
      <b/>
      <sz val="12"/>
      <color theme="1"/>
      <name val="Aptos Narrow"/>
      <scheme val="minor"/>
    </font>
    <font>
      <sz val="10"/>
      <name val="Arial"/>
      <family val="2"/>
    </font>
    <font>
      <b/>
      <sz val="10"/>
      <name val="Arial"/>
      <family val="2"/>
    </font>
    <font>
      <sz val="11"/>
      <color indexed="8"/>
      <name val="Aptos Narrow"/>
      <family val="2"/>
      <scheme val="minor"/>
    </font>
    <font>
      <b/>
      <i/>
      <u/>
      <sz val="10"/>
      <name val="Arial"/>
      <family val="2"/>
    </font>
    <font>
      <sz val="10"/>
      <color rgb="FFFF0000"/>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rgb="FFFFF2CC"/>
        <bgColor indexed="64"/>
      </patternFill>
    </fill>
    <fill>
      <patternFill patternType="solid">
        <fgColor theme="3" tint="0.89999084444715716"/>
        <bgColor indexed="64"/>
      </patternFill>
    </fill>
    <fill>
      <patternFill patternType="solid">
        <fgColor rgb="FFFFFF00"/>
        <bgColor indexed="64"/>
      </patternFill>
    </fill>
    <fill>
      <patternFill patternType="solid">
        <fgColor theme="3" tint="0.89999084444715716"/>
        <bgColor rgb="FF000000"/>
      </patternFill>
    </fill>
    <fill>
      <patternFill patternType="solid">
        <fgColor rgb="FFFFFFFF"/>
        <bgColor rgb="FF000000"/>
      </patternFill>
    </fill>
    <fill>
      <patternFill patternType="solid">
        <fgColor theme="0"/>
        <bgColor indexed="64"/>
      </patternFill>
    </fill>
    <fill>
      <patternFill patternType="solid">
        <fgColor rgb="FFFFC000"/>
        <bgColor rgb="FF000000"/>
      </patternFill>
    </fill>
    <fill>
      <patternFill patternType="solid">
        <fgColor theme="8"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79998168889431442"/>
        <bgColor theme="4" tint="0.79998168889431442"/>
      </patternFill>
    </fill>
    <fill>
      <patternFill patternType="solid">
        <fgColor theme="0" tint="-0.14999847407452621"/>
        <bgColor theme="0" tint="-0.14999847407452621"/>
      </patternFill>
    </fill>
    <fill>
      <patternFill patternType="solid">
        <fgColor rgb="FFFFC000"/>
        <bgColor indexed="64"/>
      </patternFill>
    </fill>
    <fill>
      <patternFill patternType="solid">
        <fgColor theme="0" tint="-0.14999847407452621"/>
        <bgColor theme="4" tint="0.79998168889431442"/>
      </patternFill>
    </fill>
    <fill>
      <patternFill patternType="solid">
        <fgColor theme="9" tint="0.59999389629810485"/>
        <bgColor indexed="64"/>
      </patternFill>
    </fill>
    <fill>
      <patternFill patternType="solid">
        <fgColor theme="5" tint="0.79998168889431442"/>
        <bgColor theme="4" tint="0.79998168889431442"/>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diagonal/>
    </border>
    <border>
      <left/>
      <right/>
      <top style="thin">
        <color indexed="64"/>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indexed="64"/>
      </left>
      <right/>
      <top style="thin">
        <color indexed="64"/>
      </top>
      <bottom/>
      <diagonal/>
    </border>
    <border>
      <left/>
      <right/>
      <top/>
      <bottom style="thin">
        <color theme="4" tint="0.39997558519241921"/>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theme="4" tint="0.39997558519241921"/>
      </top>
      <bottom/>
      <diagonal/>
    </border>
  </borders>
  <cellStyleXfs count="17">
    <xf numFmtId="0" fontId="0"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9" fontId="3" fillId="0" borderId="0" applyFont="0" applyFill="0" applyBorder="0" applyAlignment="0" applyProtection="0"/>
    <xf numFmtId="0" fontId="2" fillId="0" borderId="0"/>
    <xf numFmtId="0" fontId="2" fillId="0" borderId="0"/>
    <xf numFmtId="0" fontId="2" fillId="0" borderId="0"/>
    <xf numFmtId="0" fontId="1" fillId="0" borderId="0"/>
    <xf numFmtId="0" fontId="36" fillId="0" borderId="0"/>
    <xf numFmtId="43" fontId="1" fillId="0" borderId="0" applyFont="0" applyFill="0" applyBorder="0" applyAlignment="0" applyProtection="0"/>
    <xf numFmtId="0" fontId="1" fillId="0" borderId="0"/>
    <xf numFmtId="0" fontId="1" fillId="0" borderId="0"/>
  </cellStyleXfs>
  <cellXfs count="414">
    <xf numFmtId="0" fontId="0" fillId="0" borderId="0" xfId="0"/>
    <xf numFmtId="0" fontId="5" fillId="2" borderId="1" xfId="1" applyFont="1" applyFill="1" applyBorder="1" applyAlignment="1">
      <alignment horizontal="center" vertical="center" wrapText="1" readingOrder="1"/>
    </xf>
    <xf numFmtId="0" fontId="5" fillId="3" borderId="1" xfId="1" applyFont="1" applyFill="1" applyBorder="1" applyAlignment="1">
      <alignment horizontal="center" vertical="center" wrapText="1" readingOrder="1"/>
    </xf>
    <xf numFmtId="0" fontId="4" fillId="0" borderId="0" xfId="1" applyAlignment="1">
      <alignment wrapText="1"/>
    </xf>
    <xf numFmtId="0" fontId="4" fillId="0" borderId="0" xfId="1" applyAlignment="1">
      <alignment horizontal="center" vertical="top" wrapText="1"/>
    </xf>
    <xf numFmtId="0" fontId="4" fillId="0" borderId="0" xfId="1" applyAlignment="1">
      <alignment horizontal="left" vertical="top" wrapText="1"/>
    </xf>
    <xf numFmtId="0" fontId="0" fillId="0" borderId="0" xfId="0" pivotButton="1"/>
    <xf numFmtId="0" fontId="0" fillId="0" borderId="0" xfId="0" applyAlignment="1">
      <alignment horizontal="left"/>
    </xf>
    <xf numFmtId="0" fontId="6" fillId="0" borderId="1" xfId="2" applyFont="1" applyBorder="1" applyAlignment="1">
      <alignment horizontal="center" vertical="top" wrapText="1"/>
    </xf>
    <xf numFmtId="0" fontId="6" fillId="0" borderId="1" xfId="4" applyFont="1" applyBorder="1" applyAlignment="1">
      <alignment horizontal="left" vertical="top" wrapText="1"/>
    </xf>
    <xf numFmtId="0" fontId="6" fillId="0" borderId="1" xfId="4" applyFont="1" applyBorder="1" applyAlignment="1">
      <alignment horizontal="center" vertical="top" wrapText="1"/>
    </xf>
    <xf numFmtId="0" fontId="6" fillId="0" borderId="1" xfId="1" applyFont="1" applyBorder="1" applyAlignment="1">
      <alignment horizontal="center" vertical="top" wrapText="1"/>
    </xf>
    <xf numFmtId="0" fontId="6" fillId="0" borderId="1" xfId="4" applyFont="1" applyBorder="1" applyAlignment="1">
      <alignment vertical="top" wrapText="1"/>
    </xf>
    <xf numFmtId="14" fontId="6" fillId="0" borderId="1" xfId="4" applyNumberFormat="1" applyFont="1" applyBorder="1" applyAlignment="1">
      <alignment horizontal="center" vertical="top" wrapText="1"/>
    </xf>
    <xf numFmtId="0" fontId="6" fillId="0" borderId="5" xfId="4" applyFont="1" applyBorder="1" applyAlignment="1">
      <alignment horizontal="left" vertical="top" wrapText="1"/>
    </xf>
    <xf numFmtId="0" fontId="6" fillId="0" borderId="3" xfId="4" applyFont="1" applyBorder="1" applyAlignment="1">
      <alignment horizontal="left" vertical="top" wrapText="1"/>
    </xf>
    <xf numFmtId="0" fontId="6" fillId="0" borderId="2" xfId="4" applyFont="1" applyBorder="1" applyAlignment="1">
      <alignment horizontal="left" vertical="top" wrapText="1"/>
    </xf>
    <xf numFmtId="0" fontId="6" fillId="0" borderId="6" xfId="4" applyFont="1" applyBorder="1" applyAlignment="1">
      <alignment horizontal="left" vertical="top" wrapText="1"/>
    </xf>
    <xf numFmtId="0" fontId="6" fillId="0" borderId="5" xfId="4" applyFont="1" applyBorder="1" applyAlignment="1">
      <alignment horizontal="center" vertical="top" wrapText="1"/>
    </xf>
    <xf numFmtId="0" fontId="4" fillId="0" borderId="10" xfId="1" applyBorder="1" applyAlignment="1">
      <alignment horizontal="center" vertical="top" wrapText="1"/>
    </xf>
    <xf numFmtId="0" fontId="6" fillId="0" borderId="2" xfId="1" applyFont="1" applyBorder="1" applyAlignment="1">
      <alignment horizontal="center" vertical="top" wrapText="1"/>
    </xf>
    <xf numFmtId="0" fontId="6" fillId="0" borderId="2" xfId="4" applyFont="1" applyBorder="1" applyAlignment="1">
      <alignment vertical="top" wrapText="1"/>
    </xf>
    <xf numFmtId="0" fontId="6" fillId="0" borderId="2" xfId="4" applyFont="1" applyBorder="1" applyAlignment="1">
      <alignment horizontal="center" vertical="top" wrapText="1"/>
    </xf>
    <xf numFmtId="0" fontId="4" fillId="0" borderId="2" xfId="1" applyBorder="1" applyAlignment="1">
      <alignment horizontal="center" vertical="top" wrapText="1"/>
    </xf>
    <xf numFmtId="0" fontId="4" fillId="0" borderId="2" xfId="1" applyBorder="1" applyAlignment="1">
      <alignment horizontal="left" vertical="top" wrapText="1"/>
    </xf>
    <xf numFmtId="0" fontId="4" fillId="0" borderId="10" xfId="1" applyBorder="1" applyAlignment="1">
      <alignment horizontal="left" vertical="top" wrapText="1"/>
    </xf>
    <xf numFmtId="0" fontId="4" fillId="0" borderId="1" xfId="1" applyBorder="1" applyAlignment="1">
      <alignment horizontal="left" vertical="top" wrapText="1"/>
    </xf>
    <xf numFmtId="0" fontId="3" fillId="0" borderId="0" xfId="4"/>
    <xf numFmtId="0" fontId="6" fillId="0" borderId="5" xfId="2" applyFont="1" applyBorder="1" applyAlignment="1">
      <alignment horizontal="center" vertical="top" wrapText="1"/>
    </xf>
    <xf numFmtId="0" fontId="6" fillId="0" borderId="2" xfId="2" applyFont="1" applyBorder="1" applyAlignment="1">
      <alignment horizontal="center" vertical="top" wrapText="1"/>
    </xf>
    <xf numFmtId="0" fontId="6" fillId="0" borderId="8" xfId="4" applyFont="1" applyBorder="1" applyAlignment="1">
      <alignment horizontal="left" vertical="top" wrapText="1"/>
    </xf>
    <xf numFmtId="0" fontId="6" fillId="0" borderId="10" xfId="1" applyFont="1" applyBorder="1" applyAlignment="1">
      <alignment horizontal="center" vertical="top" wrapText="1"/>
    </xf>
    <xf numFmtId="0" fontId="6" fillId="0" borderId="10" xfId="4" applyFont="1" applyBorder="1" applyAlignment="1">
      <alignment horizontal="left" vertical="top" wrapText="1"/>
    </xf>
    <xf numFmtId="0" fontId="4" fillId="0" borderId="11" xfId="1" applyBorder="1" applyAlignment="1">
      <alignment horizontal="center" vertical="top" wrapText="1"/>
    </xf>
    <xf numFmtId="0" fontId="6" fillId="0" borderId="11" xfId="4" applyFont="1" applyBorder="1" applyAlignment="1">
      <alignment horizontal="left" vertical="top" wrapText="1"/>
    </xf>
    <xf numFmtId="0" fontId="4" fillId="0" borderId="11" xfId="1" applyBorder="1" applyAlignment="1">
      <alignment horizontal="left" vertical="top" wrapText="1"/>
    </xf>
    <xf numFmtId="0" fontId="6" fillId="0" borderId="11" xfId="4" applyFont="1" applyBorder="1" applyAlignment="1">
      <alignment horizontal="center" vertical="top" wrapText="1"/>
    </xf>
    <xf numFmtId="0" fontId="4" fillId="0" borderId="8" xfId="1" applyBorder="1" applyAlignment="1">
      <alignment horizontal="left" vertical="top" wrapText="1"/>
    </xf>
    <xf numFmtId="0" fontId="6" fillId="0" borderId="8" xfId="4" applyFont="1" applyBorder="1" applyAlignment="1">
      <alignment horizontal="center" vertical="top" wrapText="1"/>
    </xf>
    <xf numFmtId="0" fontId="6" fillId="0" borderId="9" xfId="4" applyFont="1" applyBorder="1" applyAlignment="1">
      <alignment horizontal="center" vertical="top" wrapText="1"/>
    </xf>
    <xf numFmtId="0" fontId="4" fillId="0" borderId="7" xfId="1" applyBorder="1" applyAlignment="1">
      <alignment horizontal="left" vertical="top" wrapText="1"/>
    </xf>
    <xf numFmtId="0" fontId="6" fillId="0" borderId="7" xfId="4" applyFont="1" applyBorder="1" applyAlignment="1">
      <alignment horizontal="center" vertical="top" wrapText="1"/>
    </xf>
    <xf numFmtId="0" fontId="4" fillId="0" borderId="7" xfId="1" applyBorder="1" applyAlignment="1">
      <alignment horizontal="center" vertical="top" wrapText="1"/>
    </xf>
    <xf numFmtId="0" fontId="6" fillId="0" borderId="7" xfId="4" applyFont="1" applyBorder="1" applyAlignment="1">
      <alignment horizontal="left" vertical="top" wrapText="1"/>
    </xf>
    <xf numFmtId="0" fontId="4" fillId="0" borderId="15" xfId="1" applyBorder="1" applyAlignment="1">
      <alignment horizontal="center" vertical="top" wrapText="1"/>
    </xf>
    <xf numFmtId="0" fontId="4" fillId="0" borderId="16" xfId="1" applyBorder="1" applyAlignment="1">
      <alignment horizontal="left" vertical="top" wrapText="1"/>
    </xf>
    <xf numFmtId="0" fontId="4" fillId="0" borderId="1" xfId="1" applyBorder="1" applyAlignment="1">
      <alignment horizontal="center" vertical="top" wrapText="1"/>
    </xf>
    <xf numFmtId="0" fontId="6" fillId="0" borderId="10" xfId="4" applyFont="1" applyBorder="1" applyAlignment="1">
      <alignment horizontal="center" vertical="top" wrapText="1"/>
    </xf>
    <xf numFmtId="0" fontId="6" fillId="0" borderId="0" xfId="4" applyFont="1" applyAlignment="1">
      <alignment horizontal="center" vertical="top" wrapText="1"/>
    </xf>
    <xf numFmtId="0" fontId="6" fillId="0" borderId="5" xfId="1" applyFont="1" applyBorder="1" applyAlignment="1">
      <alignment horizontal="center" vertical="top" wrapText="1"/>
    </xf>
    <xf numFmtId="0" fontId="6" fillId="0" borderId="5" xfId="4" applyFont="1" applyBorder="1" applyAlignment="1">
      <alignment vertical="top" wrapText="1"/>
    </xf>
    <xf numFmtId="0" fontId="6" fillId="0" borderId="12" xfId="4" applyFont="1" applyBorder="1" applyAlignment="1">
      <alignment horizontal="left" vertical="top" wrapText="1"/>
    </xf>
    <xf numFmtId="14" fontId="6" fillId="0" borderId="2" xfId="4" applyNumberFormat="1" applyFont="1" applyBorder="1" applyAlignment="1">
      <alignment horizontal="center" vertical="top" wrapText="1"/>
    </xf>
    <xf numFmtId="0" fontId="6" fillId="5" borderId="1" xfId="4" applyFont="1" applyFill="1" applyBorder="1" applyAlignment="1">
      <alignment horizontal="center" vertical="top" wrapText="1"/>
    </xf>
    <xf numFmtId="0" fontId="6" fillId="0" borderId="1" xfId="1" applyFont="1" applyBorder="1" applyAlignment="1">
      <alignment horizontal="left" vertical="top" wrapText="1"/>
    </xf>
    <xf numFmtId="0" fontId="6" fillId="0" borderId="1" xfId="2" applyFont="1" applyBorder="1" applyAlignment="1">
      <alignment horizontal="left" vertical="top" wrapText="1"/>
    </xf>
    <xf numFmtId="0" fontId="0" fillId="0" borderId="1" xfId="0" applyBorder="1" applyAlignment="1">
      <alignment wrapText="1"/>
    </xf>
    <xf numFmtId="0" fontId="6" fillId="0" borderId="0" xfId="4" applyFont="1" applyAlignment="1">
      <alignment horizontal="left" vertical="top" wrapText="1"/>
    </xf>
    <xf numFmtId="0" fontId="0" fillId="0" borderId="0" xfId="0" applyAlignment="1">
      <alignment horizontal="left" vertical="top" wrapText="1"/>
    </xf>
    <xf numFmtId="0" fontId="9" fillId="0" borderId="1" xfId="0" applyFont="1" applyBorder="1" applyAlignment="1">
      <alignment horizontal="left" vertical="top" wrapText="1"/>
    </xf>
    <xf numFmtId="0" fontId="10" fillId="7" borderId="1" xfId="0" applyFont="1" applyFill="1" applyBorder="1" applyAlignment="1">
      <alignment horizontal="center" vertical="top" wrapText="1"/>
    </xf>
    <xf numFmtId="0" fontId="10" fillId="7" borderId="14" xfId="0" applyFont="1" applyFill="1" applyBorder="1" applyAlignment="1">
      <alignment vertical="top" wrapText="1"/>
    </xf>
    <xf numFmtId="0" fontId="4" fillId="8" borderId="0" xfId="1" applyFill="1" applyAlignment="1">
      <alignment wrapText="1"/>
    </xf>
    <xf numFmtId="0" fontId="10" fillId="7" borderId="6" xfId="0" applyFont="1" applyFill="1" applyBorder="1" applyAlignment="1">
      <alignment horizontal="center" vertical="top" wrapText="1"/>
    </xf>
    <xf numFmtId="0" fontId="10" fillId="7" borderId="4" xfId="0" applyFont="1" applyFill="1" applyBorder="1" applyAlignment="1">
      <alignment vertical="top" wrapText="1"/>
    </xf>
    <xf numFmtId="0" fontId="10" fillId="7" borderId="14" xfId="0"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7" borderId="1" xfId="0" applyFont="1" applyFill="1" applyBorder="1" applyAlignment="1">
      <alignment vertical="top" wrapText="1"/>
    </xf>
    <xf numFmtId="0" fontId="6" fillId="0" borderId="1" xfId="3" applyFont="1" applyBorder="1" applyAlignment="1">
      <alignment horizontal="left" vertical="top"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0" fillId="0" borderId="0" xfId="0" applyAlignment="1">
      <alignment horizontal="left" indent="1"/>
    </xf>
    <xf numFmtId="0" fontId="4" fillId="0" borderId="1" xfId="1" applyBorder="1" applyAlignment="1">
      <alignment vertical="top" wrapText="1"/>
    </xf>
    <xf numFmtId="0" fontId="11" fillId="0" borderId="0" xfId="1" applyFont="1" applyAlignment="1">
      <alignment wrapText="1"/>
    </xf>
    <xf numFmtId="0" fontId="6" fillId="5" borderId="1" xfId="2" applyFont="1" applyFill="1" applyBorder="1" applyAlignment="1">
      <alignment horizontal="center" vertical="top" wrapText="1"/>
    </xf>
    <xf numFmtId="0" fontId="6" fillId="5" borderId="1" xfId="4"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1" applyFont="1" applyFill="1" applyBorder="1" applyAlignment="1">
      <alignment horizontal="center" vertical="top" wrapText="1"/>
    </xf>
    <xf numFmtId="0" fontId="6" fillId="5" borderId="1" xfId="4" applyFont="1" applyFill="1" applyBorder="1" applyAlignment="1">
      <alignment vertical="top" wrapText="1"/>
    </xf>
    <xf numFmtId="0" fontId="6" fillId="0" borderId="5" xfId="1" applyFont="1" applyBorder="1" applyAlignment="1">
      <alignment horizontal="left" vertical="top" wrapText="1"/>
    </xf>
    <xf numFmtId="0" fontId="12" fillId="0" borderId="2" xfId="0" applyFont="1" applyBorder="1"/>
    <xf numFmtId="0" fontId="12" fillId="0" borderId="2" xfId="0" applyFont="1" applyBorder="1" applyAlignment="1">
      <alignment horizontal="center"/>
    </xf>
    <xf numFmtId="0" fontId="6" fillId="0" borderId="4" xfId="1" applyFont="1" applyBorder="1" applyAlignment="1">
      <alignment horizontal="left" vertical="top" wrapText="1"/>
    </xf>
    <xf numFmtId="0" fontId="13" fillId="9" borderId="1" xfId="0" applyFont="1" applyFill="1" applyBorder="1" applyAlignment="1">
      <alignment vertical="top"/>
    </xf>
    <xf numFmtId="0" fontId="7" fillId="0" borderId="0" xfId="1" applyFont="1" applyAlignment="1">
      <alignment wrapText="1"/>
    </xf>
    <xf numFmtId="0" fontId="0" fillId="5" borderId="1" xfId="0" applyFill="1" applyBorder="1" applyAlignment="1">
      <alignment vertical="top" wrapText="1"/>
    </xf>
    <xf numFmtId="0" fontId="16" fillId="0" borderId="1" xfId="0" applyFont="1" applyBorder="1" applyAlignment="1">
      <alignment vertical="top" wrapText="1"/>
    </xf>
    <xf numFmtId="0" fontId="16" fillId="0" borderId="1" xfId="0" applyFont="1" applyBorder="1" applyAlignment="1">
      <alignment horizontal="center" vertical="top" wrapText="1"/>
    </xf>
    <xf numFmtId="0" fontId="13" fillId="9" borderId="1" xfId="0" applyFont="1" applyFill="1" applyBorder="1" applyAlignment="1">
      <alignment vertical="top" wrapText="1"/>
    </xf>
    <xf numFmtId="0" fontId="0" fillId="10" borderId="1" xfId="0" applyFill="1" applyBorder="1" applyAlignment="1">
      <alignment vertical="top"/>
    </xf>
    <xf numFmtId="0" fontId="17" fillId="0" borderId="1" xfId="1" applyFont="1" applyBorder="1" applyAlignment="1">
      <alignment horizontal="left" vertical="top" wrapText="1"/>
    </xf>
    <xf numFmtId="0" fontId="17" fillId="0" borderId="1" xfId="4" applyFont="1" applyBorder="1" applyAlignment="1">
      <alignment horizontal="left" vertical="top" wrapText="1"/>
    </xf>
    <xf numFmtId="0" fontId="19" fillId="10" borderId="1" xfId="0" applyFont="1" applyFill="1" applyBorder="1" applyAlignment="1">
      <alignment vertical="top"/>
    </xf>
    <xf numFmtId="0" fontId="19" fillId="0" borderId="0" xfId="4" applyFont="1"/>
    <xf numFmtId="0" fontId="20" fillId="0" borderId="0" xfId="4" applyFont="1"/>
    <xf numFmtId="0" fontId="17" fillId="0" borderId="1" xfId="4" applyFont="1" applyBorder="1" applyAlignment="1">
      <alignment horizontal="center" vertical="top" wrapText="1"/>
    </xf>
    <xf numFmtId="0" fontId="16" fillId="5" borderId="1" xfId="0" applyFont="1" applyFill="1" applyBorder="1" applyAlignment="1">
      <alignment vertical="top" wrapText="1"/>
    </xf>
    <xf numFmtId="0" fontId="10" fillId="0" borderId="0" xfId="0" applyFont="1" applyAlignment="1">
      <alignment horizontal="center" vertical="top" wrapText="1"/>
    </xf>
    <xf numFmtId="0" fontId="19" fillId="13" borderId="1" xfId="0" applyFont="1" applyFill="1" applyBorder="1" applyAlignment="1">
      <alignment vertical="top"/>
    </xf>
    <xf numFmtId="0" fontId="0" fillId="13" borderId="1" xfId="0" applyFill="1" applyBorder="1" applyAlignment="1">
      <alignment vertical="top"/>
    </xf>
    <xf numFmtId="0" fontId="14" fillId="0" borderId="0" xfId="1" applyFont="1" applyAlignment="1">
      <alignment wrapText="1"/>
    </xf>
    <xf numFmtId="0" fontId="18" fillId="0" borderId="0" xfId="1" applyFont="1" applyAlignment="1">
      <alignment wrapText="1"/>
    </xf>
    <xf numFmtId="0" fontId="23" fillId="0" borderId="1" xfId="1" applyFont="1" applyBorder="1" applyAlignment="1">
      <alignment horizontal="left" vertical="top" wrapText="1"/>
    </xf>
    <xf numFmtId="0" fontId="6" fillId="0" borderId="1" xfId="4" applyFont="1" applyBorder="1" applyAlignment="1">
      <alignment vertical="top"/>
    </xf>
    <xf numFmtId="0" fontId="4" fillId="0" borderId="1" xfId="1" applyBorder="1" applyAlignment="1">
      <alignment wrapText="1"/>
    </xf>
    <xf numFmtId="0" fontId="6" fillId="0" borderId="0" xfId="1" applyFont="1" applyAlignment="1">
      <alignment horizontal="left" vertical="top" wrapText="1"/>
    </xf>
    <xf numFmtId="14" fontId="6" fillId="0" borderId="0" xfId="4" applyNumberFormat="1" applyFont="1" applyAlignment="1">
      <alignment horizontal="center" vertical="top" wrapText="1"/>
    </xf>
    <xf numFmtId="0" fontId="0" fillId="0" borderId="0" xfId="0" applyAlignment="1">
      <alignment horizontal="center"/>
    </xf>
    <xf numFmtId="0" fontId="0" fillId="0" borderId="0" xfId="0" applyAlignment="1">
      <alignment horizontal="center" wrapText="1"/>
    </xf>
    <xf numFmtId="0" fontId="0" fillId="0" borderId="0" xfId="0" pivotButton="1" applyAlignment="1">
      <alignment horizontal="center"/>
    </xf>
    <xf numFmtId="0" fontId="4" fillId="5" borderId="0" xfId="1" applyFill="1" applyAlignment="1">
      <alignment wrapText="1"/>
    </xf>
    <xf numFmtId="0" fontId="6" fillId="0" borderId="6" xfId="4" applyFont="1" applyBorder="1" applyAlignment="1">
      <alignment horizontal="center" vertical="top" wrapText="1"/>
    </xf>
    <xf numFmtId="0" fontId="4" fillId="0" borderId="5" xfId="1" applyBorder="1" applyAlignment="1">
      <alignment horizontal="center" vertical="top" wrapText="1"/>
    </xf>
    <xf numFmtId="14" fontId="6" fillId="0" borderId="5" xfId="4" applyNumberFormat="1" applyFont="1" applyBorder="1" applyAlignment="1">
      <alignment horizontal="center" vertical="top" wrapText="1"/>
    </xf>
    <xf numFmtId="0" fontId="6" fillId="0" borderId="18" xfId="4" applyFont="1" applyBorder="1" applyAlignment="1">
      <alignment horizontal="left" vertical="top" wrapText="1"/>
    </xf>
    <xf numFmtId="0" fontId="6" fillId="0" borderId="17" xfId="4" applyFont="1" applyBorder="1" applyAlignment="1">
      <alignment horizontal="left" vertical="top" wrapText="1"/>
    </xf>
    <xf numFmtId="0" fontId="6" fillId="0" borderId="9" xfId="4" applyFont="1" applyBorder="1" applyAlignment="1">
      <alignment vertical="top" wrapText="1"/>
    </xf>
    <xf numFmtId="0" fontId="6" fillId="0" borderId="13" xfId="4" applyFont="1" applyBorder="1" applyAlignment="1">
      <alignment horizontal="left" vertical="top" wrapText="1"/>
    </xf>
    <xf numFmtId="0" fontId="4" fillId="0" borderId="13" xfId="1" applyBorder="1" applyAlignment="1">
      <alignment horizontal="left" vertical="top" wrapText="1"/>
    </xf>
    <xf numFmtId="0" fontId="4" fillId="0" borderId="19" xfId="1" applyBorder="1" applyAlignment="1">
      <alignment horizontal="left" vertical="top" wrapText="1"/>
    </xf>
    <xf numFmtId="0" fontId="6" fillId="0" borderId="14" xfId="4" applyFont="1" applyBorder="1" applyAlignment="1">
      <alignment horizontal="left" vertical="top" wrapText="1"/>
    </xf>
    <xf numFmtId="0" fontId="4" fillId="0" borderId="13" xfId="1" applyBorder="1" applyAlignment="1">
      <alignment horizontal="center" vertical="top" wrapText="1"/>
    </xf>
    <xf numFmtId="0" fontId="6" fillId="0" borderId="20" xfId="4" applyFont="1" applyBorder="1" applyAlignment="1">
      <alignment horizontal="center" vertical="top" wrapText="1"/>
    </xf>
    <xf numFmtId="0" fontId="4" fillId="0" borderId="8" xfId="1" applyBorder="1" applyAlignment="1">
      <alignment horizontal="center" vertical="top" wrapText="1"/>
    </xf>
    <xf numFmtId="0" fontId="4" fillId="0" borderId="2" xfId="1" applyBorder="1" applyAlignment="1">
      <alignment horizontal="left" vertical="center" wrapText="1"/>
    </xf>
    <xf numFmtId="0" fontId="4" fillId="14" borderId="10" xfId="1" applyFill="1" applyBorder="1" applyAlignment="1">
      <alignment horizontal="left" vertical="top" wrapText="1"/>
    </xf>
    <xf numFmtId="0" fontId="4" fillId="14" borderId="1" xfId="1" applyFill="1" applyBorder="1" applyAlignment="1">
      <alignment horizontal="center" vertical="top" wrapText="1"/>
    </xf>
    <xf numFmtId="0" fontId="4" fillId="0" borderId="20" xfId="1" applyBorder="1" applyAlignment="1">
      <alignment horizontal="center" vertical="top" wrapText="1"/>
    </xf>
    <xf numFmtId="0" fontId="8" fillId="0" borderId="2" xfId="4" applyFont="1" applyBorder="1" applyAlignment="1">
      <alignment horizontal="left" vertical="top" wrapText="1"/>
    </xf>
    <xf numFmtId="0" fontId="4" fillId="14" borderId="2" xfId="1" applyFill="1" applyBorder="1" applyAlignment="1">
      <alignment horizontal="center" vertical="top" wrapText="1"/>
    </xf>
    <xf numFmtId="0" fontId="6" fillId="14" borderId="2" xfId="4" applyFont="1" applyFill="1" applyBorder="1" applyAlignment="1">
      <alignment horizontal="left" vertical="top" wrapText="1"/>
    </xf>
    <xf numFmtId="0" fontId="6" fillId="0" borderId="7" xfId="1" applyFont="1" applyBorder="1" applyAlignment="1">
      <alignment horizontal="center" vertical="top" wrapText="1"/>
    </xf>
    <xf numFmtId="0" fontId="4" fillId="0" borderId="21" xfId="1" applyBorder="1" applyAlignment="1">
      <alignment horizontal="center" vertical="top" wrapText="1"/>
    </xf>
    <xf numFmtId="0" fontId="6" fillId="14" borderId="1" xfId="4" applyFont="1" applyFill="1" applyBorder="1" applyAlignment="1">
      <alignment horizontal="center" vertical="top" wrapText="1"/>
    </xf>
    <xf numFmtId="0" fontId="6" fillId="0" borderId="15" xfId="4" applyFont="1" applyBorder="1" applyAlignment="1">
      <alignment horizontal="center" vertical="top" wrapText="1"/>
    </xf>
    <xf numFmtId="0" fontId="4" fillId="14" borderId="15" xfId="1" applyFill="1" applyBorder="1" applyAlignment="1">
      <alignment horizontal="center" vertical="top" wrapText="1"/>
    </xf>
    <xf numFmtId="0" fontId="6" fillId="0" borderId="15" xfId="4" applyFont="1" applyBorder="1" applyAlignment="1">
      <alignment horizontal="left" vertical="top" wrapText="1"/>
    </xf>
    <xf numFmtId="0" fontId="4" fillId="0" borderId="3" xfId="1" applyBorder="1" applyAlignment="1">
      <alignment vertical="top" wrapText="1"/>
    </xf>
    <xf numFmtId="0" fontId="6" fillId="14" borderId="7" xfId="4" applyFont="1" applyFill="1" applyBorder="1" applyAlignment="1">
      <alignment horizontal="left" vertical="top" wrapText="1"/>
    </xf>
    <xf numFmtId="0" fontId="6" fillId="0" borderId="11" xfId="1" applyFont="1" applyBorder="1" applyAlignment="1">
      <alignment horizontal="center" vertical="top" wrapText="1"/>
    </xf>
    <xf numFmtId="0" fontId="6" fillId="0" borderId="20" xfId="4" applyFont="1" applyBorder="1" applyAlignment="1">
      <alignment vertical="top" wrapText="1"/>
    </xf>
    <xf numFmtId="0" fontId="6" fillId="0" borderId="12" xfId="1" applyFont="1" applyBorder="1" applyAlignment="1">
      <alignment horizontal="center" vertical="top" wrapText="1"/>
    </xf>
    <xf numFmtId="0" fontId="6" fillId="14" borderId="2" xfId="4" applyFont="1" applyFill="1" applyBorder="1" applyAlignment="1">
      <alignment horizontal="center" vertical="top" wrapText="1"/>
    </xf>
    <xf numFmtId="0" fontId="8" fillId="14" borderId="2" xfId="4" applyFont="1" applyFill="1" applyBorder="1" applyAlignment="1">
      <alignment horizontal="left" vertical="top" wrapText="1"/>
    </xf>
    <xf numFmtId="0" fontId="6" fillId="0" borderId="1" xfId="1" applyFont="1" applyBorder="1" applyAlignment="1">
      <alignment vertical="top" wrapText="1"/>
    </xf>
    <xf numFmtId="0" fontId="23" fillId="0" borderId="0" xfId="1" applyFont="1" applyAlignment="1">
      <alignment vertical="top" wrapText="1"/>
    </xf>
    <xf numFmtId="0" fontId="3" fillId="0" borderId="0" xfId="4" applyAlignment="1">
      <alignment vertical="top"/>
    </xf>
    <xf numFmtId="0" fontId="4" fillId="0" borderId="0" xfId="1" applyAlignment="1">
      <alignment vertical="top" wrapText="1"/>
    </xf>
    <xf numFmtId="0" fontId="7" fillId="0" borderId="0" xfId="1" applyFont="1" applyAlignment="1">
      <alignment vertical="top" wrapText="1"/>
    </xf>
    <xf numFmtId="0" fontId="4" fillId="15" borderId="1" xfId="2" applyFill="1" applyBorder="1" applyAlignment="1">
      <alignment horizontal="center" vertical="top" wrapText="1"/>
    </xf>
    <xf numFmtId="0" fontId="4" fillId="15" borderId="1" xfId="1" applyFill="1" applyBorder="1" applyAlignment="1">
      <alignment horizontal="center" vertical="top" wrapText="1"/>
    </xf>
    <xf numFmtId="0" fontId="4" fillId="15" borderId="1" xfId="1" applyFill="1" applyBorder="1" applyAlignment="1">
      <alignment vertical="top" wrapText="1"/>
    </xf>
    <xf numFmtId="0" fontId="19" fillId="0" borderId="0" xfId="4" applyFont="1" applyAlignment="1">
      <alignment vertical="top"/>
    </xf>
    <xf numFmtId="0" fontId="4" fillId="16" borderId="1" xfId="2" applyFill="1" applyBorder="1" applyAlignment="1">
      <alignment horizontal="center" vertical="top" wrapText="1"/>
    </xf>
    <xf numFmtId="0" fontId="4" fillId="16" borderId="1" xfId="1" applyFill="1" applyBorder="1" applyAlignment="1">
      <alignment horizontal="center" vertical="top" wrapText="1"/>
    </xf>
    <xf numFmtId="0" fontId="4" fillId="16" borderId="1" xfId="1" applyFill="1" applyBorder="1" applyAlignment="1">
      <alignment vertical="top" wrapText="1"/>
    </xf>
    <xf numFmtId="0" fontId="6" fillId="15" borderId="1" xfId="2" applyFont="1" applyFill="1" applyBorder="1" applyAlignment="1">
      <alignment horizontal="center" vertical="top" wrapText="1"/>
    </xf>
    <xf numFmtId="0" fontId="6" fillId="15" borderId="1" xfId="4" applyFont="1" applyFill="1" applyBorder="1" applyAlignment="1">
      <alignment horizontal="left" vertical="top" wrapText="1"/>
    </xf>
    <xf numFmtId="0" fontId="6" fillId="15" borderId="1" xfId="4" applyFont="1" applyFill="1" applyBorder="1" applyAlignment="1">
      <alignment horizontal="center" vertical="top" wrapText="1"/>
    </xf>
    <xf numFmtId="0" fontId="6" fillId="15" borderId="1" xfId="4" applyFont="1" applyFill="1" applyBorder="1" applyAlignment="1">
      <alignment vertical="top" wrapText="1"/>
    </xf>
    <xf numFmtId="0" fontId="3" fillId="15" borderId="1" xfId="4" applyFill="1" applyBorder="1" applyAlignment="1">
      <alignment horizontal="center" vertical="top"/>
    </xf>
    <xf numFmtId="0" fontId="6" fillId="15" borderId="1" xfId="1" applyFont="1" applyFill="1" applyBorder="1" applyAlignment="1">
      <alignment horizontal="center" vertical="top" wrapText="1"/>
    </xf>
    <xf numFmtId="0" fontId="7" fillId="0" borderId="0" xfId="2" applyFont="1" applyAlignment="1">
      <alignment vertical="top" wrapText="1"/>
    </xf>
    <xf numFmtId="0" fontId="24" fillId="17" borderId="1" xfId="0" applyFont="1" applyFill="1" applyBorder="1" applyAlignment="1">
      <alignment horizontal="center" wrapText="1"/>
    </xf>
    <xf numFmtId="0" fontId="24" fillId="0" borderId="1" xfId="0" applyFont="1" applyBorder="1" applyAlignment="1">
      <alignment horizontal="left"/>
    </xf>
    <xf numFmtId="0" fontId="24" fillId="0" borderId="1" xfId="0" applyFont="1" applyBorder="1" applyAlignment="1">
      <alignment horizontal="center"/>
    </xf>
    <xf numFmtId="0" fontId="24" fillId="15" borderId="1" xfId="0" applyFont="1" applyFill="1" applyBorder="1" applyAlignment="1">
      <alignment horizontal="center"/>
    </xf>
    <xf numFmtId="0" fontId="0" fillId="0" borderId="1" xfId="0" applyBorder="1" applyAlignment="1">
      <alignment horizontal="left" indent="1"/>
    </xf>
    <xf numFmtId="0" fontId="0" fillId="0" borderId="1" xfId="0" applyBorder="1" applyAlignment="1">
      <alignment horizontal="center"/>
    </xf>
    <xf numFmtId="0" fontId="0" fillId="15" borderId="1" xfId="0" applyFill="1" applyBorder="1" applyAlignment="1">
      <alignment horizontal="center"/>
    </xf>
    <xf numFmtId="0" fontId="24" fillId="17" borderId="1" xfId="0" applyFont="1" applyFill="1" applyBorder="1" applyAlignment="1">
      <alignment horizontal="left"/>
    </xf>
    <xf numFmtId="0" fontId="24" fillId="17" borderId="1" xfId="0" applyFont="1" applyFill="1" applyBorder="1" applyAlignment="1">
      <alignment horizontal="center"/>
    </xf>
    <xf numFmtId="0" fontId="24" fillId="18" borderId="1" xfId="0" applyFont="1" applyFill="1" applyBorder="1" applyAlignment="1">
      <alignment horizontal="center"/>
    </xf>
    <xf numFmtId="0" fontId="24" fillId="17" borderId="1" xfId="0" applyFont="1" applyFill="1" applyBorder="1" applyAlignment="1">
      <alignment vertical="center"/>
    </xf>
    <xf numFmtId="0" fontId="24" fillId="17"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0" fillId="0" borderId="1" xfId="0" pivotButton="1" applyBorder="1"/>
    <xf numFmtId="0" fontId="0" fillId="0" borderId="1" xfId="0" applyBorder="1" applyAlignment="1">
      <alignment horizontal="center" wrapText="1"/>
    </xf>
    <xf numFmtId="0" fontId="0" fillId="0" borderId="1" xfId="0" applyBorder="1" applyAlignment="1">
      <alignment horizontal="left"/>
    </xf>
    <xf numFmtId="0" fontId="24" fillId="17" borderId="1" xfId="0" applyFont="1" applyFill="1" applyBorder="1" applyAlignment="1">
      <alignment vertical="center" wrapText="1"/>
    </xf>
    <xf numFmtId="0" fontId="0" fillId="0" borderId="22" xfId="0" pivotButton="1" applyBorder="1" applyAlignment="1">
      <alignment wrapText="1"/>
    </xf>
    <xf numFmtId="0" fontId="0" fillId="0" borderId="1" xfId="0" pivotButton="1" applyBorder="1" applyAlignment="1">
      <alignment horizontal="center"/>
    </xf>
    <xf numFmtId="0" fontId="24" fillId="17" borderId="23" xfId="0" applyFont="1" applyFill="1" applyBorder="1" applyAlignment="1">
      <alignment horizontal="center"/>
    </xf>
    <xf numFmtId="0" fontId="24" fillId="19" borderId="1" xfId="0" applyFont="1" applyFill="1" applyBorder="1" applyAlignment="1">
      <alignment horizontal="center"/>
    </xf>
    <xf numFmtId="0" fontId="24" fillId="0" borderId="0" xfId="0" applyFont="1" applyAlignment="1">
      <alignment horizontal="center"/>
    </xf>
    <xf numFmtId="0" fontId="24" fillId="0" borderId="23" xfId="0" applyFont="1" applyBorder="1" applyAlignment="1">
      <alignment horizontal="center"/>
    </xf>
    <xf numFmtId="1" fontId="24" fillId="0" borderId="1" xfId="0" applyNumberFormat="1" applyFont="1" applyBorder="1" applyAlignment="1">
      <alignment horizontal="center"/>
    </xf>
    <xf numFmtId="1" fontId="24" fillId="15" borderId="1" xfId="0" applyNumberFormat="1" applyFont="1" applyFill="1" applyBorder="1" applyAlignment="1">
      <alignment horizontal="center"/>
    </xf>
    <xf numFmtId="1" fontId="24" fillId="17" borderId="1" xfId="0" applyNumberFormat="1" applyFont="1" applyFill="1" applyBorder="1" applyAlignment="1">
      <alignment horizontal="center"/>
    </xf>
    <xf numFmtId="0" fontId="24" fillId="0" borderId="0" xfId="0" applyFont="1" applyAlignment="1">
      <alignment horizontal="left"/>
    </xf>
    <xf numFmtId="9" fontId="0" fillId="0" borderId="1" xfId="8" applyFont="1" applyBorder="1" applyAlignment="1">
      <alignment horizontal="center"/>
    </xf>
    <xf numFmtId="9" fontId="24" fillId="17" borderId="1" xfId="0" applyNumberFormat="1" applyFont="1" applyFill="1" applyBorder="1" applyAlignment="1">
      <alignment horizontal="center"/>
    </xf>
    <xf numFmtId="0" fontId="24" fillId="17" borderId="1" xfId="0" applyFont="1" applyFill="1" applyBorder="1" applyAlignment="1">
      <alignment horizontal="center" vertical="center"/>
    </xf>
    <xf numFmtId="9" fontId="0" fillId="2" borderId="1" xfId="8" applyFont="1" applyFill="1" applyBorder="1" applyAlignment="1">
      <alignment horizontal="center"/>
    </xf>
    <xf numFmtId="9" fontId="0" fillId="0" borderId="0" xfId="0" applyNumberFormat="1"/>
    <xf numFmtId="9" fontId="24" fillId="0" borderId="1" xfId="8" applyFont="1" applyBorder="1" applyAlignment="1">
      <alignment horizontal="center"/>
    </xf>
    <xf numFmtId="9" fontId="24" fillId="17" borderId="1" xfId="8" applyFont="1" applyFill="1" applyBorder="1" applyAlignment="1">
      <alignment horizontal="center"/>
    </xf>
    <xf numFmtId="9" fontId="0" fillId="0" borderId="0" xfId="8" applyFont="1"/>
    <xf numFmtId="0" fontId="24" fillId="17" borderId="25" xfId="0" applyFont="1" applyFill="1" applyBorder="1" applyAlignment="1">
      <alignment horizontal="center"/>
    </xf>
    <xf numFmtId="9" fontId="24" fillId="17" borderId="25" xfId="8" applyFont="1" applyFill="1" applyBorder="1" applyAlignment="1">
      <alignment horizontal="center"/>
    </xf>
    <xf numFmtId="1" fontId="0" fillId="0" borderId="0" xfId="0" applyNumberFormat="1"/>
    <xf numFmtId="0" fontId="23" fillId="0" borderId="1" xfId="4" applyFont="1" applyBorder="1" applyAlignment="1">
      <alignment horizontal="center" vertical="top" wrapText="1"/>
    </xf>
    <xf numFmtId="0" fontId="2" fillId="0" borderId="0" xfId="1" applyFont="1" applyAlignment="1">
      <alignment wrapText="1"/>
    </xf>
    <xf numFmtId="0" fontId="6" fillId="0" borderId="3" xfId="4" applyFont="1" applyBorder="1" applyAlignment="1">
      <alignment horizontal="center" vertical="top" wrapText="1"/>
    </xf>
    <xf numFmtId="0" fontId="6" fillId="0" borderId="4" xfId="4" applyFont="1" applyBorder="1" applyAlignment="1">
      <alignment horizontal="left" vertical="top" wrapText="1"/>
    </xf>
    <xf numFmtId="0" fontId="23" fillId="0" borderId="1" xfId="1" applyFont="1" applyBorder="1" applyAlignment="1">
      <alignment horizontal="center" vertical="top" wrapText="1"/>
    </xf>
    <xf numFmtId="0" fontId="24" fillId="17" borderId="1" xfId="0" applyFont="1" applyFill="1" applyBorder="1"/>
    <xf numFmtId="0" fontId="24" fillId="21" borderId="1" xfId="0" applyFont="1" applyFill="1" applyBorder="1" applyAlignment="1">
      <alignment horizontal="center"/>
    </xf>
    <xf numFmtId="0" fontId="6" fillId="8" borderId="1" xfId="4" applyFont="1" applyFill="1" applyBorder="1" applyAlignment="1">
      <alignment horizontal="center" vertical="top" wrapText="1"/>
    </xf>
    <xf numFmtId="0" fontId="10" fillId="12" borderId="1" xfId="0" applyFont="1" applyFill="1" applyBorder="1" applyAlignment="1">
      <alignment vertical="top" wrapText="1"/>
    </xf>
    <xf numFmtId="0" fontId="6" fillId="0" borderId="1" xfId="6" applyFont="1" applyBorder="1" applyAlignment="1">
      <alignment horizontal="center" vertical="top" wrapText="1"/>
    </xf>
    <xf numFmtId="0" fontId="6" fillId="0" borderId="1" xfId="7" applyFont="1" applyBorder="1" applyAlignment="1">
      <alignment horizontal="center" vertical="top" wrapText="1"/>
    </xf>
    <xf numFmtId="0" fontId="6" fillId="8" borderId="1" xfId="4" applyFont="1" applyFill="1" applyBorder="1" applyAlignment="1">
      <alignment vertical="top" wrapText="1"/>
    </xf>
    <xf numFmtId="0" fontId="6" fillId="0" borderId="1" xfId="7" applyFont="1" applyBorder="1" applyAlignment="1">
      <alignment vertical="top" wrapText="1"/>
    </xf>
    <xf numFmtId="0" fontId="6" fillId="0" borderId="0" xfId="1" applyFont="1" applyAlignment="1">
      <alignment horizontal="center" vertical="top" wrapText="1"/>
    </xf>
    <xf numFmtId="0" fontId="6" fillId="11" borderId="1" xfId="2" applyFont="1" applyFill="1" applyBorder="1" applyAlignment="1">
      <alignment horizontal="center" vertical="top" wrapText="1"/>
    </xf>
    <xf numFmtId="0" fontId="23" fillId="15" borderId="1" xfId="1" applyFont="1" applyFill="1" applyBorder="1" applyAlignment="1">
      <alignment horizontal="center" vertical="top" wrapText="1"/>
    </xf>
    <xf numFmtId="9" fontId="3" fillId="0" borderId="1" xfId="8"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1" fontId="3" fillId="0" borderId="1" xfId="0" applyNumberFormat="1" applyFont="1" applyBorder="1" applyAlignment="1">
      <alignment horizontal="center"/>
    </xf>
    <xf numFmtId="0" fontId="3" fillId="0" borderId="1" xfId="0" applyFont="1" applyBorder="1" applyAlignment="1">
      <alignment horizontal="left" indent="1"/>
    </xf>
    <xf numFmtId="0" fontId="24" fillId="17" borderId="23" xfId="0" applyFont="1" applyFill="1" applyBorder="1"/>
    <xf numFmtId="0" fontId="6" fillId="0" borderId="0" xfId="2" applyFont="1" applyAlignment="1">
      <alignment horizontal="center" vertical="top" wrapText="1"/>
    </xf>
    <xf numFmtId="0" fontId="4" fillId="0" borderId="16" xfId="1" applyBorder="1" applyAlignment="1">
      <alignment horizontal="center" vertical="top" wrapText="1"/>
    </xf>
    <xf numFmtId="0" fontId="6" fillId="0" borderId="11" xfId="2" applyFont="1" applyBorder="1" applyAlignment="1">
      <alignment horizontal="center" vertical="top" wrapText="1"/>
    </xf>
    <xf numFmtId="0" fontId="4" fillId="0" borderId="19" xfId="1" applyBorder="1" applyAlignment="1">
      <alignment horizontal="center" vertical="top" wrapText="1"/>
    </xf>
    <xf numFmtId="0" fontId="12" fillId="0" borderId="0" xfId="0" applyFont="1"/>
    <xf numFmtId="0" fontId="24" fillId="17" borderId="23" xfId="0" applyFont="1" applyFill="1" applyBorder="1" applyAlignment="1">
      <alignment horizontal="center" wrapText="1"/>
    </xf>
    <xf numFmtId="0" fontId="24" fillId="19" borderId="24" xfId="0" applyFont="1" applyFill="1" applyBorder="1" applyAlignment="1">
      <alignment horizontal="center" wrapText="1"/>
    </xf>
    <xf numFmtId="0" fontId="24" fillId="17" borderId="5" xfId="0" applyFont="1" applyFill="1"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wrapText="1"/>
    </xf>
    <xf numFmtId="0" fontId="0" fillId="0" borderId="22" xfId="0" applyBorder="1" applyAlignment="1">
      <alignment horizontal="center" wrapText="1"/>
    </xf>
    <xf numFmtId="0" fontId="25" fillId="2" borderId="1" xfId="1" applyFont="1" applyFill="1" applyBorder="1" applyAlignment="1">
      <alignment horizontal="center" vertical="center" wrapText="1" readingOrder="1"/>
    </xf>
    <xf numFmtId="0" fontId="25" fillId="3" borderId="1" xfId="1" applyFont="1" applyFill="1" applyBorder="1" applyAlignment="1">
      <alignment horizontal="center" vertical="center" wrapText="1" readingOrder="1"/>
    </xf>
    <xf numFmtId="0" fontId="25" fillId="3" borderId="3" xfId="1" applyFont="1" applyFill="1" applyBorder="1" applyAlignment="1">
      <alignment horizontal="center" vertical="center" wrapText="1" readingOrder="1"/>
    </xf>
    <xf numFmtId="0" fontId="25" fillId="3" borderId="4" xfId="1" applyFont="1" applyFill="1" applyBorder="1" applyAlignment="1">
      <alignment horizontal="center" vertical="center" wrapText="1" readingOrder="1"/>
    </xf>
    <xf numFmtId="0" fontId="26" fillId="5" borderId="1" xfId="1" applyFont="1" applyFill="1" applyBorder="1" applyAlignment="1">
      <alignment horizontal="center" vertical="center" wrapText="1"/>
    </xf>
    <xf numFmtId="0" fontId="27" fillId="0" borderId="1" xfId="2" applyFont="1" applyBorder="1" applyAlignment="1">
      <alignment horizontal="center" vertical="top" wrapText="1"/>
    </xf>
    <xf numFmtId="0" fontId="27" fillId="4" borderId="1" xfId="4" applyFont="1" applyFill="1" applyBorder="1" applyAlignment="1">
      <alignment horizontal="left" vertical="top" wrapText="1"/>
    </xf>
    <xf numFmtId="0" fontId="27" fillId="4" borderId="1" xfId="4" applyFont="1" applyFill="1" applyBorder="1" applyAlignment="1">
      <alignment horizontal="center" vertical="top" wrapText="1"/>
    </xf>
    <xf numFmtId="0" fontId="27" fillId="4" borderId="1" xfId="2" applyFont="1" applyFill="1" applyBorder="1" applyAlignment="1">
      <alignment horizontal="left" vertical="top" wrapText="1"/>
    </xf>
    <xf numFmtId="0" fontId="27" fillId="4" borderId="1" xfId="1" applyFont="1" applyFill="1" applyBorder="1" applyAlignment="1">
      <alignment horizontal="center" vertical="top" wrapText="1"/>
    </xf>
    <xf numFmtId="14" fontId="27" fillId="6" borderId="1" xfId="4" applyNumberFormat="1" applyFont="1" applyFill="1" applyBorder="1" applyAlignment="1">
      <alignment horizontal="center" vertical="top" wrapText="1"/>
    </xf>
    <xf numFmtId="0" fontId="27" fillId="4" borderId="1" xfId="1" applyFont="1" applyFill="1" applyBorder="1" applyAlignment="1">
      <alignment horizontal="left" vertical="top" wrapText="1"/>
    </xf>
    <xf numFmtId="0" fontId="27" fillId="4" borderId="1" xfId="2" applyFont="1" applyFill="1" applyBorder="1" applyAlignment="1">
      <alignment horizontal="center" vertical="top" wrapText="1"/>
    </xf>
    <xf numFmtId="14" fontId="27" fillId="4" borderId="1" xfId="4" applyNumberFormat="1" applyFont="1" applyFill="1" applyBorder="1" applyAlignment="1">
      <alignment horizontal="center" vertical="top" wrapText="1"/>
    </xf>
    <xf numFmtId="0" fontId="27" fillId="0" borderId="1" xfId="4" applyFont="1" applyBorder="1" applyAlignment="1">
      <alignment horizontal="left" vertical="top" wrapText="1"/>
    </xf>
    <xf numFmtId="0" fontId="27" fillId="0" borderId="1" xfId="1" applyFont="1" applyBorder="1" applyAlignment="1">
      <alignment horizontal="left" vertical="top" wrapText="1"/>
    </xf>
    <xf numFmtId="0" fontId="27" fillId="0" borderId="1" xfId="4" applyFont="1" applyBorder="1" applyAlignment="1">
      <alignment horizontal="center" vertical="top" wrapText="1"/>
    </xf>
    <xf numFmtId="0" fontId="27" fillId="0" borderId="1" xfId="1" applyFont="1" applyBorder="1" applyAlignment="1">
      <alignment horizontal="center" vertical="top" wrapText="1"/>
    </xf>
    <xf numFmtId="0" fontId="27" fillId="0" borderId="1" xfId="4" applyFont="1" applyBorder="1" applyAlignment="1">
      <alignment vertical="top" wrapText="1"/>
    </xf>
    <xf numFmtId="14" fontId="27" fillId="0" borderId="1" xfId="4" applyNumberFormat="1" applyFont="1" applyBorder="1" applyAlignment="1">
      <alignment horizontal="center" vertical="top" wrapText="1"/>
    </xf>
    <xf numFmtId="0" fontId="27" fillId="0" borderId="1" xfId="1" applyFont="1" applyBorder="1" applyAlignment="1">
      <alignment vertical="top" wrapText="1"/>
    </xf>
    <xf numFmtId="0" fontId="27" fillId="0" borderId="1" xfId="3" applyFont="1" applyBorder="1" applyAlignment="1">
      <alignment vertical="top" wrapText="1"/>
    </xf>
    <xf numFmtId="0" fontId="27" fillId="0" borderId="1" xfId="2" applyFont="1" applyBorder="1" applyAlignment="1">
      <alignment horizontal="left" vertical="top" wrapText="1"/>
    </xf>
    <xf numFmtId="0" fontId="28" fillId="0" borderId="1" xfId="1" applyFont="1" applyBorder="1" applyAlignment="1">
      <alignment horizontal="left" vertical="top" wrapText="1"/>
    </xf>
    <xf numFmtId="0" fontId="28" fillId="0" borderId="1" xfId="4" applyFont="1" applyBorder="1" applyAlignment="1">
      <alignment horizontal="left" vertical="top" wrapText="1"/>
    </xf>
    <xf numFmtId="0" fontId="29" fillId="0" borderId="1" xfId="4" applyFont="1" applyBorder="1" applyAlignment="1">
      <alignment horizontal="left" vertical="top" wrapText="1"/>
    </xf>
    <xf numFmtId="0" fontId="27" fillId="0" borderId="1" xfId="0" applyFont="1" applyBorder="1" applyAlignment="1">
      <alignment horizontal="center" vertical="top" wrapText="1"/>
    </xf>
    <xf numFmtId="0" fontId="27" fillId="0" borderId="1" xfId="0" applyFont="1" applyBorder="1" applyAlignment="1">
      <alignment vertical="top" wrapText="1"/>
    </xf>
    <xf numFmtId="0" fontId="27" fillId="4" borderId="1" xfId="7" applyFont="1" applyFill="1" applyBorder="1" applyAlignment="1">
      <alignment horizontal="left" vertical="top" wrapText="1"/>
    </xf>
    <xf numFmtId="0" fontId="27" fillId="13" borderId="1" xfId="2" applyFont="1" applyFill="1" applyBorder="1" applyAlignment="1">
      <alignment horizontal="left" vertical="top" wrapText="1"/>
    </xf>
    <xf numFmtId="0" fontId="30" fillId="0" borderId="1" xfId="2" applyFont="1" applyBorder="1" applyAlignment="1">
      <alignment horizontal="center" vertical="top" wrapText="1"/>
    </xf>
    <xf numFmtId="0" fontId="27" fillId="0" borderId="1" xfId="0" applyFont="1" applyBorder="1" applyAlignment="1">
      <alignment horizontal="left" vertical="top" wrapText="1"/>
    </xf>
    <xf numFmtId="0" fontId="29" fillId="0" borderId="1" xfId="0" applyFont="1" applyBorder="1" applyAlignment="1">
      <alignment horizontal="left" vertical="top" wrapText="1"/>
    </xf>
    <xf numFmtId="0" fontId="27" fillId="4" borderId="1" xfId="0" applyFont="1" applyFill="1" applyBorder="1" applyAlignment="1">
      <alignment horizontal="left" vertical="top" wrapText="1"/>
    </xf>
    <xf numFmtId="0" fontId="27" fillId="6" borderId="1" xfId="0" applyFont="1" applyFill="1" applyBorder="1" applyAlignment="1">
      <alignment horizontal="left" vertical="top" wrapText="1"/>
    </xf>
    <xf numFmtId="0" fontId="27" fillId="4" borderId="1" xfId="3" applyFont="1" applyFill="1" applyBorder="1" applyAlignment="1">
      <alignment horizontal="left" vertical="top" wrapText="1"/>
    </xf>
    <xf numFmtId="0" fontId="27" fillId="4" borderId="1" xfId="4" applyFont="1" applyFill="1" applyBorder="1" applyAlignment="1">
      <alignment vertical="top" wrapText="1"/>
    </xf>
    <xf numFmtId="0" fontId="27" fillId="4" borderId="1" xfId="4" applyFont="1" applyFill="1" applyBorder="1" applyAlignment="1">
      <alignment vertical="top"/>
    </xf>
    <xf numFmtId="0" fontId="27" fillId="4" borderId="1" xfId="3" applyFont="1" applyFill="1" applyBorder="1" applyAlignment="1">
      <alignment vertical="top" wrapText="1"/>
    </xf>
    <xf numFmtId="0" fontId="27" fillId="0" borderId="1" xfId="1" applyFont="1" applyBorder="1" applyAlignment="1">
      <alignment horizontal="left" vertical="top" wrapText="1" readingOrder="1"/>
    </xf>
    <xf numFmtId="0" fontId="27" fillId="4" borderId="1" xfId="1" applyFont="1" applyFill="1" applyBorder="1" applyAlignment="1">
      <alignment vertical="top" wrapText="1"/>
    </xf>
    <xf numFmtId="0" fontId="27" fillId="0" borderId="1" xfId="4" applyFont="1" applyBorder="1" applyAlignment="1">
      <alignment vertical="top"/>
    </xf>
    <xf numFmtId="0" fontId="27" fillId="4" borderId="1" xfId="0" applyFont="1" applyFill="1" applyBorder="1" applyAlignment="1">
      <alignment horizontal="center" vertical="top" wrapText="1"/>
    </xf>
    <xf numFmtId="0" fontId="27" fillId="4" borderId="1" xfId="0" applyFont="1" applyFill="1" applyBorder="1" applyAlignment="1">
      <alignment vertical="top" wrapText="1"/>
    </xf>
    <xf numFmtId="0" fontId="27" fillId="0" borderId="1" xfId="3" applyFont="1" applyBorder="1" applyAlignment="1">
      <alignment horizontal="left" vertical="top" wrapText="1"/>
    </xf>
    <xf numFmtId="0" fontId="28" fillId="0" borderId="1" xfId="1" applyFont="1" applyBorder="1" applyAlignment="1">
      <alignment vertical="top" wrapText="1"/>
    </xf>
    <xf numFmtId="0" fontId="27" fillId="0" borderId="1" xfId="5" applyFont="1" applyBorder="1" applyAlignment="1">
      <alignment vertical="top"/>
    </xf>
    <xf numFmtId="0" fontId="27" fillId="0" borderId="1" xfId="6" applyFont="1" applyBorder="1" applyAlignment="1">
      <alignment horizontal="center" vertical="top" wrapText="1"/>
    </xf>
    <xf numFmtId="0" fontId="27" fillId="0" borderId="1" xfId="7" applyFont="1" applyBorder="1" applyAlignment="1">
      <alignment horizontal="center" vertical="top" wrapText="1"/>
    </xf>
    <xf numFmtId="0" fontId="27" fillId="8" borderId="1" xfId="4" applyFont="1" applyFill="1" applyBorder="1" applyAlignment="1">
      <alignment vertical="top" wrapText="1"/>
    </xf>
    <xf numFmtId="0" fontId="27" fillId="4" borderId="1" xfId="7" applyFont="1" applyFill="1" applyBorder="1" applyAlignment="1">
      <alignment horizontal="center" vertical="top" wrapText="1"/>
    </xf>
    <xf numFmtId="0" fontId="27" fillId="4" borderId="1" xfId="6" applyFont="1" applyFill="1" applyBorder="1" applyAlignment="1">
      <alignment horizontal="left" vertical="top" wrapText="1"/>
    </xf>
    <xf numFmtId="0" fontId="27" fillId="4" borderId="1" xfId="6" applyFont="1" applyFill="1" applyBorder="1" applyAlignment="1">
      <alignment horizontal="center" vertical="top" wrapText="1"/>
    </xf>
    <xf numFmtId="0" fontId="27" fillId="4" borderId="1" xfId="7" applyFont="1" applyFill="1" applyBorder="1" applyAlignment="1">
      <alignment vertical="top" wrapText="1"/>
    </xf>
    <xf numFmtId="0" fontId="27" fillId="0" borderId="1" xfId="7" applyFont="1" applyBorder="1" applyAlignment="1">
      <alignment horizontal="left" vertical="top" wrapText="1"/>
    </xf>
    <xf numFmtId="0" fontId="27" fillId="0" borderId="1" xfId="6" applyFont="1" applyBorder="1" applyAlignment="1">
      <alignment horizontal="left" vertical="top" wrapText="1"/>
    </xf>
    <xf numFmtId="0" fontId="27" fillId="0" borderId="1" xfId="1" applyFont="1" applyBorder="1" applyAlignment="1">
      <alignment horizontal="center" vertical="top" wrapText="1" readingOrder="1"/>
    </xf>
    <xf numFmtId="0" fontId="27" fillId="0" borderId="1" xfId="1" applyFont="1" applyBorder="1" applyAlignment="1">
      <alignment horizontal="left" vertical="top" readingOrder="1"/>
    </xf>
    <xf numFmtId="0" fontId="27" fillId="0" borderId="1" xfId="0" applyFont="1" applyBorder="1" applyAlignment="1">
      <alignment vertical="top"/>
    </xf>
    <xf numFmtId="0" fontId="27" fillId="6" borderId="1" xfId="0" applyFont="1" applyFill="1" applyBorder="1" applyAlignment="1">
      <alignment vertical="top" wrapText="1"/>
    </xf>
    <xf numFmtId="0" fontId="24" fillId="21" borderId="23" xfId="0" applyFont="1" applyFill="1" applyBorder="1" applyAlignment="1">
      <alignment horizontal="center" wrapText="1"/>
    </xf>
    <xf numFmtId="0" fontId="24" fillId="21" borderId="23" xfId="0" applyFont="1" applyFill="1" applyBorder="1" applyAlignment="1">
      <alignment horizontal="center"/>
    </xf>
    <xf numFmtId="0" fontId="0" fillId="19" borderId="1" xfId="0" applyFill="1" applyBorder="1" applyAlignment="1">
      <alignment horizontal="center"/>
    </xf>
    <xf numFmtId="0" fontId="31" fillId="0" borderId="0" xfId="0" applyFont="1"/>
    <xf numFmtId="0" fontId="27" fillId="13" borderId="1" xfId="4" applyFont="1" applyFill="1" applyBorder="1" applyAlignment="1">
      <alignment horizontal="left" vertical="top" wrapText="1"/>
    </xf>
    <xf numFmtId="0" fontId="32" fillId="0" borderId="1" xfId="1" applyFont="1" applyBorder="1" applyAlignment="1">
      <alignment horizontal="left" vertical="top" wrapText="1"/>
    </xf>
    <xf numFmtId="0" fontId="27" fillId="0" borderId="1" xfId="10" applyFont="1" applyBorder="1" applyAlignment="1">
      <alignment horizontal="center" vertical="top" wrapText="1"/>
    </xf>
    <xf numFmtId="0" fontId="27" fillId="13" borderId="1" xfId="4" applyFont="1" applyFill="1" applyBorder="1" applyAlignment="1">
      <alignment horizontal="center" vertical="top" wrapText="1"/>
    </xf>
    <xf numFmtId="0" fontId="27" fillId="13" borderId="1" xfId="4" applyFont="1" applyFill="1" applyBorder="1" applyAlignment="1">
      <alignment vertical="top" wrapText="1"/>
    </xf>
    <xf numFmtId="0" fontId="28" fillId="4" borderId="1" xfId="1" applyFont="1" applyFill="1" applyBorder="1" applyAlignment="1">
      <alignment horizontal="left" vertical="top" wrapText="1"/>
    </xf>
    <xf numFmtId="0" fontId="25" fillId="2" borderId="1" xfId="9" applyFont="1" applyFill="1" applyBorder="1" applyAlignment="1">
      <alignment horizontal="center" vertical="top" wrapText="1" readingOrder="1"/>
    </xf>
    <xf numFmtId="0" fontId="0" fillId="0" borderId="1" xfId="0" applyBorder="1" applyAlignment="1">
      <alignment horizontal="center" vertical="top"/>
    </xf>
    <xf numFmtId="0" fontId="27" fillId="13" borderId="1" xfId="1" applyFont="1" applyFill="1" applyBorder="1" applyAlignment="1">
      <alignment vertical="top" wrapText="1"/>
    </xf>
    <xf numFmtId="0" fontId="34" fillId="0" borderId="0" xfId="12" applyFont="1" applyAlignment="1">
      <alignment horizontal="center"/>
    </xf>
    <xf numFmtId="0" fontId="34" fillId="0" borderId="0" xfId="12" applyFont="1"/>
    <xf numFmtId="0" fontId="34" fillId="0" borderId="0" xfId="12" applyFont="1" applyAlignment="1">
      <alignment horizontal="left"/>
    </xf>
    <xf numFmtId="164" fontId="35" fillId="15" borderId="28" xfId="12" applyNumberFormat="1" applyFont="1" applyFill="1" applyBorder="1"/>
    <xf numFmtId="0" fontId="35" fillId="15" borderId="1" xfId="13" applyFont="1" applyFill="1" applyBorder="1" applyAlignment="1">
      <alignment horizontal="center" wrapText="1"/>
    </xf>
    <xf numFmtId="165" fontId="34" fillId="0" borderId="1" xfId="4" applyNumberFormat="1" applyFont="1" applyBorder="1" applyAlignment="1">
      <alignment horizontal="center"/>
    </xf>
    <xf numFmtId="0" fontId="34" fillId="0" borderId="1" xfId="12" applyFont="1" applyBorder="1" applyAlignment="1">
      <alignment horizontal="left"/>
    </xf>
    <xf numFmtId="14" fontId="34" fillId="0" borderId="1" xfId="12" applyNumberFormat="1" applyFont="1" applyBorder="1" applyAlignment="1">
      <alignment horizontal="center"/>
    </xf>
    <xf numFmtId="0" fontId="34" fillId="0" borderId="1" xfId="12" applyFont="1" applyBorder="1" applyAlignment="1">
      <alignment horizontal="center"/>
    </xf>
    <xf numFmtId="164" fontId="34" fillId="0" borderId="1" xfId="14" applyNumberFormat="1" applyFont="1" applyFill="1" applyBorder="1"/>
    <xf numFmtId="0" fontId="34" fillId="0" borderId="1" xfId="4" applyFont="1" applyBorder="1" applyAlignment="1">
      <alignment horizontal="center"/>
    </xf>
    <xf numFmtId="0" fontId="34" fillId="0" borderId="1" xfId="13" applyFont="1" applyBorder="1" applyAlignment="1">
      <alignment horizontal="center"/>
    </xf>
    <xf numFmtId="0" fontId="34" fillId="0" borderId="1" xfId="12" applyFont="1" applyBorder="1"/>
    <xf numFmtId="14" fontId="34" fillId="0" borderId="1" xfId="12" quotePrefix="1" applyNumberFormat="1" applyFont="1" applyBorder="1" applyAlignment="1">
      <alignment horizontal="center"/>
    </xf>
    <xf numFmtId="0" fontId="34" fillId="0" borderId="5" xfId="12" applyFont="1" applyBorder="1"/>
    <xf numFmtId="0" fontId="34" fillId="0" borderId="5" xfId="12" applyFont="1" applyBorder="1" applyAlignment="1">
      <alignment horizontal="left"/>
    </xf>
    <xf numFmtId="0" fontId="25" fillId="22" borderId="1" xfId="1" applyFont="1" applyFill="1" applyBorder="1" applyAlignment="1">
      <alignment horizontal="center" vertical="center" wrapText="1" readingOrder="1"/>
    </xf>
    <xf numFmtId="0" fontId="1" fillId="0" borderId="0" xfId="1" applyFont="1" applyAlignment="1">
      <alignment wrapText="1"/>
    </xf>
    <xf numFmtId="0" fontId="1" fillId="0" borderId="0" xfId="1" applyFont="1" applyAlignment="1">
      <alignment horizontal="left" vertical="top"/>
    </xf>
    <xf numFmtId="0" fontId="4" fillId="0" borderId="0" xfId="1" applyAlignment="1">
      <alignment horizontal="left" vertical="top"/>
    </xf>
    <xf numFmtId="0" fontId="34" fillId="5" borderId="1" xfId="13" applyFont="1" applyFill="1" applyBorder="1" applyAlignment="1">
      <alignment horizontal="center"/>
    </xf>
    <xf numFmtId="0" fontId="34" fillId="5" borderId="1" xfId="12" applyFont="1" applyFill="1" applyBorder="1" applyAlignment="1">
      <alignment horizontal="center"/>
    </xf>
    <xf numFmtId="165" fontId="34" fillId="5" borderId="1" xfId="4" applyNumberFormat="1" applyFont="1" applyFill="1" applyBorder="1" applyAlignment="1">
      <alignment horizontal="center"/>
    </xf>
    <xf numFmtId="0" fontId="34" fillId="5" borderId="1" xfId="4" applyFont="1" applyFill="1" applyBorder="1" applyAlignment="1">
      <alignment horizontal="center"/>
    </xf>
    <xf numFmtId="0" fontId="38" fillId="5" borderId="0" xfId="12" applyFont="1" applyFill="1" applyAlignment="1">
      <alignment horizontal="center"/>
    </xf>
    <xf numFmtId="0" fontId="6" fillId="0" borderId="1" xfId="2" applyFont="1" applyBorder="1" applyAlignment="1">
      <alignment horizontal="left" vertical="top"/>
    </xf>
    <xf numFmtId="0" fontId="6" fillId="0" borderId="1" xfId="1" applyFont="1" applyBorder="1" applyAlignment="1">
      <alignment horizontal="center" vertical="top" readingOrder="1"/>
    </xf>
    <xf numFmtId="0" fontId="5" fillId="22" borderId="1" xfId="1" applyFont="1" applyFill="1" applyBorder="1" applyAlignment="1">
      <alignment horizontal="center" vertical="center" wrapText="1" readingOrder="1"/>
    </xf>
    <xf numFmtId="0" fontId="6" fillId="0" borderId="1" xfId="4" applyFont="1" applyBorder="1" applyAlignment="1">
      <alignment horizontal="left" vertical="top"/>
    </xf>
    <xf numFmtId="0" fontId="27" fillId="0" borderId="1" xfId="2" applyFont="1" applyBorder="1" applyAlignment="1">
      <alignment horizontal="left" vertical="top"/>
    </xf>
    <xf numFmtId="0" fontId="6" fillId="0" borderId="1" xfId="2" applyFont="1" applyBorder="1" applyAlignment="1">
      <alignment horizontal="center" vertical="top"/>
    </xf>
    <xf numFmtId="14" fontId="27" fillId="0" borderId="1" xfId="2" applyNumberFormat="1" applyFont="1" applyBorder="1" applyAlignment="1">
      <alignment horizontal="center" vertical="top"/>
    </xf>
    <xf numFmtId="0" fontId="27" fillId="0" borderId="1" xfId="9" applyFont="1" applyBorder="1" applyAlignment="1">
      <alignment horizontal="center" vertical="top" wrapText="1"/>
    </xf>
    <xf numFmtId="0" fontId="24" fillId="18" borderId="1" xfId="0" applyFont="1" applyFill="1" applyBorder="1" applyAlignment="1">
      <alignment horizontal="center" wrapText="1"/>
    </xf>
    <xf numFmtId="0" fontId="0" fillId="2" borderId="1" xfId="0" applyFill="1" applyBorder="1" applyAlignment="1">
      <alignment horizontal="center"/>
    </xf>
    <xf numFmtId="0" fontId="24" fillId="23" borderId="1" xfId="0" applyFont="1" applyFill="1" applyBorder="1" applyAlignment="1">
      <alignment horizontal="center"/>
    </xf>
    <xf numFmtId="0" fontId="24" fillId="23" borderId="1" xfId="0" applyFont="1" applyFill="1" applyBorder="1" applyAlignment="1">
      <alignment horizontal="center" wrapText="1"/>
    </xf>
    <xf numFmtId="0" fontId="0" fillId="13" borderId="1" xfId="0" applyFill="1" applyBorder="1" applyAlignment="1">
      <alignment horizontal="center"/>
    </xf>
    <xf numFmtId="0" fontId="24" fillId="17" borderId="5" xfId="0" applyFont="1" applyFill="1" applyBorder="1" applyAlignment="1">
      <alignment horizontal="center"/>
    </xf>
    <xf numFmtId="0" fontId="24" fillId="19" borderId="26" xfId="0" applyFont="1" applyFill="1" applyBorder="1" applyAlignment="1">
      <alignment horizont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1" fillId="0" borderId="1" xfId="0" applyFont="1" applyBorder="1" applyAlignment="1">
      <alignment horizontal="center" vertical="top" wrapText="1"/>
    </xf>
    <xf numFmtId="0" fontId="1" fillId="0" borderId="1" xfId="1" applyFont="1" applyBorder="1" applyAlignment="1">
      <alignment horizontal="left" vertical="top" wrapText="1"/>
    </xf>
    <xf numFmtId="0" fontId="1" fillId="0" borderId="1" xfId="1" applyFont="1" applyBorder="1" applyAlignment="1">
      <alignment horizontal="center" vertical="top" wrapText="1"/>
    </xf>
    <xf numFmtId="0" fontId="1" fillId="0" borderId="1" xfId="0" applyFont="1" applyBorder="1"/>
    <xf numFmtId="0" fontId="1" fillId="15" borderId="1" xfId="4" applyFont="1" applyFill="1" applyBorder="1" applyAlignment="1">
      <alignment horizontal="left" vertical="top" wrapText="1"/>
    </xf>
    <xf numFmtId="0" fontId="1" fillId="15" borderId="1" xfId="4" applyFont="1" applyFill="1" applyBorder="1" applyAlignment="1">
      <alignment horizontal="center" vertical="top" wrapText="1"/>
    </xf>
    <xf numFmtId="0" fontId="1" fillId="15" borderId="1" xfId="4" applyFont="1" applyFill="1" applyBorder="1" applyAlignment="1">
      <alignment vertical="top" wrapText="1"/>
    </xf>
    <xf numFmtId="0" fontId="1" fillId="16" borderId="1" xfId="4" applyFont="1" applyFill="1" applyBorder="1" applyAlignment="1">
      <alignment horizontal="left" vertical="top" wrapText="1"/>
    </xf>
    <xf numFmtId="0" fontId="1" fillId="16" borderId="1" xfId="4" applyFont="1" applyFill="1" applyBorder="1" applyAlignment="1">
      <alignment horizontal="center" vertical="top" wrapText="1"/>
    </xf>
    <xf numFmtId="0" fontId="1" fillId="16" borderId="1" xfId="4" applyFont="1" applyFill="1" applyBorder="1" applyAlignment="1">
      <alignment vertical="top" wrapText="1"/>
    </xf>
    <xf numFmtId="0" fontId="1" fillId="0" borderId="1" xfId="1" applyFont="1" applyBorder="1" applyAlignment="1">
      <alignment vertical="top" wrapText="1"/>
    </xf>
    <xf numFmtId="0" fontId="1" fillId="0" borderId="1" xfId="1" applyFont="1" applyBorder="1" applyAlignment="1">
      <alignment wrapText="1"/>
    </xf>
    <xf numFmtId="0" fontId="1" fillId="0" borderId="2" xfId="1" applyFont="1" applyBorder="1" applyAlignment="1">
      <alignment horizontal="center" vertical="center" wrapText="1" readingOrder="1"/>
    </xf>
    <xf numFmtId="0" fontId="1" fillId="0" borderId="2" xfId="1" applyFont="1" applyBorder="1" applyAlignment="1">
      <alignment horizontal="left" vertical="center" readingOrder="1"/>
    </xf>
    <xf numFmtId="0" fontId="4" fillId="4" borderId="1" xfId="1" applyFill="1" applyBorder="1" applyAlignment="1">
      <alignment horizontal="center" vertical="top" wrapText="1"/>
    </xf>
    <xf numFmtId="0" fontId="24" fillId="0" borderId="23" xfId="0" applyFont="1" applyBorder="1" applyAlignment="1">
      <alignment horizontal="left"/>
    </xf>
    <xf numFmtId="0" fontId="24" fillId="17" borderId="29" xfId="0" applyFont="1" applyFill="1" applyBorder="1" applyAlignment="1">
      <alignment horizontal="left"/>
    </xf>
    <xf numFmtId="0" fontId="24" fillId="17" borderId="29" xfId="0" applyFont="1" applyFill="1" applyBorder="1" applyAlignment="1">
      <alignment horizontal="center"/>
    </xf>
    <xf numFmtId="0" fontId="0" fillId="0" borderId="0" xfId="0" applyAlignment="1">
      <alignment horizontal="left" indent="2"/>
    </xf>
    <xf numFmtId="0" fontId="0" fillId="0" borderId="0" xfId="0" applyAlignment="1">
      <alignment horizontal="left" vertical="center"/>
    </xf>
    <xf numFmtId="0" fontId="0" fillId="0" borderId="1" xfId="0" applyBorder="1" applyAlignment="1">
      <alignment horizontal="center" vertical="center"/>
    </xf>
    <xf numFmtId="0" fontId="24" fillId="17" borderId="1" xfId="0" applyFont="1" applyFill="1" applyBorder="1" applyAlignment="1">
      <alignment horizontal="left" vertical="center"/>
    </xf>
    <xf numFmtId="0" fontId="0" fillId="0" borderId="6" xfId="0" applyBorder="1" applyAlignment="1">
      <alignment horizontal="center" vertical="center"/>
    </xf>
    <xf numFmtId="9" fontId="0" fillId="0" borderId="6" xfId="8" applyFont="1" applyBorder="1" applyAlignment="1">
      <alignment horizontal="center" vertical="center"/>
    </xf>
    <xf numFmtId="9" fontId="24" fillId="17" borderId="1" xfId="8" applyFont="1" applyFill="1" applyBorder="1" applyAlignment="1">
      <alignment horizontal="center" vertical="center"/>
    </xf>
    <xf numFmtId="0" fontId="33" fillId="4" borderId="1" xfId="0" applyFont="1" applyFill="1" applyBorder="1" applyAlignment="1">
      <alignment horizontal="center" vertical="top" wrapText="1"/>
    </xf>
    <xf numFmtId="0" fontId="0" fillId="20" borderId="0" xfId="0" applyFill="1" applyAlignment="1">
      <alignment horizontal="center"/>
    </xf>
    <xf numFmtId="0" fontId="4" fillId="8" borderId="1" xfId="1" applyFill="1" applyBorder="1" applyAlignment="1">
      <alignment wrapText="1"/>
    </xf>
    <xf numFmtId="0" fontId="0" fillId="0" borderId="1" xfId="0" applyBorder="1"/>
    <xf numFmtId="0" fontId="11" fillId="0" borderId="1" xfId="1" applyFont="1" applyBorder="1" applyAlignment="1">
      <alignment wrapText="1"/>
    </xf>
    <xf numFmtId="0" fontId="11" fillId="0" borderId="1" xfId="2" applyFont="1" applyBorder="1" applyAlignment="1">
      <alignment wrapText="1"/>
    </xf>
    <xf numFmtId="0" fontId="3" fillId="0" borderId="1" xfId="4" applyBorder="1"/>
    <xf numFmtId="0" fontId="20" fillId="0" borderId="1" xfId="4" applyFont="1" applyBorder="1"/>
    <xf numFmtId="0" fontId="19" fillId="0" borderId="1" xfId="4" applyFont="1" applyBorder="1"/>
    <xf numFmtId="0" fontId="6" fillId="0" borderId="1" xfId="1" applyFont="1" applyBorder="1" applyAlignment="1">
      <alignment wrapText="1"/>
    </xf>
    <xf numFmtId="0" fontId="4" fillId="5" borderId="1" xfId="1" applyFill="1" applyBorder="1" applyAlignment="1">
      <alignment wrapText="1"/>
    </xf>
    <xf numFmtId="0" fontId="23" fillId="0" borderId="1" xfId="1" applyFont="1" applyBorder="1" applyAlignment="1">
      <alignment vertical="top" wrapText="1"/>
    </xf>
    <xf numFmtId="0" fontId="6" fillId="0" borderId="1" xfId="2" applyFont="1" applyBorder="1" applyAlignment="1">
      <alignment vertical="top" wrapText="1"/>
    </xf>
    <xf numFmtId="0" fontId="6" fillId="0" borderId="26" xfId="2" applyFont="1" applyBorder="1" applyAlignment="1">
      <alignment horizontal="left" vertical="top"/>
    </xf>
    <xf numFmtId="0" fontId="24" fillId="17" borderId="0" xfId="0" applyFont="1" applyFill="1" applyAlignment="1">
      <alignment horizontal="center"/>
    </xf>
    <xf numFmtId="0" fontId="24" fillId="17" borderId="23" xfId="0" applyFont="1" applyFill="1" applyBorder="1" applyAlignment="1">
      <alignment horizontal="center"/>
    </xf>
    <xf numFmtId="0" fontId="24" fillId="17" borderId="0" xfId="0" applyFont="1" applyFill="1" applyAlignment="1">
      <alignment horizontal="center" wrapText="1"/>
    </xf>
    <xf numFmtId="0" fontId="24" fillId="17" borderId="23" xfId="0" applyFont="1" applyFill="1" applyBorder="1" applyAlignment="1">
      <alignment horizontal="center" wrapText="1"/>
    </xf>
    <xf numFmtId="0" fontId="24" fillId="21" borderId="0" xfId="0" applyFont="1" applyFill="1" applyAlignment="1">
      <alignment horizontal="center"/>
    </xf>
    <xf numFmtId="0" fontId="24" fillId="21" borderId="0" xfId="0" applyFont="1" applyFill="1" applyAlignment="1">
      <alignment horizontal="center" wrapText="1"/>
    </xf>
    <xf numFmtId="0" fontId="24" fillId="21" borderId="27" xfId="0" applyFont="1" applyFill="1" applyBorder="1" applyAlignment="1">
      <alignment horizontal="center" wrapText="1"/>
    </xf>
    <xf numFmtId="0" fontId="24" fillId="17" borderId="5" xfId="0" applyFont="1" applyFill="1" applyBorder="1" applyAlignment="1">
      <alignment horizontal="center" wrapText="1"/>
    </xf>
    <xf numFmtId="0" fontId="24" fillId="17" borderId="6" xfId="0" applyFont="1" applyFill="1" applyBorder="1" applyAlignment="1">
      <alignment horizontal="center" wrapText="1"/>
    </xf>
    <xf numFmtId="0" fontId="24" fillId="19" borderId="0" xfId="0" applyFont="1" applyFill="1" applyAlignment="1">
      <alignment horizontal="center" wrapText="1"/>
    </xf>
    <xf numFmtId="0" fontId="24" fillId="19" borderId="27" xfId="0" applyFont="1" applyFill="1" applyBorder="1" applyAlignment="1">
      <alignment horizontal="center" wrapText="1"/>
    </xf>
    <xf numFmtId="0" fontId="24" fillId="17" borderId="24" xfId="0" applyFont="1" applyFill="1" applyBorder="1" applyAlignment="1">
      <alignment horizontal="center" wrapText="1"/>
    </xf>
    <xf numFmtId="0" fontId="24" fillId="17" borderId="14" xfId="0" applyFont="1" applyFill="1" applyBorder="1" applyAlignment="1">
      <alignment horizontal="center" wrapText="1"/>
    </xf>
    <xf numFmtId="0" fontId="24" fillId="17" borderId="27" xfId="0" applyFont="1" applyFill="1" applyBorder="1" applyAlignment="1">
      <alignment horizontal="center" wrapText="1"/>
    </xf>
    <xf numFmtId="0" fontId="24" fillId="23" borderId="1" xfId="0" applyFont="1" applyFill="1" applyBorder="1" applyAlignment="1">
      <alignment horizontal="center"/>
    </xf>
    <xf numFmtId="0" fontId="24" fillId="18" borderId="1" xfId="0" applyFont="1" applyFill="1" applyBorder="1" applyAlignment="1">
      <alignment horizontal="center"/>
    </xf>
    <xf numFmtId="0" fontId="24" fillId="17" borderId="5" xfId="0" applyFont="1" applyFill="1" applyBorder="1" applyAlignment="1">
      <alignment horizontal="center"/>
    </xf>
    <xf numFmtId="0" fontId="24" fillId="17" borderId="6" xfId="0" applyFont="1" applyFill="1" applyBorder="1" applyAlignment="1">
      <alignment horizontal="center"/>
    </xf>
    <xf numFmtId="0" fontId="24" fillId="17" borderId="1" xfId="0" applyFont="1" applyFill="1" applyBorder="1" applyAlignment="1">
      <alignment horizontal="center" vertical="center"/>
    </xf>
    <xf numFmtId="0" fontId="24" fillId="19" borderId="5" xfId="0" applyFont="1" applyFill="1" applyBorder="1" applyAlignment="1">
      <alignment horizontal="center" vertical="center" wrapText="1"/>
    </xf>
    <xf numFmtId="0" fontId="24" fillId="19" borderId="6" xfId="0" applyFont="1" applyFill="1" applyBorder="1" applyAlignment="1">
      <alignment horizontal="center" vertical="center" wrapText="1"/>
    </xf>
    <xf numFmtId="0" fontId="24" fillId="19" borderId="5" xfId="0" applyFont="1" applyFill="1" applyBorder="1" applyAlignment="1">
      <alignment horizontal="center" vertical="center"/>
    </xf>
    <xf numFmtId="0" fontId="24" fillId="19" borderId="6" xfId="0" applyFont="1" applyFill="1" applyBorder="1" applyAlignment="1">
      <alignment horizontal="center" vertical="center"/>
    </xf>
    <xf numFmtId="0" fontId="24" fillId="17" borderId="24" xfId="0" applyFont="1" applyFill="1" applyBorder="1" applyAlignment="1">
      <alignment horizontal="center" vertical="center" wrapText="1"/>
    </xf>
    <xf numFmtId="0" fontId="24" fillId="17" borderId="14" xfId="0" applyFont="1" applyFill="1" applyBorder="1" applyAlignment="1">
      <alignment horizontal="center" vertical="center" wrapText="1"/>
    </xf>
    <xf numFmtId="0" fontId="27" fillId="0" borderId="0" xfId="4" applyFont="1" applyBorder="1" applyAlignment="1">
      <alignment horizontal="left" vertical="top" wrapText="1"/>
    </xf>
  </cellXfs>
  <cellStyles count="17">
    <cellStyle name="Comma 2 3" xfId="14" xr:uid="{024CD5A0-E6E0-4BF5-B5EE-10345F6D9969}"/>
    <cellStyle name="Normal" xfId="0" builtinId="0"/>
    <cellStyle name="Normal 2" xfId="1" xr:uid="{15FA253E-F2A7-A947-9B49-7765AC758DA7}"/>
    <cellStyle name="Normal 2 2" xfId="7" xr:uid="{EA95E284-6E8F-3949-BDC9-66106843A64F}"/>
    <cellStyle name="Normal 2 2 2" xfId="11" xr:uid="{FC4277DF-C4D1-8943-9208-61495982C437}"/>
    <cellStyle name="Normal 2 3" xfId="2" xr:uid="{8E3231A1-ABF6-F144-AC8C-662850A37A93}"/>
    <cellStyle name="Normal 2 3 2" xfId="6" xr:uid="{C26DE266-09F9-9747-854C-52FD38A1F8D9}"/>
    <cellStyle name="Normal 2 3 3" xfId="10" xr:uid="{7EF1037E-D61B-8640-8888-10EC3356B01D}"/>
    <cellStyle name="Normal 2 3 4" xfId="16" xr:uid="{90B32DF4-A9E7-D444-9C68-7B04447D6F0B}"/>
    <cellStyle name="Normal 2 4" xfId="9" xr:uid="{6ADBC68A-C2D2-2743-9FC2-4FADB5301215}"/>
    <cellStyle name="Normal 2 5" xfId="15" xr:uid="{978EADCD-2366-9F46-817D-22F90B487135}"/>
    <cellStyle name="Normal 3" xfId="4" xr:uid="{7A000C4C-D8D4-034A-85EB-C1A591FFD7F8}"/>
    <cellStyle name="Normal 4" xfId="3" xr:uid="{491BDDC4-A378-0843-85DE-DEF212027879}"/>
    <cellStyle name="Normal 4 2 2" xfId="13" xr:uid="{A7BC66BA-BDE5-4F5B-A59C-67B652BD03BA}"/>
    <cellStyle name="Normal 5 2 2" xfId="12" xr:uid="{8AA54B8A-7594-4B75-B20E-031AAD017B85}"/>
    <cellStyle name="Normal 8" xfId="5" xr:uid="{6951088C-9001-6942-B391-39481BE3F8BC}"/>
    <cellStyle name="Percent" xfId="8" builtinId="5"/>
  </cellStyles>
  <dxfs count="257">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wrapText="1"/>
    </dxf>
    <dxf>
      <alignment horizontal="left"/>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fill>
        <patternFill patternType="solid">
          <bgColor rgb="FFFFC000"/>
        </patternFill>
      </fill>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'By Function'!$L$123</c:f>
              <c:strCache>
                <c:ptCount val="1"/>
                <c:pt idx="0">
                  <c:v>Communications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Function'!$M$123:$Q$123</c:f>
              <c:numCache>
                <c:formatCode>General</c:formatCode>
                <c:ptCount val="5"/>
                <c:pt idx="1">
                  <c:v>1</c:v>
                </c:pt>
                <c:pt idx="2">
                  <c:v>1</c:v>
                </c:pt>
              </c:numCache>
            </c:numRef>
          </c:val>
          <c:extLst>
            <c:ext xmlns:c16="http://schemas.microsoft.com/office/drawing/2014/chart" uri="{C3380CC4-5D6E-409C-BE32-E72D297353CC}">
              <c16:uniqueId val="{00000000-AA8D-234C-818A-B7A9C277A703}"/>
            </c:ext>
          </c:extLst>
        </c:ser>
        <c:ser>
          <c:idx val="1"/>
          <c:order val="1"/>
          <c:tx>
            <c:strRef>
              <c:f>'By Function'!$L$124</c:f>
              <c:strCache>
                <c:ptCount val="1"/>
                <c:pt idx="0">
                  <c:v>Development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Function'!$M$124:$Q$124</c:f>
              <c:numCache>
                <c:formatCode>General</c:formatCode>
                <c:ptCount val="5"/>
                <c:pt idx="0">
                  <c:v>11</c:v>
                </c:pt>
                <c:pt idx="1">
                  <c:v>17</c:v>
                </c:pt>
                <c:pt idx="2">
                  <c:v>7</c:v>
                </c:pt>
                <c:pt idx="3">
                  <c:v>8</c:v>
                </c:pt>
                <c:pt idx="4">
                  <c:v>3</c:v>
                </c:pt>
              </c:numCache>
            </c:numRef>
          </c:val>
          <c:extLst>
            <c:ext xmlns:c16="http://schemas.microsoft.com/office/drawing/2014/chart" uri="{C3380CC4-5D6E-409C-BE32-E72D297353CC}">
              <c16:uniqueId val="{00000001-AA8D-234C-818A-B7A9C277A703}"/>
            </c:ext>
          </c:extLst>
        </c:ser>
        <c:ser>
          <c:idx val="2"/>
          <c:order val="2"/>
          <c:tx>
            <c:strRef>
              <c:f>'By Function'!$L$125</c:f>
              <c:strCache>
                <c:ptCount val="1"/>
                <c:pt idx="0">
                  <c:v>Legal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Function'!$M$125:$Q$125</c:f>
              <c:numCache>
                <c:formatCode>General</c:formatCode>
                <c:ptCount val="5"/>
                <c:pt idx="0">
                  <c:v>2</c:v>
                </c:pt>
                <c:pt idx="1">
                  <c:v>2</c:v>
                </c:pt>
                <c:pt idx="2">
                  <c:v>1</c:v>
                </c:pt>
                <c:pt idx="3">
                  <c:v>3</c:v>
                </c:pt>
              </c:numCache>
            </c:numRef>
          </c:val>
          <c:extLst>
            <c:ext xmlns:c16="http://schemas.microsoft.com/office/drawing/2014/chart" uri="{C3380CC4-5D6E-409C-BE32-E72D297353CC}">
              <c16:uniqueId val="{00000002-AA8D-234C-818A-B7A9C277A703}"/>
            </c:ext>
          </c:extLst>
        </c:ser>
        <c:ser>
          <c:idx val="3"/>
          <c:order val="3"/>
          <c:tx>
            <c:strRef>
              <c:f>'By Function'!$L$126</c:f>
              <c:strCache>
                <c:ptCount val="1"/>
                <c:pt idx="0">
                  <c:v>Office of CFO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Function'!$M$126:$Q$126</c:f>
              <c:numCache>
                <c:formatCode>General</c:formatCode>
                <c:ptCount val="5"/>
                <c:pt idx="0">
                  <c:v>4</c:v>
                </c:pt>
                <c:pt idx="1">
                  <c:v>5</c:v>
                </c:pt>
                <c:pt idx="2">
                  <c:v>2</c:v>
                </c:pt>
                <c:pt idx="3">
                  <c:v>1</c:v>
                </c:pt>
                <c:pt idx="4">
                  <c:v>1</c:v>
                </c:pt>
              </c:numCache>
            </c:numRef>
          </c:val>
          <c:extLst>
            <c:ext xmlns:c16="http://schemas.microsoft.com/office/drawing/2014/chart" uri="{C3380CC4-5D6E-409C-BE32-E72D297353CC}">
              <c16:uniqueId val="{00000003-AA8D-234C-818A-B7A9C277A703}"/>
            </c:ext>
          </c:extLst>
        </c:ser>
        <c:ser>
          <c:idx val="4"/>
          <c:order val="4"/>
          <c:tx>
            <c:strRef>
              <c:f>'By Function'!$L$127</c:f>
              <c:strCache>
                <c:ptCount val="1"/>
                <c:pt idx="0">
                  <c:v>Office of CSO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Function'!$M$127:$Q$127</c:f>
              <c:numCache>
                <c:formatCode>General</c:formatCode>
                <c:ptCount val="5"/>
                <c:pt idx="0">
                  <c:v>4</c:v>
                </c:pt>
                <c:pt idx="1">
                  <c:v>3</c:v>
                </c:pt>
                <c:pt idx="2">
                  <c:v>4</c:v>
                </c:pt>
                <c:pt idx="3">
                  <c:v>3</c:v>
                </c:pt>
                <c:pt idx="4">
                  <c:v>1</c:v>
                </c:pt>
              </c:numCache>
            </c:numRef>
          </c:val>
          <c:extLst>
            <c:ext xmlns:c16="http://schemas.microsoft.com/office/drawing/2014/chart" uri="{C3380CC4-5D6E-409C-BE32-E72D297353CC}">
              <c16:uniqueId val="{00000004-AA8D-234C-818A-B7A9C277A703}"/>
            </c:ext>
          </c:extLst>
        </c:ser>
        <c:ser>
          <c:idx val="7"/>
          <c:order val="5"/>
          <c:tx>
            <c:strRef>
              <c:f>'By Function'!$L$128</c:f>
              <c:strCache>
                <c:ptCount val="1"/>
                <c:pt idx="0">
                  <c:v>P&amp;C</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Function'!$M$128:$Q$128</c:f>
              <c:numCache>
                <c:formatCode>General</c:formatCode>
                <c:ptCount val="5"/>
                <c:pt idx="0">
                  <c:v>2</c:v>
                </c:pt>
                <c:pt idx="1">
                  <c:v>1</c:v>
                </c:pt>
              </c:numCache>
            </c:numRef>
          </c:val>
          <c:extLst>
            <c:ext xmlns:c16="http://schemas.microsoft.com/office/drawing/2014/chart" uri="{C3380CC4-5D6E-409C-BE32-E72D297353CC}">
              <c16:uniqueId val="{00000019-AA8D-234C-818A-B7A9C277A703}"/>
            </c:ext>
          </c:extLst>
        </c:ser>
        <c:ser>
          <c:idx val="5"/>
          <c:order val="6"/>
          <c:tx>
            <c:strRef>
              <c:f>'By Function'!$L$129</c:f>
              <c:strCache>
                <c:ptCount val="1"/>
                <c:pt idx="0">
                  <c:v>Quality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Function'!$M$129:$Q$129</c:f>
              <c:numCache>
                <c:formatCode>General</c:formatCode>
                <c:ptCount val="5"/>
                <c:pt idx="0">
                  <c:v>1</c:v>
                </c:pt>
                <c:pt idx="2">
                  <c:v>2</c:v>
                </c:pt>
                <c:pt idx="3">
                  <c:v>1</c:v>
                </c:pt>
              </c:numCache>
            </c:numRef>
          </c:val>
          <c:extLst>
            <c:ext xmlns:c16="http://schemas.microsoft.com/office/drawing/2014/chart" uri="{C3380CC4-5D6E-409C-BE32-E72D297353CC}">
              <c16:uniqueId val="{00000020-AA8D-234C-818A-B7A9C277A703}"/>
            </c:ext>
          </c:extLst>
        </c:ser>
        <c:ser>
          <c:idx val="8"/>
          <c:order val="7"/>
          <c:tx>
            <c:strRef>
              <c:f>'By Function'!$L$130</c:f>
              <c:strCache>
                <c:ptCount val="1"/>
                <c:pt idx="0">
                  <c:v>Research</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Function'!$M$130:$Q$130</c:f>
              <c:numCache>
                <c:formatCode>General</c:formatCode>
                <c:ptCount val="5"/>
                <c:pt idx="0">
                  <c:v>4</c:v>
                </c:pt>
                <c:pt idx="1">
                  <c:v>3</c:v>
                </c:pt>
                <c:pt idx="3">
                  <c:v>1</c:v>
                </c:pt>
                <c:pt idx="4">
                  <c:v>1</c:v>
                </c:pt>
              </c:numCache>
            </c:numRef>
          </c:val>
          <c:extLst>
            <c:ext xmlns:c16="http://schemas.microsoft.com/office/drawing/2014/chart" uri="{C3380CC4-5D6E-409C-BE32-E72D297353CC}">
              <c16:uniqueId val="{00000022-AA8D-234C-818A-B7A9C277A703}"/>
            </c:ext>
          </c:extLst>
        </c:ser>
        <c:ser>
          <c:idx val="9"/>
          <c:order val="8"/>
          <c:tx>
            <c:strRef>
              <c:f>'By Function'!$L$131</c:f>
              <c:strCache>
                <c:ptCount val="1"/>
                <c:pt idx="0">
                  <c:v>Tech Ops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Function'!$M$131:$Q$131</c:f>
              <c:numCache>
                <c:formatCode>General</c:formatCode>
                <c:ptCount val="5"/>
                <c:pt idx="0">
                  <c:v>3</c:v>
                </c:pt>
                <c:pt idx="1">
                  <c:v>4</c:v>
                </c:pt>
                <c:pt idx="2">
                  <c:v>3</c:v>
                </c:pt>
                <c:pt idx="3">
                  <c:v>5</c:v>
                </c:pt>
                <c:pt idx="4">
                  <c:v>2</c:v>
                </c:pt>
              </c:numCache>
            </c:numRef>
          </c:val>
          <c:extLst>
            <c:ext xmlns:c16="http://schemas.microsoft.com/office/drawing/2014/chart" uri="{C3380CC4-5D6E-409C-BE32-E72D297353CC}">
              <c16:uniqueId val="{00000023-AA8D-234C-818A-B7A9C277A703}"/>
            </c:ext>
          </c:extLst>
        </c:ser>
        <c:dLbls>
          <c:showLegendKey val="0"/>
          <c:showVal val="0"/>
          <c:showCatName val="0"/>
          <c:showSerName val="0"/>
          <c:showPercent val="0"/>
          <c:showBubbleSize val="0"/>
        </c:dLbls>
        <c:gapWidth val="219"/>
        <c:overlap val="-27"/>
        <c:axId val="643210351"/>
        <c:axId val="643218927"/>
      </c:barChart>
      <c:lineChart>
        <c:grouping val="standard"/>
        <c:varyColors val="0"/>
        <c:ser>
          <c:idx val="11"/>
          <c:order val="9"/>
          <c:tx>
            <c:strRef>
              <c:f>'By Function'!$L$133</c:f>
              <c:strCache>
                <c:ptCount val="1"/>
                <c:pt idx="0">
                  <c:v>% of HC Target</c:v>
                </c:pt>
              </c:strCache>
            </c:strRef>
          </c:tx>
          <c:spPr>
            <a:ln w="28575" cap="rnd">
              <a:solidFill>
                <a:schemeClr val="accent6">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Function'!$M$133:$Q$133</c:f>
              <c:numCache>
                <c:formatCode>0%</c:formatCode>
                <c:ptCount val="5"/>
                <c:pt idx="0">
                  <c:v>0.26495726495726496</c:v>
                </c:pt>
                <c:pt idx="1">
                  <c:v>0.30769230769230771</c:v>
                </c:pt>
                <c:pt idx="2">
                  <c:v>0.17094017094017094</c:v>
                </c:pt>
                <c:pt idx="3">
                  <c:v>0.18803418803418803</c:v>
                </c:pt>
                <c:pt idx="4">
                  <c:v>6.8376068376068383E-2</c:v>
                </c:pt>
              </c:numCache>
            </c:numRef>
          </c:val>
          <c:smooth val="1"/>
          <c:extLst>
            <c:ext xmlns:c16="http://schemas.microsoft.com/office/drawing/2014/chart" uri="{C3380CC4-5D6E-409C-BE32-E72D297353CC}">
              <c16:uniqueId val="{00000025-AA8D-234C-818A-B7A9C277A703}"/>
            </c:ext>
          </c:extLst>
        </c:ser>
        <c:dLbls>
          <c:showLegendKey val="0"/>
          <c:showVal val="0"/>
          <c:showCatName val="0"/>
          <c:showSerName val="0"/>
          <c:showPercent val="0"/>
          <c:showBubbleSize val="0"/>
        </c:dLbls>
        <c:marker val="1"/>
        <c:smooth val="0"/>
        <c:axId val="1608902848"/>
        <c:axId val="1900259328"/>
      </c:lineChart>
      <c:catAx>
        <c:axId val="643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3218927"/>
        <c:crosses val="autoZero"/>
        <c:auto val="1"/>
        <c:lblAlgn val="ctr"/>
        <c:lblOffset val="100"/>
        <c:noMultiLvlLbl val="0"/>
      </c:catAx>
      <c:valAx>
        <c:axId val="64321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3210351"/>
        <c:crosses val="autoZero"/>
        <c:crossBetween val="between"/>
      </c:valAx>
      <c:valAx>
        <c:axId val="19002593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08902848"/>
        <c:crosses val="max"/>
        <c:crossBetween val="between"/>
      </c:valAx>
      <c:catAx>
        <c:axId val="1608902848"/>
        <c:scaling>
          <c:orientation val="minMax"/>
        </c:scaling>
        <c:delete val="1"/>
        <c:axPos val="b"/>
        <c:numFmt formatCode="General" sourceLinked="1"/>
        <c:majorTickMark val="out"/>
        <c:minorTickMark val="none"/>
        <c:tickLblPos val="nextTo"/>
        <c:crossAx val="19002593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Growth</a:t>
            </a:r>
            <a:r>
              <a:rPr lang="en-US" sz="1600" b="1" baseline="0"/>
              <a:t> by Level</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'Other Metrics'!$R$50</c:f>
              <c:strCache>
                <c:ptCount val="1"/>
                <c:pt idx="0">
                  <c:v>2025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Metrics'!$R$51:$R$54</c:f>
              <c:numCache>
                <c:formatCode>General</c:formatCode>
                <c:ptCount val="4"/>
                <c:pt idx="0">
                  <c:v>8</c:v>
                </c:pt>
                <c:pt idx="1">
                  <c:v>18</c:v>
                </c:pt>
                <c:pt idx="2">
                  <c:v>69</c:v>
                </c:pt>
                <c:pt idx="3">
                  <c:v>44</c:v>
                </c:pt>
              </c:numCache>
            </c:numRef>
          </c:val>
          <c:extLst>
            <c:ext xmlns:c16="http://schemas.microsoft.com/office/drawing/2014/chart" uri="{C3380CC4-5D6E-409C-BE32-E72D297353CC}">
              <c16:uniqueId val="{00000000-C31E-C247-B01F-5D240395BBC8}"/>
            </c:ext>
          </c:extLst>
        </c:ser>
        <c:ser>
          <c:idx val="1"/>
          <c:order val="1"/>
          <c:tx>
            <c:strRef>
              <c:f>'Other Metrics'!$S$50</c:f>
              <c:strCache>
                <c:ptCount val="1"/>
                <c:pt idx="0">
                  <c:v>2026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Metrics'!$S$51:$S$54</c:f>
              <c:numCache>
                <c:formatCode>General</c:formatCode>
                <c:ptCount val="4"/>
                <c:pt idx="0">
                  <c:v>9</c:v>
                </c:pt>
                <c:pt idx="1">
                  <c:v>35</c:v>
                </c:pt>
                <c:pt idx="2">
                  <c:v>137</c:v>
                </c:pt>
                <c:pt idx="3">
                  <c:v>74</c:v>
                </c:pt>
              </c:numCache>
            </c:numRef>
          </c:val>
          <c:extLst>
            <c:ext xmlns:c16="http://schemas.microsoft.com/office/drawing/2014/chart" uri="{C3380CC4-5D6E-409C-BE32-E72D297353CC}">
              <c16:uniqueId val="{00000001-C31E-C247-B01F-5D240395BBC8}"/>
            </c:ext>
          </c:extLst>
        </c:ser>
        <c:dLbls>
          <c:showLegendKey val="0"/>
          <c:showVal val="0"/>
          <c:showCatName val="0"/>
          <c:showSerName val="0"/>
          <c:showPercent val="0"/>
          <c:showBubbleSize val="0"/>
        </c:dLbls>
        <c:gapWidth val="219"/>
        <c:overlap val="-27"/>
        <c:axId val="1665374208"/>
        <c:axId val="1053531440"/>
      </c:barChart>
      <c:lineChart>
        <c:grouping val="standard"/>
        <c:varyColors val="0"/>
        <c:ser>
          <c:idx val="2"/>
          <c:order val="2"/>
          <c:tx>
            <c:strRef>
              <c:f>'Other Metrics'!$T$50</c:f>
              <c:strCache>
                <c:ptCount val="1"/>
                <c:pt idx="0">
                  <c:v>% Y-over-Y Growth</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Metrics'!$T$51:$T$54</c:f>
              <c:numCache>
                <c:formatCode>0%</c:formatCode>
                <c:ptCount val="4"/>
                <c:pt idx="0">
                  <c:v>0.125</c:v>
                </c:pt>
                <c:pt idx="1">
                  <c:v>0.94444444444444442</c:v>
                </c:pt>
                <c:pt idx="2">
                  <c:v>0.98550724637681164</c:v>
                </c:pt>
                <c:pt idx="3">
                  <c:v>0.68181818181818177</c:v>
                </c:pt>
              </c:numCache>
            </c:numRef>
          </c:val>
          <c:smooth val="1"/>
          <c:extLst>
            <c:ext xmlns:c16="http://schemas.microsoft.com/office/drawing/2014/chart" uri="{C3380CC4-5D6E-409C-BE32-E72D297353CC}">
              <c16:uniqueId val="{00000002-C31E-C247-B01F-5D240395BBC8}"/>
            </c:ext>
          </c:extLst>
        </c:ser>
        <c:dLbls>
          <c:showLegendKey val="0"/>
          <c:showVal val="0"/>
          <c:showCatName val="0"/>
          <c:showSerName val="0"/>
          <c:showPercent val="0"/>
          <c:showBubbleSize val="0"/>
        </c:dLbls>
        <c:marker val="1"/>
        <c:smooth val="0"/>
        <c:axId val="1055616592"/>
        <c:axId val="1737206992"/>
      </c:lineChart>
      <c:catAx>
        <c:axId val="166537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3531440"/>
        <c:crosses val="autoZero"/>
        <c:auto val="1"/>
        <c:lblAlgn val="ctr"/>
        <c:lblOffset val="100"/>
        <c:noMultiLvlLbl val="0"/>
      </c:catAx>
      <c:valAx>
        <c:axId val="105353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65374208"/>
        <c:crosses val="autoZero"/>
        <c:crossBetween val="between"/>
      </c:valAx>
      <c:valAx>
        <c:axId val="17372069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16592"/>
        <c:crosses val="max"/>
        <c:crossBetween val="between"/>
      </c:valAx>
      <c:catAx>
        <c:axId val="1055616592"/>
        <c:scaling>
          <c:orientation val="minMax"/>
        </c:scaling>
        <c:delete val="1"/>
        <c:axPos val="b"/>
        <c:numFmt formatCode="General" sourceLinked="1"/>
        <c:majorTickMark val="out"/>
        <c:minorTickMark val="none"/>
        <c:tickLblPos val="nextTo"/>
        <c:crossAx val="17372069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t>Quarter over Quarter Growth 2024-2026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'Copy to Pres'!$A$150</c:f>
              <c:strCache>
                <c:ptCount val="1"/>
                <c:pt idx="0">
                  <c:v>2024</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Pres'!$B$150:$E$150</c:f>
              <c:numCache>
                <c:formatCode>General</c:formatCode>
                <c:ptCount val="4"/>
                <c:pt idx="0">
                  <c:v>6</c:v>
                </c:pt>
                <c:pt idx="1">
                  <c:v>14</c:v>
                </c:pt>
                <c:pt idx="2">
                  <c:v>37</c:v>
                </c:pt>
                <c:pt idx="3">
                  <c:v>52</c:v>
                </c:pt>
              </c:numCache>
            </c:numRef>
          </c:val>
          <c:extLst>
            <c:ext xmlns:c16="http://schemas.microsoft.com/office/drawing/2014/chart" uri="{C3380CC4-5D6E-409C-BE32-E72D297353CC}">
              <c16:uniqueId val="{00000000-EA0C-9B4F-850A-90513D40E20A}"/>
            </c:ext>
          </c:extLst>
        </c:ser>
        <c:ser>
          <c:idx val="1"/>
          <c:order val="1"/>
          <c:tx>
            <c:strRef>
              <c:f>'Copy to Pres'!$A$151</c:f>
              <c:strCache>
                <c:ptCount val="1"/>
                <c:pt idx="0">
                  <c:v>2025*</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Pres'!$B$151:$E$151</c:f>
              <c:numCache>
                <c:formatCode>General</c:formatCode>
                <c:ptCount val="4"/>
                <c:pt idx="0">
                  <c:v>90</c:v>
                </c:pt>
                <c:pt idx="1">
                  <c:v>115</c:v>
                </c:pt>
                <c:pt idx="2">
                  <c:v>136</c:v>
                </c:pt>
                <c:pt idx="3">
                  <c:v>149</c:v>
                </c:pt>
              </c:numCache>
            </c:numRef>
          </c:val>
          <c:extLst>
            <c:ext xmlns:c16="http://schemas.microsoft.com/office/drawing/2014/chart" uri="{C3380CC4-5D6E-409C-BE32-E72D297353CC}">
              <c16:uniqueId val="{00000001-EA0C-9B4F-850A-90513D40E20A}"/>
            </c:ext>
          </c:extLst>
        </c:ser>
        <c:ser>
          <c:idx val="2"/>
          <c:order val="2"/>
          <c:tx>
            <c:strRef>
              <c:f>'Copy to Pres'!$A$152</c:f>
              <c:strCache>
                <c:ptCount val="1"/>
                <c:pt idx="0">
                  <c:v>2026</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Pres'!$B$152:$E$152</c:f>
              <c:numCache>
                <c:formatCode>General</c:formatCode>
                <c:ptCount val="4"/>
                <c:pt idx="0">
                  <c:v>204</c:v>
                </c:pt>
                <c:pt idx="1">
                  <c:v>219</c:v>
                </c:pt>
                <c:pt idx="2">
                  <c:v>247</c:v>
                </c:pt>
                <c:pt idx="3">
                  <c:v>255</c:v>
                </c:pt>
              </c:numCache>
            </c:numRef>
          </c:val>
          <c:extLst>
            <c:ext xmlns:c16="http://schemas.microsoft.com/office/drawing/2014/chart" uri="{C3380CC4-5D6E-409C-BE32-E72D297353CC}">
              <c16:uniqueId val="{00000002-EA0C-9B4F-850A-90513D40E20A}"/>
            </c:ext>
          </c:extLst>
        </c:ser>
        <c:dLbls>
          <c:showLegendKey val="0"/>
          <c:showVal val="0"/>
          <c:showCatName val="0"/>
          <c:showSerName val="0"/>
          <c:showPercent val="0"/>
          <c:showBubbleSize val="0"/>
        </c:dLbls>
        <c:gapWidth val="219"/>
        <c:overlap val="-27"/>
        <c:axId val="793278047"/>
        <c:axId val="792297375"/>
      </c:barChart>
      <c:lineChart>
        <c:grouping val="standard"/>
        <c:varyColors val="0"/>
        <c:ser>
          <c:idx val="3"/>
          <c:order val="3"/>
          <c:tx>
            <c:strRef>
              <c:f>'Copy to Pres'!$A$153</c:f>
              <c:strCache>
                <c:ptCount val="1"/>
                <c:pt idx="0">
                  <c:v>2026 Hiring Plan</c:v>
                </c:pt>
              </c:strCache>
            </c:strRef>
          </c:tx>
          <c:spPr>
            <a:ln w="28575" cap="rnd">
              <a:solidFill>
                <a:schemeClr val="accent4"/>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0C-9B4F-850A-90513D40E20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0C-9B4F-850A-90513D40E20A}"/>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0C-9B4F-850A-90513D40E20A}"/>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0C-9B4F-850A-90513D40E20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Pres'!$B$153:$E$153</c:f>
              <c:numCache>
                <c:formatCode>General</c:formatCode>
                <c:ptCount val="4"/>
                <c:pt idx="0">
                  <c:v>55</c:v>
                </c:pt>
                <c:pt idx="1">
                  <c:v>15</c:v>
                </c:pt>
                <c:pt idx="2">
                  <c:v>28</c:v>
                </c:pt>
                <c:pt idx="3">
                  <c:v>8</c:v>
                </c:pt>
              </c:numCache>
            </c:numRef>
          </c:val>
          <c:smooth val="1"/>
          <c:extLst>
            <c:ext xmlns:c16="http://schemas.microsoft.com/office/drawing/2014/chart" uri="{C3380CC4-5D6E-409C-BE32-E72D297353CC}">
              <c16:uniqueId val="{00000003-EA0C-9B4F-850A-90513D40E20A}"/>
            </c:ext>
          </c:extLst>
        </c:ser>
        <c:dLbls>
          <c:showLegendKey val="0"/>
          <c:showVal val="0"/>
          <c:showCatName val="0"/>
          <c:showSerName val="0"/>
          <c:showPercent val="0"/>
          <c:showBubbleSize val="0"/>
        </c:dLbls>
        <c:marker val="1"/>
        <c:smooth val="0"/>
        <c:axId val="818230607"/>
        <c:axId val="818371999"/>
      </c:lineChart>
      <c:catAx>
        <c:axId val="79327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2297375"/>
        <c:crosses val="autoZero"/>
        <c:auto val="1"/>
        <c:lblAlgn val="ctr"/>
        <c:lblOffset val="100"/>
        <c:noMultiLvlLbl val="0"/>
      </c:catAx>
      <c:valAx>
        <c:axId val="79229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3278047"/>
        <c:crosses val="autoZero"/>
        <c:crossBetween val="between"/>
      </c:valAx>
      <c:valAx>
        <c:axId val="818371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18230607"/>
        <c:crosses val="max"/>
        <c:crossBetween val="between"/>
      </c:valAx>
      <c:catAx>
        <c:axId val="818230607"/>
        <c:scaling>
          <c:orientation val="minMax"/>
        </c:scaling>
        <c:delete val="1"/>
        <c:axPos val="b"/>
        <c:numFmt formatCode="General" sourceLinked="1"/>
        <c:majorTickMark val="out"/>
        <c:minorTickMark val="none"/>
        <c:tickLblPos val="nextTo"/>
        <c:crossAx val="8183719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6350</xdr:colOff>
      <xdr:row>135</xdr:row>
      <xdr:rowOff>25400</xdr:rowOff>
    </xdr:from>
    <xdr:to>
      <xdr:col>21</xdr:col>
      <xdr:colOff>50800</xdr:colOff>
      <xdr:row>159</xdr:row>
      <xdr:rowOff>177800</xdr:rowOff>
    </xdr:to>
    <xdr:graphicFrame macro="">
      <xdr:nvGraphicFramePr>
        <xdr:cNvPr id="3" name="Chart 2">
          <a:extLst>
            <a:ext uri="{FF2B5EF4-FFF2-40B4-BE49-F238E27FC236}">
              <a16:creationId xmlns:a16="http://schemas.microsoft.com/office/drawing/2014/main" id="{12D23B83-1C5A-36E7-9FEC-5C35D14B3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15586</xdr:colOff>
      <xdr:row>48</xdr:row>
      <xdr:rowOff>185882</xdr:rowOff>
    </xdr:from>
    <xdr:to>
      <xdr:col>36</xdr:col>
      <xdr:colOff>548409</xdr:colOff>
      <xdr:row>65</xdr:row>
      <xdr:rowOff>161636</xdr:rowOff>
    </xdr:to>
    <xdr:graphicFrame macro="">
      <xdr:nvGraphicFramePr>
        <xdr:cNvPr id="2" name="Chart 1">
          <a:extLst>
            <a:ext uri="{FF2B5EF4-FFF2-40B4-BE49-F238E27FC236}">
              <a16:creationId xmlns:a16="http://schemas.microsoft.com/office/drawing/2014/main" id="{585DB48D-4AE3-FA4B-3039-FC3BC4883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10261</xdr:colOff>
      <xdr:row>156</xdr:row>
      <xdr:rowOff>1027</xdr:rowOff>
    </xdr:from>
    <xdr:to>
      <xdr:col>21</xdr:col>
      <xdr:colOff>641414</xdr:colOff>
      <xdr:row>175</xdr:row>
      <xdr:rowOff>192425</xdr:rowOff>
    </xdr:to>
    <xdr:graphicFrame macro="">
      <xdr:nvGraphicFramePr>
        <xdr:cNvPr id="2" name="Chart 1">
          <a:extLst>
            <a:ext uri="{FF2B5EF4-FFF2-40B4-BE49-F238E27FC236}">
              <a16:creationId xmlns:a16="http://schemas.microsoft.com/office/drawing/2014/main" id="{1EE1CC6F-475F-8E31-FAA0-78DDF02E6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aneJI/Downloads/ALG3/GC/RNK/OPS/98/MONTH/DPP.XLS" TargetMode="External"/><Relationship Id="rId1" Type="http://schemas.openxmlformats.org/officeDocument/2006/relationships/externalLinkPath" Target="/Users/JaneJI/Downloads/ALG3/GC/RNK/OPS/98/MONTH/DPP.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JaneJI/Downloads/Rac/SYS/COMMON/3QTR97/LRF97/BKUP/RAC/EL_STLRF.XLS" TargetMode="External"/><Relationship Id="rId1" Type="http://schemas.openxmlformats.org/officeDocument/2006/relationships/externalLinkPath" Target="/Users/JaneJI/Downloads/Rac/SYS/COMMON/3QTR97/LRF97/BKUP/RAC/EL_STLRF.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tul%20Kashyap/AppData/Local/Microsoft/Windows/Temporary%20Internet%20Files/Content.Outlook/T1965N34/MISC/MISC/MIS/2002/MAR/OPR_MAR.XLS" TargetMode="External"/><Relationship Id="rId1" Type="http://schemas.openxmlformats.org/officeDocument/2006/relationships/externalLinkPath" Target="/Users/Atul%20Kashyap/AppData/Local/Microsoft/Windows/Temporary%20Internet%20Files/Content.Outlook/T1965N34/MISC/MISC/MIS/2002/MAR/OPR_MAR.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JaneJI/Downloads/KIMMCO/DATA/IYER/MIS/98/BP1998/OLD-BP98/MIS/97/OPR/10/OPR-OCT.XLS" TargetMode="External"/><Relationship Id="rId1" Type="http://schemas.openxmlformats.org/officeDocument/2006/relationships/externalLinkPath" Target="/Users/JaneJI/Downloads/KIMMCO/DATA/IYER/MIS/98/BP1998/OLD-BP98/MIS/97/OPR/10/OPR-OCT.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Atul%20Kashyap/AppData/Local/Microsoft/Windows/Temporary%20Internet%20Files/Content.Outlook/T1965N34/JUDY/GRAPHUSD.XLS" TargetMode="External"/><Relationship Id="rId1" Type="http://schemas.openxmlformats.org/officeDocument/2006/relationships/externalLinkPath" Target="/Users/Atul%20Kashyap/AppData/Local/Microsoft/Windows/Temporary%20Internet%20Files/Content.Outlook/T1965N34/JUDY/GRAPHUSD.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JaneJI/Downloads/Srv2/GC/WEEKLY/1999/OCT05.XLS" TargetMode="External"/><Relationship Id="rId1" Type="http://schemas.openxmlformats.org/officeDocument/2006/relationships/externalLinkPath" Target="/Users/JaneJI/Downloads/Srv2/GC/WEEKLY/1999/OCT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My97form.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banking/Kaye/Rose/Comps/Factset%20Comps%20v3.xls" TargetMode="External"/><Relationship Id="rId1" Type="http://schemas.openxmlformats.org/officeDocument/2006/relationships/externalLinkPath" Target="/Users/banking/Kaye/Rose/Comps/Factset%20Comps%20v3.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Users/JaneJI/Downloads/SRV3/GTRC/CLEMENT/MYR98/CLEMENT/AIBP98/BP98FORM.XLS" TargetMode="External"/><Relationship Id="rId1" Type="http://schemas.openxmlformats.org/officeDocument/2006/relationships/externalLinkPath" Target="/Users/JaneJI/Downloads/SRV3/GTRC/CLEMENT/MYR98/CLEMENT/AIBP98/BP98FORM.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Sanf_gen_01/sys2/Shared/Audit/Hedge/Hedgefund%20Server/Sung/Chin/Daedalus,%20L.P/My%20Documents/Hedgefund/Pentangle%20Partners/12-31-96%20disk/Audit/'1996%20allocations.xls" TargetMode="External"/><Relationship Id="rId1" Type="http://schemas.openxmlformats.org/officeDocument/2006/relationships/externalLinkPath" Target="/Sanf_gen_01/sys2/Shared/Audit/Hedge/Hedgefund%20Server/Sung/Chin/Daedalus,%20L.P/My%20Documents/Hedgefund/Pentangle%20Partners/12-31-96%20disk/Audit/'1996%20allocations.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ummary.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netorgft13740258-my.sharepoint.com/personal/brianne108_encardatx_com/Documents/Desktop/TEMP%20Files/Kardigan_Equity_Spend_Model_013125v3.xlsx" TargetMode="External"/><Relationship Id="rId1" Type="http://schemas.openxmlformats.org/officeDocument/2006/relationships/externalLinkPath" Target="https://netorgft13740258-my.sharepoint.com/personal/brianne108_encardatx_com/Documents/Desktop/TEMP%20Files/Kardigan_Equity_Spend_Model_013125v3.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personal/brianne108_encardatx_com/Documents/Desktop/TEMP%20Files/Kardigan_Equity_Spend_Model_013125v3.xlsx" TargetMode="External"/><Relationship Id="rId2" Type="http://schemas.openxmlformats.org/officeDocument/2006/relationships/externalLinkPath" Target="https://netorgft13740258-my.sharepoint.com/personal/brianne108_encardatx_com/Documents/Desktop/TEMP%20Files/Kardigan_Equity_Spend_Model_013125v3.xlsx" TargetMode="External"/><Relationship Id="rId1" Type="http://schemas.openxmlformats.org/officeDocument/2006/relationships/externalLinkPath" Target="/personal/brianne108_encardatx_com/Documents/Desktop/TEMP%20Files/Kardigan_Equity_Spend_Model_013125v3.xlsx"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FS_01-2003.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Users/JaneJI/Downloads/NEW/TRS/JUDY/ROYAUD.XLS" TargetMode="External"/><Relationship Id="rId1" Type="http://schemas.openxmlformats.org/officeDocument/2006/relationships/externalLinkPath" Target="/Users/JaneJI/Downloads/NEW/TRS/JUDY/ROYAUD.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Users/lcabano/AppData/Local/Box/Box%20Edit/Documents/hAdY3LR3H0KvmCZb7wPYAQ==/00%20Hotpyp%20-%20July%202019%20Month-End%20Close.xlsx" TargetMode="External"/><Relationship Id="rId1" Type="http://schemas.openxmlformats.org/officeDocument/2006/relationships/externalLinkPath" Target="/Users/lcabano/AppData/Local/Box/Box%20Edit/Documents/hAdY3LR3H0KvmCZb7wPYAQ==/00%20Hotpyp%20-%20July%202019%20Month-End%20Close.xlsx"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2025%20WFP/2025%20WFP%20and%20Talent%20Radar.xlsx" TargetMode="External"/><Relationship Id="rId2" Type="http://schemas.openxmlformats.org/officeDocument/2006/relationships/externalLinkPath" Target="https://netorgft13740258.sharepoint.com/sites/WorkforcePlanning/Shared%20Documents/General/2025%20WFP/2025%20WFP%20and%20Talent%20Radar.xlsx" TargetMode="External"/><Relationship Id="rId1" Type="http://schemas.openxmlformats.org/officeDocument/2006/relationships/externalLinkPath" Target="/sites/WorkforcePlanning/Shared%20Documents/General/2025%20WFP/2025%20WFP%20and%20Talent%20Rada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My%20Documents/My97form.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JaneJI/Downloads/KIMMCO/DATA/IYER/MIS/98/BP1998/REV-BP98/MIS/97/OPR/10/OPR-OCT.XLS" TargetMode="External"/><Relationship Id="rId1" Type="http://schemas.openxmlformats.org/officeDocument/2006/relationships/externalLinkPath" Target="/Users/JaneJI/Downloads/KIMMCO/DATA/IYER/MIS/98/BP1998/REV-BP98/MIS/97/OPR/10/OPR-OCT.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shoutipharma-my.sharepoint.com/personal/susanna_kim_structuretx_com/Documents/Desktop/Radford%20Reference/2024-Radford_Survey_Data-Collection/WORKING-COPY_RADFORD_RMCD_Global_DataCollection_April-2024.xlsx" TargetMode="External"/><Relationship Id="rId1" Type="http://schemas.openxmlformats.org/officeDocument/2006/relationships/externalLinkPath" Target="https://shoutipharma-my.sharepoint.com/personal/susanna_kim_structuretx_com/Documents/Desktop/Radford%20Reference/2024-Radford_Survey_Data-Collection/WORKING-COPY_RADFORD_RMCD_Global_DataCollection_April-2024.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Users/Atul%20Kashyap/AppData/Local/Microsoft/Windows/Temporary%20Internet%20Files/Content.Outlook/T1965N34/AUDIT%2001-02/Dgp-2002.xls" TargetMode="External"/><Relationship Id="rId1" Type="http://schemas.openxmlformats.org/officeDocument/2006/relationships/externalLinkPath" Target="/Users/Atul%20Kashyap/AppData/Local/Microsoft/Windows/Temporary%20Internet%20Files/Content.Outlook/T1965N34/AUDIT%2001-02/Dgp-2002.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A538492/Desktop/Workspace/IFMR%20Capital/Valuation%20model/Project%20Plutus%20-%20Financial%20Model_updated_roa%20tree.xlsx" TargetMode="External"/><Relationship Id="rId1" Type="http://schemas.openxmlformats.org/officeDocument/2006/relationships/externalLinkPath" Target="/A538492/Desktop/Workspace/IFMR%20Capital/Valuation%20model/Project%20Plutus%20-%20Financial%20Model_updated_roa%20tree.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Users/JaneJI/Downloads/Srv2/GC/RNK/OPS/00/JAN/P/PARDIV.XLS" TargetMode="External"/><Relationship Id="rId1" Type="http://schemas.openxmlformats.org/officeDocument/2006/relationships/externalLinkPath" Target="/Users/JaneJI/Downloads/Srv2/GC/RNK/OPS/00/JAN/P/PARDIV.XLS"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FinanceAccountingTeam/Shared%20Documents/FP&amp;A/Budget%20&amp;%20Forecast/4.%202026%20Budget/3.%20Budget%20Templates/5.%20Final%20Templates%20(Sent%20to%20BPs)/Worksheet%20in%205641A%20Fixed%20Assets%20Consolidated" TargetMode="External"/><Relationship Id="rId2" Type="http://schemas.microsoft.com/office/2019/04/relationships/externalLinkLongPath" Target="/sites/FinanceAccountingTeam/Shared%20Documents/FP&amp;A/Budget%20&amp;%20Forecast/4.%202026%20Budget/3.%20Budget%20Templates/5.%20Final%20Templates%20(Sent%20to%20BPs)/Worksheet%20in%205641A%20Fixed%20Assets%20Consolidated?33696B30" TargetMode="External"/><Relationship Id="rId1" Type="http://schemas.openxmlformats.org/officeDocument/2006/relationships/externalLinkPath" Target="file:///33696B30/Worksheet%20in%205641A%20Fixed%20Assets%20Consolidate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Q:/VP-FIN-KT/Bud00ph%20(Rs)%20Mid%20revi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_P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P LINE"/>
      <sheetName val="DATA 91-98"/>
      <sheetName val="L_PM"/>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L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91-98"/>
      <sheetName val="PKH-Income"/>
      <sheetName val="SALE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D GRAPH"/>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3rd Qtr"/>
      <sheetName val="5th Qtr"/>
      <sheetName val="6th Qtr"/>
      <sheetName val="7th Qtr"/>
      <sheetName val="Exit Forecast"/>
      <sheetName val="2nd Qtr"/>
      <sheetName val="Rounded Input"/>
      <sheetName val="Lookups"/>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se Acre Farms Projections"/>
      <sheetName val="Factset Data"/>
      <sheetName val="Poultry Market Data"/>
      <sheetName val="Poultry Multiples"/>
      <sheetName val="Operating"/>
      <sheetName val="__APW_ACTIVE_FIELD_RESTORE__"/>
    </sheetNames>
    <sheetDataSet>
      <sheetData sheetId="0" refreshError="1"/>
      <sheetData sheetId="1">
        <row r="2">
          <cell r="B2" t="str">
            <v>($ in millions except per share data)</v>
          </cell>
        </row>
      </sheetData>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TD SAL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1DB"/>
      <sheetName val="line1"/>
      <sheetName val="line2"/>
      <sheetName val="chg-electec oem"/>
      <sheetName val="'1996 allocations"/>
      <sheetName val="FORECAST (AHK)"/>
      <sheetName val="OH"/>
      <sheetName val="SVB Warrant Amort 10-23-01"/>
      <sheetName val="Details"/>
      <sheetName val="Menu"/>
      <sheetName val="BD"/>
      <sheetName val="'1996_allocations"/>
      <sheetName val="chg-electec_oem"/>
      <sheetName val="FORECAST_(AHK)"/>
      <sheetName val="SVB_Warrant_Amort_10-23-01"/>
      <sheetName val="Bid Evaluation"/>
      <sheetName val="Inputs"/>
      <sheetName val="budget"/>
      <sheetName val="Price"/>
      <sheetName val="PriceSyn"/>
      <sheetName val="Cashfcst"/>
      <sheetName val="Projection Assumptions"/>
      <sheetName val="Key Analyst Data Actuak"/>
      <sheetName val="Financial"/>
      <sheetName val="SLP Returns"/>
      <sheetName val="20.04 SSA S210"/>
      <sheetName val="JS 08-09 Realized"/>
      <sheetName val="shtLookup"/>
      <sheetName val="Aug"/>
      <sheetName val="ORIGINAL INPUT"/>
      <sheetName val="Fees"/>
      <sheetName val="Control Download"/>
      <sheetName val="GL Links"/>
      <sheetName val="08-17"/>
      <sheetName val="Holdings TB Rec"/>
      <sheetName val="NAME"/>
      <sheetName val="Fund LP-S"/>
      <sheetName val="LTD"/>
      <sheetName val="Condition"/>
      <sheetName val="Fixed Data"/>
      <sheetName val="Sub_Reds"/>
      <sheetName val="Email"/>
      <sheetName val="CashFlows"/>
      <sheetName val="Consolidated Balance Sheet"/>
      <sheetName val="Analysis of Consol. Balances"/>
      <sheetName val="Consolidation Worksheet"/>
      <sheetName val="WILCO"/>
      <sheetName val="Prelim K1SUM"/>
      <sheetName val="BS"/>
      <sheetName val="Other"/>
      <sheetName val="LONG POSITIONS"/>
      <sheetName val="B.S."/>
      <sheetName val="Income mos"/>
      <sheetName val="Dev Capital"/>
      <sheetName val="Cashflow mos"/>
      <sheetName val="Mar05"/>
      <sheetName val="bal sheet"/>
      <sheetName val="BS &amp; I"/>
      <sheetName val="Sheet2"/>
      <sheetName val="24004A"/>
      <sheetName val="Variables"/>
      <sheetName val="Current 9-02"/>
      <sheetName val="chg-electec_oem1"/>
      <sheetName val="'1996_allocations1"/>
      <sheetName val="FORECAST_(AHK)1"/>
      <sheetName val="SVB_Warrant_Amort_10-23-011"/>
      <sheetName val="Bid_Evaluation"/>
      <sheetName val="Projection_Assumptions"/>
      <sheetName val="Key_Analyst_Data_Actuak"/>
      <sheetName val="SLP_Returns"/>
      <sheetName val="Current_9-02"/>
      <sheetName val="Mp-team 1"/>
      <sheetName val="Indonesia"/>
      <sheetName val="Jan 9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ONTH"/>
      <sheetName val="ISMONTH"/>
      <sheetName val="CASHMNTH"/>
      <sheetName val="Debt Amort"/>
      <sheetName val="prt_fs"/>
      <sheetName val="MDT Fins"/>
      <sheetName val="DFA"/>
      <sheetName val="00-020 General"/>
      <sheetName val="00-040 Book-to-Tax Rec-Net"/>
      <sheetName val="12-150 Moving Expenses Detail"/>
      <sheetName val="03-030 Fixed Assets"/>
      <sheetName val="Debt_Amort"/>
      <sheetName val="C01-General"/>
      <sheetName val="C02-Book to Tax - Net"/>
      <sheetName val="IS-CF"/>
      <sheetName val="Dept Exp by Scenario"/>
      <sheetName val="Working Cap"/>
      <sheetName val="BSchart"/>
      <sheetName val="CHARTS"/>
      <sheetName val="Debt_Amort1"/>
      <sheetName val="Summary fg rec"/>
      <sheetName val="Valuation"/>
      <sheetName val="Valuation2"/>
      <sheetName val="Operating"/>
      <sheetName val="Margins"/>
      <sheetName val="Growth"/>
      <sheetName val="Balance Sheet"/>
      <sheetName val="Tech Summary Market Data"/>
      <sheetName val="Tech Multiple Analysis"/>
      <sheetName val="Tech Operating Data"/>
      <sheetName val="Operating (2)"/>
      <sheetName val="Operating (3)"/>
      <sheetName val="Operating (4)"/>
      <sheetName val="Margins (2)"/>
      <sheetName val="Margins (3)"/>
      <sheetName val="Margins (4)"/>
      <sheetName val="Valuation2 (2)"/>
      <sheetName val="Valuation2 (3)"/>
      <sheetName val="Valuation2 (4)"/>
      <sheetName val="Valuation (2)"/>
      <sheetName val="Sheet1"/>
      <sheetName val="Valuation (3)"/>
      <sheetName val="CRYSTAL OPERATING"/>
      <sheetName val="NITROGEN OPERATING "/>
      <sheetName val="Comparable Traded Companies 99"/>
      <sheetName val="Model Assumptions"/>
      <sheetName val="Net Sales_Mnth"/>
      <sheetName val="Net Sales_YTD"/>
      <sheetName val="Div Contr_Mnth"/>
      <sheetName val="Div Contr_YTD"/>
      <sheetName val="WCT_Mnth"/>
      <sheetName val="WC Detail"/>
      <sheetName val="SRC"/>
      <sheetName val="INTRODUCTION"/>
      <sheetName val="A02 SAD"/>
      <sheetName val="YARDI Debt Abstract "/>
      <sheetName val="Debt Rollforward"/>
      <sheetName val="Sheet3"/>
      <sheetName val="2000-2010B"/>
      <sheetName val="2000 - 2010"/>
      <sheetName val="2008"/>
      <sheetName val="2009"/>
      <sheetName val="2010"/>
      <sheetName val="2000 TB"/>
      <sheetName val="2001 TB"/>
      <sheetName val="2002 TB"/>
      <sheetName val="2003 TB"/>
      <sheetName val="2004 TB"/>
      <sheetName val="2005 TB"/>
      <sheetName val="2006 TB"/>
      <sheetName val="2007 TB"/>
      <sheetName val="2008 TB"/>
      <sheetName val="2009 TB"/>
      <sheetName val="2010 TB"/>
      <sheetName val="Sheet2"/>
      <sheetName val="summary"/>
      <sheetName val="output"/>
      <sheetName val="NEW ISSUES"/>
      <sheetName val="other comps"/>
      <sheetName val="pubcomps"/>
      <sheetName val="overview"/>
      <sheetName val="overview - p2"/>
      <sheetName val="overview - p2a"/>
      <sheetName val="overview - p.3"/>
      <sheetName val="overview - p4"/>
      <sheetName val="sprofile"/>
      <sheetName val="overview - p6"/>
      <sheetName val="offerings"/>
      <sheetName val="Status Quo"/>
      <sheetName val="orgdata"/>
      <sheetName val="CompModel"/>
      <sheetName val="CanadianMKT2004"/>
      <sheetName val="Stock Data"/>
      <sheetName val="YTD - Consolidated"/>
      <sheetName val="Data"/>
      <sheetName val="Co. Inputs"/>
      <sheetName val="MUTUAL FUND SALES BY QTR"/>
      <sheetName val="ISS VOL MUTUAL FUND SALES"/>
      <sheetName val="StageGate Probabilities"/>
      <sheetName val="Key Assumptions"/>
      <sheetName val="AcqIS"/>
      <sheetName val="AcqBSCF"/>
      <sheetName val="Inputs"/>
      <sheetName val="FEES (2)"/>
      <sheetName val="Compensation Calc(Yen)"/>
      <sheetName val="Headcount(Yen)"/>
      <sheetName val="Salary Plan(YEN)"/>
      <sheetName val="Budget_(YEN)_(US$)"/>
      <sheetName val="Exhibit 11"/>
      <sheetName val="Total Partner Services"/>
      <sheetName val="Unlev FCF"/>
      <sheetName val="Margin Analysis"/>
      <sheetName val="qtr1"/>
      <sheetName val="qtr2"/>
      <sheetName val="qtr3"/>
      <sheetName val="qtr4"/>
      <sheetName val="TOT.SUMM"/>
      <sheetName val="per mt"/>
      <sheetName val="pl"/>
      <sheetName val="LBO Summ_Base"/>
      <sheetName val="LBO Fins_Base"/>
      <sheetName val="Inc. Salary History"/>
      <sheetName val="Corporate"/>
      <sheetName val="Percentage Deferral Worksheet"/>
      <sheetName val="INFORMATION"/>
      <sheetName val="ADD_ACCOUNT"/>
      <sheetName val="Macro Sheet"/>
      <sheetName val="VP"/>
      <sheetName val="KSO_Only"/>
      <sheetName val="OEM"/>
      <sheetName val="Natl_Acct_Rep"/>
      <sheetName val="MJR_REP"/>
      <sheetName val="Terr_Rep"/>
      <sheetName val="LRG_REP"/>
      <sheetName val="MED_REP"/>
      <sheetName val="Inside_BR"/>
      <sheetName val="SM_REP"/>
      <sheetName val="GOVT_REP"/>
      <sheetName val="EDU_REP"/>
      <sheetName val="VAR_OUT"/>
      <sheetName val="VAR_INSIDE"/>
      <sheetName val="FEDERAL"/>
      <sheetName val="CR"/>
      <sheetName val="MGR_INSIDE"/>
      <sheetName val="MGR_LRG"/>
      <sheetName val="MGR_MJR"/>
      <sheetName val="Reg_Mgr"/>
      <sheetName val="MGR_DIR"/>
      <sheetName val="DK_SO"/>
      <sheetName val="SE"/>
      <sheetName val="SE_MGR"/>
      <sheetName val="MGR_CR_MO_SR_VAR"/>
      <sheetName val="Module1"/>
      <sheetName val="Module2"/>
      <sheetName val="Oct08"/>
      <sheetName val="Argentina"/>
      <sheetName val="Brazil"/>
      <sheetName val="Latin_America"/>
      <sheetName val="Mexico"/>
      <sheetName val="CANADA_MGR"/>
      <sheetName val="CANADA_CHANNEL"/>
      <sheetName val="CANADA_FIELD"/>
      <sheetName val="CANADA_CORP"/>
      <sheetName val="CANADA_CORP_KSO"/>
      <sheetName val="CANADA_SE"/>
      <sheetName val="CANADA_DIST"/>
      <sheetName val="CANADA_MGRCH"/>
      <sheetName val="LQ"/>
      <sheetName val="Sales_Assoc"/>
      <sheetName val="DIR_FLD"/>
      <sheetName val="CR_MO_SR_FED"/>
      <sheetName val="DIR_DIST"/>
      <sheetName val="SR_DIR_GOVT_EDU"/>
      <sheetName val="Serventi"/>
      <sheetName val="MGR_GEO"/>
      <sheetName val="DIST_REP"/>
      <sheetName val="DIR_DIST_CAN_RETAIL"/>
      <sheetName val="TECH_DATA"/>
      <sheetName val="GRATCH"/>
      <sheetName val="INGRAM"/>
      <sheetName val="Dist_Rep2"/>
      <sheetName val="Ship Summary"/>
      <sheetName val="Budget Revenue"/>
      <sheetName val="EMEA"/>
      <sheetName val="T_80_20_VARY_1_1"/>
      <sheetName val="DCF"/>
      <sheetName val="Multiple Value"/>
      <sheetName val="Perp. Value"/>
      <sheetName val="WACC"/>
      <sheetName val="Premium and Beta"/>
      <sheetName val="STATISTICS"/>
      <sheetName val="E.11h_Sales by Source"/>
      <sheetName val="E.11h_Sales by Source_cases"/>
      <sheetName val="E.11h.1_Sales by Source (qty)"/>
      <sheetName val="SJSORT01"/>
      <sheetName val="SJSORT02"/>
      <sheetName val="SJSORT03"/>
      <sheetName val="SJSORT04"/>
      <sheetName val="SJSORT05"/>
      <sheetName val="SJSORT06"/>
      <sheetName val="SJSORT07"/>
      <sheetName val="SJSORT08"/>
      <sheetName val="SJSORT09"/>
      <sheetName val="SJSORT10"/>
      <sheetName val="SJSORT11"/>
      <sheetName val="SJSORT12"/>
      <sheetName val="Mbr"/>
      <sheetName val="Budget"/>
      <sheetName val="Param(1)"/>
      <sheetName val="Integration"/>
      <sheetName val="BBFS.Act"/>
      <sheetName val="LP_table"/>
      <sheetName val="JVID"/>
      <sheetName val="M1-1 Adjustments"/>
      <sheetName val="A1a-1 Income"/>
      <sheetName val="Loans"/>
      <sheetName val="Highlights - 2009"/>
      <sheetName val="dataf"/>
      <sheetName val="Summary Ex1.15"/>
      <sheetName val="Analysis of costs Wages and Sal"/>
      <sheetName val="Analysis of costs"/>
      <sheetName val="Sales Fullwood Ltd &amp; Packo Inox"/>
      <sheetName val="Sales- rest of Group"/>
      <sheetName val="Op Profit Evolution"/>
      <sheetName val="Forecast Balance Sheet -2009"/>
      <sheetName val="differences"/>
      <sheetName val="Cash In The Major Businesses"/>
      <sheetName val="Stress Tests - 2009"/>
      <sheetName val="Highlights - 2008"/>
      <sheetName val="Stress Tests - 2008"/>
      <sheetName val="Forecast Balance Sheet -2008"/>
      <sheetName val="01"/>
      <sheetName val="S&amp;W Comps"/>
      <sheetName val="Regression Analysis"/>
      <sheetName val="Index"/>
      <sheetName val="Company Information"/>
      <sheetName val="Sales by Origination"/>
      <sheetName val="Municipality Information"/>
      <sheetName val="wtb"/>
      <sheetName val="Model"/>
      <sheetName val="Bank Rec"/>
      <sheetName val="Warehouse Cap Labor"/>
      <sheetName val="Assumptions"/>
      <sheetName val="Unfunded Plan"/>
      <sheetName val="TB_SGV96"/>
      <sheetName val="Income Statement"/>
      <sheetName val="Stats"/>
      <sheetName val="Mar"/>
      <sheetName val="Apr"/>
      <sheetName val="May"/>
      <sheetName val="June"/>
      <sheetName val="July"/>
      <sheetName val="Aug"/>
      <sheetName val="ChkBdg"/>
      <sheetName val="AnnBdg"/>
      <sheetName val="Chk"/>
      <sheetName val="Payphones"/>
      <sheetName val="GroupTotal FORECAST"/>
      <sheetName val="GroupTotal"/>
      <sheetName val="Graphs"/>
      <sheetName val="etgsummVsforecast"/>
      <sheetName val="Aug Forecast"/>
      <sheetName val="Payphones Forecast"/>
      <sheetName val="Staffing"/>
      <sheetName val="Expenses"/>
      <sheetName val="P&amp;L Detail"/>
      <sheetName val="Waterfall"/>
      <sheetName val="Prod Line Summary"/>
      <sheetName val="03 vs 04 Exp"/>
      <sheetName val="03 vs 04 Cash Flow"/>
      <sheetName val="2 (3)"/>
      <sheetName val="Israel 99 ver1"/>
      <sheetName val="country_table"/>
      <sheetName val="sales pivot table"/>
      <sheetName val="profit sharing information"/>
      <sheetName val="Direct MKTG costs pivot"/>
      <sheetName val="Direct FTEs pivot"/>
      <sheetName val="P&amp;I pivot table"/>
      <sheetName val="Dom studies Pivot Table"/>
      <sheetName val="BS Input"/>
      <sheetName val="PL Input"/>
      <sheetName val="1080 Bill.com"/>
      <sheetName val="1015 BofA Operating"/>
      <sheetName val="1010 SVB MM"/>
      <sheetName val="Trial Balance"/>
      <sheetName val="Chart of Accounts"/>
      <sheetName val="1410 Prepaids"/>
      <sheetName val="1450 PPD Rent"/>
      <sheetName val="1420 Prepaid Insurance"/>
      <sheetName val="1510-1640 Fixed Assets"/>
      <sheetName val="1720 Interco Rec -OD PHX"/>
      <sheetName val="1910 Intangible Assets"/>
      <sheetName val="2150 SVB 8724 ed"/>
      <sheetName val="2140 SVB 8435 db"/>
      <sheetName val="2115 SVB 3523 ew"/>
      <sheetName val="2160 SVB 1154 ed"/>
      <sheetName val="2130 SVB 5126 im"/>
      <sheetName val="2125 SVB 4331 RJ"/>
      <sheetName val="2210 Accrued Payroll Tax"/>
      <sheetName val="2620 SVB Growth Capital"/>
      <sheetName val="Debt_Amort2"/>
      <sheetName val="MDT_Fins"/>
      <sheetName val="00-020_General"/>
      <sheetName val="00-040_Book-to-Tax_Rec-Net"/>
      <sheetName val="12-150_Moving_Expenses_Detail"/>
      <sheetName val="03-030_Fixed_Assets"/>
      <sheetName val="Balance_Sheet"/>
      <sheetName val="Tech_Summary_Market_Data"/>
      <sheetName val="Tech_Multiple_Analysis"/>
      <sheetName val="Tech_Operating_Data"/>
      <sheetName val="Operating_(2)"/>
      <sheetName val="Operating_(3)"/>
      <sheetName val="Operating_(4)"/>
      <sheetName val="Margins_(2)"/>
      <sheetName val="Margins_(3)"/>
      <sheetName val="Margins_(4)"/>
      <sheetName val="Valuation2_(2)"/>
      <sheetName val="Valuation2_(3)"/>
      <sheetName val="Valuation2_(4)"/>
      <sheetName val="Valuation_(2)"/>
      <sheetName val="Valuation_(3)"/>
      <sheetName val="CRYSTAL_OPERATING"/>
      <sheetName val="NITROGEN_OPERATING_"/>
      <sheetName val="A02_SAD"/>
      <sheetName val="NEW_ISSUES"/>
      <sheetName val="other_comps"/>
      <sheetName val="overview_-_p2"/>
      <sheetName val="overview_-_p2a"/>
      <sheetName val="overview_-_p_3"/>
      <sheetName val="overview_-_p4"/>
      <sheetName val="overview_-_p6"/>
      <sheetName val="Status_Quo"/>
      <sheetName val="Stock_Data"/>
      <sheetName val="YTD_-_Consolidated"/>
      <sheetName val="Co__Inputs"/>
      <sheetName val="MUTUAL_FUND_SALES_BY_QTR"/>
      <sheetName val="ISS_VOL_MUTUAL_FUND_SALES"/>
      <sheetName val="AcqPMO"/>
      <sheetName val="Control"/>
      <sheetName val="Acq Proj. Assump."/>
      <sheetName val="Summary 1"/>
      <sheetName val="Summary 2"/>
      <sheetName val="Summary 3"/>
      <sheetName val="FTE"/>
      <sheetName val="P&amp;L PFF"/>
      <sheetName val="7+5"/>
      <sheetName val="Actuals-2728"/>
      <sheetName val="Input-Actual&amp;Fcst"/>
      <sheetName val="Sum"/>
      <sheetName val="UW Rev"/>
      <sheetName val="76"/>
      <sheetName val="871"/>
      <sheetName val="877"/>
      <sheetName val="895"/>
      <sheetName val="896"/>
      <sheetName val="910"/>
      <sheetName val="919"/>
      <sheetName val="1103"/>
      <sheetName val="1106"/>
      <sheetName val="1168"/>
      <sheetName val="1423"/>
      <sheetName val="1433"/>
      <sheetName val="1443"/>
      <sheetName val="2631"/>
      <sheetName val="2634"/>
      <sheetName val="2772"/>
      <sheetName val="8160"/>
      <sheetName val="8400"/>
      <sheetName val="Claims&gt;"/>
      <sheetName val="874"/>
      <sheetName val="1102"/>
      <sheetName val="1427"/>
      <sheetName val="1469"/>
      <sheetName val="1471"/>
      <sheetName val="1472"/>
      <sheetName val="1473"/>
      <sheetName val="1474"/>
      <sheetName val="1484"/>
      <sheetName val="2690"/>
      <sheetName val="Tech&gt;"/>
      <sheetName val="873"/>
      <sheetName val="1431"/>
      <sheetName val="1447"/>
      <sheetName val="2486"/>
      <sheetName val="2801"/>
      <sheetName val="Sales&gt;"/>
      <sheetName val="897"/>
      <sheetName val="1425"/>
      <sheetName val="1426"/>
      <sheetName val="1445"/>
      <sheetName val="2625"/>
      <sheetName val="Expired&gt;"/>
      <sheetName val="51"/>
      <sheetName val="872"/>
      <sheetName val="1107"/>
      <sheetName val="1419"/>
      <sheetName val="1422"/>
      <sheetName val="1424"/>
      <sheetName val="1428"/>
      <sheetName val="1429"/>
      <sheetName val="1430"/>
      <sheetName val="1446"/>
      <sheetName val="1448"/>
      <sheetName val="1470"/>
      <sheetName val="1483"/>
      <sheetName val="2211"/>
      <sheetName val="2360"/>
      <sheetName val="2361"/>
      <sheetName val="2626"/>
      <sheetName val="2775"/>
      <sheetName val="2799"/>
      <sheetName val="5140"/>
      <sheetName val="print2"/>
      <sheetName val="Blank_1"/>
      <sheetName val="Blank_2"/>
      <sheetName val="Blank_3"/>
      <sheetName val="Blank_4"/>
      <sheetName val="COMPS"/>
      <sheetName val="ACS SM"/>
      <sheetName val="ABG SM"/>
      <sheetName val="CGE FP"/>
      <sheetName val="Royal Ten Cate"/>
      <sheetName val="EN FP"/>
      <sheetName val="CCM LN"/>
      <sheetName val="CIW GR"/>
      <sheetName val="CMG LN"/>
      <sheetName val="DWE GR"/>
      <sheetName val="LMEB SS"/>
      <sheetName val="GLMC"/>
      <sheetName val="IDR SM"/>
      <sheetName val="LXNT"/>
      <sheetName val="LOG LN"/>
      <sheetName val="TMNG"/>
      <sheetName val="MTZ"/>
      <sheetName val="MJA GR"/>
      <sheetName val="MOT"/>
      <sheetName val="NOK FH"/>
      <sheetName val="OTWO"/>
      <sheetName val="SMG LN"/>
      <sheetName val="SEM LN"/>
      <sheetName val="SIE GR"/>
      <sheetName val="GrTV MX"/>
      <sheetName val="TLND BB"/>
      <sheetName val="EX FP"/>
      <sheetName val="WMB SS"/>
      <sheetName val="A"/>
      <sheetName val="PMO"/>
      <sheetName val="Temp"/>
      <sheetName val="Summ"/>
      <sheetName val="1338"/>
      <sheetName val="958"/>
      <sheetName val="7"/>
      <sheetName val="PA"/>
      <sheetName val="Materials"/>
      <sheetName val="DL codes"/>
      <sheetName val="Stand Categ"/>
      <sheetName val="FINAL COST AS ON 16.05.01"/>
      <sheetName val="StaffRatio"/>
      <sheetName val="CashIn"/>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VS_USD DIRECT"/>
      <sheetName val="VS_USD INDIRECT"/>
      <sheetName val="VS_AUD"/>
      <sheetName val="Confirmation"/>
      <sheetName val="statement 1998"/>
      <sheetName val="#REF"/>
      <sheetName val="c_data"/>
      <sheetName val="co_code"/>
      <sheetName val="Register"/>
      <sheetName val="K31X"/>
      <sheetName val="XVIa(i) - average price (2)"/>
      <sheetName val="153541"/>
      <sheetName val="PLAC"/>
      <sheetName val="Flows"/>
      <sheetName val="BLMB Links"/>
      <sheetName val="BS &amp; I"/>
      <sheetName val="Welcome"/>
      <sheetName val="Inv by PC"/>
      <sheetName val="AW"/>
      <sheetName val="RSG"/>
      <sheetName val="Result"/>
      <sheetName val="Result_frango"/>
      <sheetName val="Var Fcst-Q1"/>
      <sheetName val="Var Fcst"/>
      <sheetName val="Var Fcst-FcstPre"/>
      <sheetName val="Quarter"/>
      <sheetName val="Sum Act_Ytd"/>
      <sheetName val="Sum Bud_Ytd"/>
      <sheetName val="Var Ytd"/>
      <sheetName val="Sum Fcst"/>
      <sheetName val="Sum Bud"/>
      <sheetName val="Sum Fcst_Pre"/>
      <sheetName val="Forecast prev"/>
      <sheetName val="Forecast"/>
      <sheetName val="Variance_Fc_PrFc"/>
      <sheetName val="FC vs. Budget"/>
      <sheetName val="Act YTD"/>
      <sheetName val="Bud YTD"/>
      <sheetName val="External Revenue Version RS HB"/>
      <sheetName val="Input Actual_OMC OCCGS"/>
      <sheetName val="Actual_Exchange Variances"/>
      <sheetName val="Input Plan_OMC OCCGS"/>
      <sheetName val="Input UPD_OMC OCCGS"/>
      <sheetName val="Macro1"/>
      <sheetName val="Reval"/>
      <sheetName val="Issue"/>
      <sheetName val="Summary_NonOp."/>
      <sheetName val="Summary_Operating"/>
      <sheetName val="Summary_Operating_Old"/>
      <sheetName val="Market Valuation"/>
      <sheetName val="Operating Multiples"/>
      <sheetName val="Earnings Per Share Multiples"/>
      <sheetName val="PE to Growth Rates"/>
      <sheetName val="LTM Operating Results"/>
      <sheetName val="LQA Operating Results"/>
      <sheetName val="Earnings Per Share"/>
      <sheetName val="Cash Burn"/>
      <sheetName val="Book Capitalization Other"/>
      <sheetName val="Book Capitalization Services"/>
      <sheetName val="Debt Ratios"/>
      <sheetName val="Matrix"/>
      <sheetName val="Profile"/>
      <sheetName val="Macro"/>
      <sheetName val="modMacro"/>
      <sheetName val="modErrorHandler"/>
      <sheetName val="Profile (2)"/>
      <sheetName val="dlgPrint"/>
      <sheetName val="Sales 2003"/>
      <sheetName val="Conversion Rates"/>
      <sheetName val="Aero"/>
      <sheetName val="Defense"/>
      <sheetName val="ITS"/>
      <sheetName val="Performance"/>
      <sheetName val="Progress"/>
      <sheetName val="Customer"/>
      <sheetName val="Import"/>
      <sheetName val="HomePage"/>
      <sheetName val="Parameter"/>
      <sheetName val="Various Prices"/>
      <sheetName val="A - Football field"/>
      <sheetName val="Detail"/>
      <sheetName val="Work"/>
      <sheetName val="Print Controls"/>
      <sheetName val="Controls"/>
      <sheetName val="FAB별"/>
      <sheetName val="Bank Matrix"/>
      <sheetName val="CCY Conversion"/>
      <sheetName val="2002 June US Provision Data"/>
      <sheetName val="MKT-SIZE"/>
      <sheetName val="Book - Tax Reconciliation"/>
      <sheetName val="State Tax Provision"/>
      <sheetName val="State Deferred Taxes"/>
      <sheetName val="Worldwide Summary"/>
      <sheetName val="Input"/>
      <sheetName val="Financial Snapshot"/>
      <sheetName val="Towers Perrin"/>
      <sheetName val="FD GO"/>
      <sheetName val="TimeAndCost"/>
      <sheetName val="sbu list"/>
      <sheetName val="Worldwide_Summary"/>
      <sheetName val="Towers_Perrin"/>
      <sheetName val="FD_GO"/>
      <sheetName val="Financial_Snapshot"/>
      <sheetName val="Vendor"/>
      <sheetName val="StageGate_Probabilities"/>
      <sheetName val="Key_Assumptions"/>
      <sheetName val="Exhibit_11"/>
      <sheetName val="FEES_(2)"/>
      <sheetName val="Summary_fg_rec"/>
      <sheetName val="Total_Partner_Services"/>
      <sheetName val="Compensation_Calc(Yen)"/>
      <sheetName val="Salary_Plan(YEN)"/>
      <sheetName val="Comparable_Traded_Companies_99"/>
      <sheetName val="Model_Assumptions"/>
      <sheetName val="Dept_Exp_by_Scenario"/>
      <sheetName val="Working_Cap"/>
      <sheetName val="C02-Book_to_Tax_-_Net"/>
      <sheetName val="E_11h_Sales_by_Source"/>
      <sheetName val="E_11h_Sales_by_Source_cases"/>
      <sheetName val="E_11h_1_Sales_by_Source_(qty)"/>
      <sheetName val="Debt_Amort3"/>
      <sheetName val="MDT_Fins1"/>
      <sheetName val="00-020_General1"/>
      <sheetName val="00-040_Book-to-Tax_Rec-Net1"/>
      <sheetName val="12-150_Moving_Expenses_Detail1"/>
      <sheetName val="03-030_Fixed_Assets1"/>
      <sheetName val="StageGate_Probabilities1"/>
      <sheetName val="Key_Assumptions1"/>
      <sheetName val="Exhibit_111"/>
      <sheetName val="FEES_(2)1"/>
      <sheetName val="Summary_fg_rec1"/>
      <sheetName val="NEW_ISSUES1"/>
      <sheetName val="other_comps1"/>
      <sheetName val="overview_-_p21"/>
      <sheetName val="overview_-_p2a1"/>
      <sheetName val="overview_-_p_31"/>
      <sheetName val="overview_-_p41"/>
      <sheetName val="overview_-_p61"/>
      <sheetName val="Status_Quo1"/>
      <sheetName val="Stock_Data1"/>
      <sheetName val="YTD_-_Consolidated1"/>
      <sheetName val="Co__Inputs1"/>
      <sheetName val="MUTUAL_FUND_SALES_BY_QTR1"/>
      <sheetName val="ISS_VOL_MUTUAL_FUND_SALES1"/>
      <sheetName val="Total_Partner_Services1"/>
      <sheetName val="Balance_Sheet1"/>
      <sheetName val="Tech_Summary_Market_Data1"/>
      <sheetName val="Tech_Multiple_Analysis1"/>
      <sheetName val="Tech_Operating_Data1"/>
      <sheetName val="Operating_(2)1"/>
      <sheetName val="Operating_(3)1"/>
      <sheetName val="Operating_(4)1"/>
      <sheetName val="Margins_(2)1"/>
      <sheetName val="Margins_(3)1"/>
      <sheetName val="Margins_(4)1"/>
      <sheetName val="Valuation2_(2)1"/>
      <sheetName val="Valuation2_(3)1"/>
      <sheetName val="Valuation2_(4)1"/>
      <sheetName val="Valuation_(2)1"/>
      <sheetName val="Valuation_(3)1"/>
      <sheetName val="CRYSTAL_OPERATING1"/>
      <sheetName val="NITROGEN_OPERATING_1"/>
      <sheetName val="A02_SAD1"/>
      <sheetName val="Compensation_Calc(Yen)1"/>
      <sheetName val="Salary_Plan(YEN)1"/>
      <sheetName val="Comparable_Traded_Companies_991"/>
      <sheetName val="Model_Assumptions1"/>
      <sheetName val="Dept_Exp_by_Scenario1"/>
      <sheetName val="Working_Cap1"/>
      <sheetName val="C02-Book_to_Tax_-_Net1"/>
      <sheetName val="E_11h_Sales_by_Source1"/>
      <sheetName val="E_11h_Sales_by_Source_cases1"/>
      <sheetName val="E_11h_1_Sales_by_Source_(qty)1"/>
      <sheetName val="AOP Assumptions"/>
      <sheetName val="WDI"/>
      <sheetName val="Daily"/>
      <sheetName val="Initiatives"/>
      <sheetName val="Graph"/>
      <sheetName val="Qtrly P&amp;L"/>
      <sheetName val="AOP_Assumptions"/>
      <sheetName val="Qtrly_P&amp;L"/>
      <sheetName val="ValuationT"/>
      <sheetName val=" Ratio"/>
      <sheetName val="PCo."/>
      <sheetName val="Asia Pacific DCF"/>
      <sheetName val="BTC I"/>
      <sheetName val="Debt_Amort4"/>
      <sheetName val="MDT_Fins2"/>
      <sheetName val="00-020_General2"/>
      <sheetName val="00-040_Book-to-Tax_Rec-Net2"/>
      <sheetName val="12-150_Moving_Expenses_Detail2"/>
      <sheetName val="03-030_Fixed_Assets2"/>
      <sheetName val="StageGate_Probabilities2"/>
      <sheetName val="Key_Assumptions2"/>
      <sheetName val="Exhibit_112"/>
      <sheetName val="FEES_(2)2"/>
      <sheetName val="Summary_fg_rec2"/>
      <sheetName val="NEW_ISSUES2"/>
      <sheetName val="other_comps2"/>
      <sheetName val="overview_-_p22"/>
      <sheetName val="overview_-_p2a2"/>
      <sheetName val="overview_-_p_32"/>
      <sheetName val="overview_-_p42"/>
      <sheetName val="overview_-_p62"/>
      <sheetName val="Status_Quo2"/>
      <sheetName val="Stock_Data2"/>
      <sheetName val="YTD_-_Consolidated2"/>
      <sheetName val="Co__Inputs2"/>
      <sheetName val="MUTUAL_FUND_SALES_BY_QTR2"/>
      <sheetName val="ISS_VOL_MUTUAL_FUND_SALES2"/>
      <sheetName val="Total_Partner_Services2"/>
      <sheetName val="Balance_Sheet2"/>
      <sheetName val="Tech_Summary_Market_Data2"/>
      <sheetName val="Tech_Multiple_Analysis2"/>
      <sheetName val="Tech_Operating_Data2"/>
      <sheetName val="Operating_(2)2"/>
      <sheetName val="Operating_(3)2"/>
      <sheetName val="Operating_(4)2"/>
      <sheetName val="Margins_(2)2"/>
      <sheetName val="Margins_(3)2"/>
      <sheetName val="Margins_(4)2"/>
      <sheetName val="Valuation2_(2)2"/>
      <sheetName val="Valuation2_(3)2"/>
      <sheetName val="Valuation2_(4)2"/>
      <sheetName val="Valuation_(2)2"/>
      <sheetName val="Valuation_(3)2"/>
      <sheetName val="CRYSTAL_OPERATING2"/>
      <sheetName val="NITROGEN_OPERATING_2"/>
      <sheetName val="A02_SAD2"/>
      <sheetName val="Compensation_Calc(Yen)2"/>
      <sheetName val="Salary_Plan(YEN)2"/>
      <sheetName val="Comparable_Traded_Companies_992"/>
      <sheetName val="Model_Assumptions2"/>
      <sheetName val="Dept_Exp_by_Scenario2"/>
      <sheetName val="Working_Cap2"/>
      <sheetName val="C02-Book_to_Tax_-_Net2"/>
      <sheetName val="E_11h_Sales_by_Source2"/>
      <sheetName val="E_11h_Sales_by_Source_cases2"/>
      <sheetName val="E_11h_1_Sales_by_Source_(qty)2"/>
      <sheetName val="Multiple_Value"/>
      <sheetName val="Perp__Value"/>
      <sheetName val="Premium_and_Beta"/>
      <sheetName val="LBO_Summ_Base"/>
      <sheetName val="LBO_Fins_Base"/>
      <sheetName val="Inc__Salary_History"/>
      <sheetName val="Percentage_Deferral_Worksheet"/>
      <sheetName val="Company_Information"/>
      <sheetName val="Sales_by_Origination"/>
      <sheetName val="Municipality_Information"/>
      <sheetName val="YARDI_Debt_Abstract_"/>
      <sheetName val="Debt_Rollforward"/>
      <sheetName val="2000_-_2010"/>
      <sheetName val="2000_TB"/>
      <sheetName val="2001_TB"/>
      <sheetName val="2002_TB"/>
      <sheetName val="2003_TB"/>
      <sheetName val="2004_TB"/>
      <sheetName val="2005_TB"/>
      <sheetName val="2006_TB"/>
      <sheetName val="2007_TB"/>
      <sheetName val="2008_TB"/>
      <sheetName val="2009_TB"/>
      <sheetName val="2010_TB"/>
      <sheetName val="Bank_Rec"/>
      <sheetName val="Net_Sales_Mnth"/>
      <sheetName val="Net_Sales_YTD"/>
      <sheetName val="Div_Contr_Mnth"/>
      <sheetName val="Div_Contr_YTD"/>
      <sheetName val="WC_Detail"/>
      <sheetName val="Warehouse_Cap_Labor"/>
      <sheetName val="Unfunded_Plan"/>
      <sheetName val="Income_Statement"/>
      <sheetName val="15"/>
      <sheetName val="16"/>
      <sheetName val="17"/>
      <sheetName val="18"/>
      <sheetName val="19"/>
      <sheetName val="20"/>
      <sheetName val="Company Descriptions"/>
      <sheetName val="1"/>
      <sheetName val="2"/>
      <sheetName val="3"/>
      <sheetName val="4"/>
      <sheetName val="5"/>
      <sheetName val="6"/>
      <sheetName val="8"/>
      <sheetName val="9"/>
      <sheetName val="10"/>
      <sheetName val="11"/>
      <sheetName val="12"/>
      <sheetName val="13"/>
      <sheetName val="14"/>
      <sheetName val="PF"/>
      <sheetName val="PEACH"/>
      <sheetName val="Compsum"/>
      <sheetName val="hist &amp; proj income statement"/>
      <sheetName val="DAC and Advisor"/>
      <sheetName val="AERS"/>
      <sheetName val="TM1 FTE's"/>
      <sheetName val="URR"/>
      <sheetName val="Sheet1 (2)"/>
      <sheetName val="Finished Goods Analysis"/>
      <sheetName val="Sales &amp; COS"/>
      <sheetName val="DJ&amp;F summary"/>
      <sheetName val="Rental info"/>
      <sheetName val="ACE Backlog info"/>
      <sheetName val="Mid Mo Proj"/>
      <sheetName val="Costed BOM"/>
      <sheetName val="WIP Recon"/>
      <sheetName val="WIP Hrs Recon"/>
      <sheetName val="Variance Analysis"/>
      <sheetName val="FOA Page1"/>
      <sheetName val="FOA Page 2"/>
      <sheetName val="FOA Page 3"/>
      <sheetName val="FOA DOH"/>
      <sheetName val="FOA Table"/>
      <sheetName val="Final Proj"/>
      <sheetName val="LONGSCH"/>
      <sheetName val="PERM&amp;EQ"/>
      <sheetName val="ETR_BRIDGE"/>
      <sheetName val="Earl Agenda"/>
      <sheetName val="ETR_ISSUES"/>
      <sheetName val="ETROVER_operating"/>
      <sheetName val="ETROVER"/>
      <sheetName val="STATE"/>
      <sheetName val="CASH TAXES"/>
      <sheetName val="FAS109 ADJ."/>
      <sheetName val="CASH TAXES_DETAIL"/>
      <sheetName val="CASH BY QTR"/>
      <sheetName val="Temporary"/>
      <sheetName val="TEMP_COMPARE"/>
      <sheetName val="AMT"/>
      <sheetName val="PERMANT"/>
      <sheetName val="ETR_OVER"/>
      <sheetName val="Amortization Schedules"/>
      <sheetName val="DIAMOND"/>
      <sheetName val="EBITNCI"/>
      <sheetName val="Summary P &amp; L"/>
      <sheetName val="Summary Domtar"/>
      <sheetName val="Deferred Income Tax Balance"/>
      <sheetName val="Current Income Tax Balance"/>
      <sheetName val="FIT Balance"/>
      <sheetName val="A01OPEN"/>
      <sheetName val="CASH MGMT"/>
      <sheetName val="Overhead Summary"/>
      <sheetName val="BIASG"/>
      <sheetName val="CP"/>
      <sheetName val="SCS"/>
      <sheetName val="ICT"/>
      <sheetName val="H&amp;S"/>
      <sheetName val="Sustainability"/>
      <sheetName val="Comms"/>
      <sheetName val="HR"/>
      <sheetName val="Legal"/>
      <sheetName val="Insurance"/>
      <sheetName val="F&amp;A"/>
      <sheetName val="SS"/>
      <sheetName val="Directorate"/>
      <sheetName val="Central"/>
      <sheetName val="Bus Continuity"/>
      <sheetName val="Tax"/>
      <sheetName val="Finance"/>
      <sheetName val="Inv Alloc"/>
      <sheetName val="Control Sheet"/>
      <sheetName val="APW"/>
      <sheetName val="BAKTAY"/>
      <sheetName val="BRDCST"/>
      <sheetName val="CAHNERS"/>
      <sheetName val="CEG"/>
      <sheetName val="CASUAL LIVING"/>
      <sheetName val="CEOLEGAL"/>
      <sheetName val="CIS"/>
      <sheetName val="CHIMAG"/>
      <sheetName val="C-TLTD"/>
      <sheetName val="CHILMED"/>
      <sheetName val="DEFFIN"/>
      <sheetName val="DELTA  "/>
      <sheetName val="DIGEQ"/>
      <sheetName val="EATON HALL"/>
      <sheetName val="EIC"/>
      <sheetName val="EYEQUEST"/>
      <sheetName val="F &amp; B"/>
      <sheetName val="FL Rest"/>
      <sheetName val="GEYER"/>
      <sheetName val="GL"/>
      <sheetName val="GORDON"/>
      <sheetName val="GUIDEPCS"/>
      <sheetName val="HCT GENERAL"/>
      <sheetName val="HEB"/>
      <sheetName val="HCHPUB"/>
      <sheetName val="HOM-TEXT"/>
      <sheetName val="HORTON"/>
      <sheetName val="INSTAT"/>
      <sheetName val="INTDES"/>
      <sheetName val="INTERACT"/>
      <sheetName val="INTERFACE"/>
      <sheetName val="INTLEXHB"/>
      <sheetName val="JURISOFT"/>
      <sheetName val="KNOW SCI"/>
      <sheetName val="LA411"/>
      <sheetName val="L-N"/>
      <sheetName val="LN COURTLINK"/>
      <sheetName val="MACMIL"/>
      <sheetName val="MARKETCAST"/>
      <sheetName val="MART-HUB"/>
      <sheetName val="MEALEYS"/>
      <sheetName val="MICRODESIGN"/>
      <sheetName val="PARKER"/>
      <sheetName val="PEMCO"/>
      <sheetName val="PGA"/>
      <sheetName val="PLANT SITES"/>
      <sheetName val="PRPRESS"/>
      <sheetName val="RAINTREE"/>
      <sheetName val="REACH READING"/>
      <sheetName val="REED TECH"/>
      <sheetName val="RRB"/>
      <sheetName val="RRBOWKER"/>
      <sheetName val="TECH-PUB"/>
      <sheetName val="TIME MATTERS"/>
      <sheetName val="TOWER"/>
      <sheetName val="TRENDWATCH"/>
      <sheetName val="TWICE"/>
      <sheetName val="WESTERN FOOD"/>
      <sheetName val="ANDOMED"/>
      <sheetName val="APPLIED DISCOVERY"/>
      <sheetName val="ASIAN IMAGE"/>
      <sheetName val="BWP"/>
      <sheetName val="BUYERZONE"/>
      <sheetName val="CLICKDATA"/>
      <sheetName val="CMDG"/>
      <sheetName val="CHOICEPOINT"/>
      <sheetName val="00DS0 fka CP Co 1"/>
      <sheetName val="00PF0 fka CP Co 61"/>
      <sheetName val="DVARIETY"/>
      <sheetName val="e-LOGIC"/>
      <sheetName val="FDC"/>
      <sheetName val="HCT GLOBAL #49"/>
      <sheetName val="HCT SVC"/>
      <sheetName val="HOGAN"/>
      <sheetName val="LEXIS"/>
      <sheetName val="LN EXAMEN"/>
      <sheetName val="LNSSI"/>
      <sheetName val="LN VERILAW"/>
      <sheetName val="LNPRDS"/>
      <sheetName val="MATTHEW BENDER"/>
      <sheetName val="MICHIE"/>
      <sheetName val="MOSBY"/>
      <sheetName val="NEXIS"/>
      <sheetName val="ONLINE"/>
      <sheetName val="PEOPLEWISE - LNRMI"/>
      <sheetName val="REEDCAP DEBT"/>
      <sheetName val="REED CAP"/>
      <sheetName val="REIPMS"/>
      <sheetName val="REUSH"/>
      <sheetName val="RFIN(DE)"/>
      <sheetName val="REEDPROP"/>
      <sheetName val="RISKWISE - LNRMI"/>
      <sheetName val="RSVCS"/>
      <sheetName val="Schnell"/>
      <sheetName val="SEISINT"/>
      <sheetName val="TRACOM"/>
      <sheetName val="VAR"/>
      <sheetName val="WINDHOVER"/>
      <sheetName val="EUSHINC"/>
      <sheetName val="EEII"/>
      <sheetName val="SCIENCE"/>
      <sheetName val="GOLD STANDARD"/>
      <sheetName val="EXCERPTA"/>
      <sheetName val="HRW"/>
      <sheetName val="SOCIOECON"/>
      <sheetName val="ABMS"/>
      <sheetName val="MDCONSULT"/>
      <sheetName val="WBS"/>
      <sheetName val="SCIVISION"/>
      <sheetName val="HANLEYBELFUS"/>
      <sheetName val="PERGAMON"/>
      <sheetName val="ELIM"/>
      <sheetName val="EREALTY"/>
      <sheetName val="INTANG "/>
      <sheetName val="CELLPRESS"/>
      <sheetName val="TRAVELNET"/>
      <sheetName val="SPRING"/>
      <sheetName val="AUTOINF."/>
      <sheetName val="CHILCO"/>
      <sheetName val="REPI"/>
      <sheetName val="FOLIO"/>
      <sheetName val="NFC"/>
      <sheetName val="FUN EXPO"/>
      <sheetName val="ASPEN"/>
      <sheetName val="GARLAND"/>
      <sheetName val="EQUITY"/>
      <sheetName val="CPC"/>
      <sheetName val="ASHLEY GROUP"/>
      <sheetName val="BOOKWIRE"/>
      <sheetName val="BWALSH"/>
      <sheetName val="CAH-ZIFF"/>
      <sheetName val="COMSEL"/>
      <sheetName val="CSI"/>
      <sheetName val="INTERBEV"/>
      <sheetName val="LEXIS LAW"/>
      <sheetName val="MURDOCK"/>
      <sheetName val="OAG"/>
      <sheetName val="POLL-ENG"/>
      <sheetName val="PRESS ACCESS"/>
      <sheetName val="PUB VIDEO GRP"/>
      <sheetName val="RTG"/>
      <sheetName val="RE TRANS"/>
      <sheetName val="RPM"/>
      <sheetName val="SCAN"/>
      <sheetName val="SHOW BIZ"/>
      <sheetName val="STAR-REP"/>
      <sheetName val="WRKPRESS"/>
      <sheetName val="BELLW"/>
      <sheetName val="CHEMWEB"/>
      <sheetName val="CorpAmerica"/>
      <sheetName val="LAMBERT"/>
      <sheetName val="LDS"/>
      <sheetName val="RIGBY"/>
      <sheetName val="CLASSRM"/>
      <sheetName val="END"/>
      <sheetName val="MDL"/>
      <sheetName val="SAXON"/>
      <sheetName val="AFFERENT"/>
      <sheetName val="STECK VAUGHN"/>
      <sheetName val="GREEN"/>
      <sheetName val="HCT ASSM'T INC."/>
      <sheetName val="ORDINATE CORPORATION"/>
      <sheetName val="EDFORMATION"/>
      <sheetName val="BWL"/>
      <sheetName val="PeopleWise Division"/>
      <sheetName val="RiskWiseLLC"/>
    </sheetNames>
    <sheetDataSet>
      <sheetData sheetId="0" refreshError="1">
        <row r="1">
          <cell r="B1"/>
        </row>
        <row r="3">
          <cell r="A3" t="str">
            <v>BALANCE SHEET</v>
          </cell>
          <cell r="G3">
            <v>38213</v>
          </cell>
        </row>
        <row r="34">
          <cell r="A34" t="str">
            <v>CURRENT PORTION LEASE LINE</v>
          </cell>
          <cell r="B34"/>
          <cell r="C34"/>
          <cell r="D34"/>
          <cell r="E34"/>
          <cell r="F34"/>
          <cell r="G34"/>
          <cell r="H34"/>
          <cell r="I34"/>
          <cell r="J34"/>
          <cell r="K34"/>
          <cell r="L34"/>
          <cell r="M34"/>
          <cell r="N34"/>
          <cell r="O34">
            <v>0</v>
          </cell>
          <cell r="P34">
            <v>0</v>
          </cell>
          <cell r="Q34"/>
          <cell r="R34"/>
          <cell r="S34">
            <v>0</v>
          </cell>
          <cell r="T34">
            <v>0</v>
          </cell>
          <cell r="U34">
            <v>0</v>
          </cell>
          <cell r="V34">
            <v>0</v>
          </cell>
          <cell r="W34">
            <v>0</v>
          </cell>
          <cell r="X34">
            <v>0</v>
          </cell>
          <cell r="Y34">
            <v>0</v>
          </cell>
          <cell r="Z34">
            <v>0</v>
          </cell>
          <cell r="AA34">
            <v>0</v>
          </cell>
          <cell r="AB34">
            <v>0</v>
          </cell>
          <cell r="AC34">
            <v>0</v>
          </cell>
          <cell r="AD34">
            <v>0</v>
          </cell>
          <cell r="AE34"/>
          <cell r="AF34"/>
          <cell r="AG34">
            <v>0</v>
          </cell>
          <cell r="AH34">
            <v>0</v>
          </cell>
          <cell r="AI34">
            <v>0</v>
          </cell>
          <cell r="AJ34">
            <v>0</v>
          </cell>
          <cell r="AK34">
            <v>0</v>
          </cell>
          <cell r="AL34">
            <v>0</v>
          </cell>
          <cell r="AM34">
            <v>0</v>
          </cell>
          <cell r="AN34">
            <v>0</v>
          </cell>
          <cell r="AO34">
            <v>0</v>
          </cell>
          <cell r="AP34">
            <v>0</v>
          </cell>
          <cell r="AQ34">
            <v>0</v>
          </cell>
          <cell r="AR34">
            <v>0</v>
          </cell>
          <cell r="AS34"/>
          <cell r="AT34"/>
          <cell r="AU34">
            <v>0</v>
          </cell>
          <cell r="AV34">
            <v>0</v>
          </cell>
          <cell r="AW34">
            <v>0</v>
          </cell>
          <cell r="AX34">
            <v>0</v>
          </cell>
          <cell r="AY34">
            <v>0</v>
          </cell>
          <cell r="AZ34">
            <v>0</v>
          </cell>
          <cell r="BA34">
            <v>0</v>
          </cell>
          <cell r="BB34">
            <v>0</v>
          </cell>
          <cell r="BC34">
            <v>0</v>
          </cell>
          <cell r="BD34">
            <v>0</v>
          </cell>
          <cell r="BE34">
            <v>0</v>
          </cell>
          <cell r="BF34">
            <v>0</v>
          </cell>
          <cell r="BG34"/>
          <cell r="BH34"/>
          <cell r="BI34">
            <v>0</v>
          </cell>
          <cell r="BJ34">
            <v>0</v>
          </cell>
          <cell r="BK34">
            <v>0</v>
          </cell>
          <cell r="BL34">
            <v>0</v>
          </cell>
          <cell r="BM34">
            <v>0</v>
          </cell>
          <cell r="BN34">
            <v>0</v>
          </cell>
          <cell r="BO34">
            <v>0</v>
          </cell>
          <cell r="BP34">
            <v>0</v>
          </cell>
          <cell r="BQ34">
            <v>0</v>
          </cell>
          <cell r="BR34">
            <v>0</v>
          </cell>
          <cell r="BS34">
            <v>0</v>
          </cell>
          <cell r="BT34">
            <v>0</v>
          </cell>
          <cell r="BU34"/>
          <cell r="BV34"/>
          <cell r="BW34">
            <v>0</v>
          </cell>
          <cell r="BX34">
            <v>0</v>
          </cell>
          <cell r="BY34">
            <v>0</v>
          </cell>
          <cell r="BZ34">
            <v>0</v>
          </cell>
          <cell r="CA34">
            <v>0</v>
          </cell>
          <cell r="CB34">
            <v>0</v>
          </cell>
          <cell r="CC34">
            <v>0</v>
          </cell>
          <cell r="CD34">
            <v>0</v>
          </cell>
          <cell r="CE34">
            <v>0</v>
          </cell>
          <cell r="CF34">
            <v>0</v>
          </cell>
          <cell r="CG34">
            <v>0</v>
          </cell>
          <cell r="CH34">
            <v>0</v>
          </cell>
          <cell r="CI34"/>
          <cell r="CJ34">
            <v>0</v>
          </cell>
          <cell r="CK34"/>
          <cell r="CL34">
            <v>0</v>
          </cell>
          <cell r="CM34"/>
          <cell r="CN34">
            <v>0</v>
          </cell>
          <cell r="CO34"/>
          <cell r="CP34"/>
          <cell r="CQ34"/>
          <cell r="CR34"/>
          <cell r="CS34"/>
          <cell r="CT34"/>
          <cell r="CW34"/>
          <cell r="CX34"/>
          <cell r="CY34"/>
          <cell r="CZ34"/>
          <cell r="DA34"/>
          <cell r="DB34"/>
          <cell r="DC34"/>
          <cell r="DD34"/>
          <cell r="DE34"/>
          <cell r="DF34"/>
          <cell r="DG34"/>
          <cell r="DH34"/>
          <cell r="DK34"/>
          <cell r="DL34"/>
          <cell r="DM34"/>
          <cell r="DN34"/>
          <cell r="DO34"/>
          <cell r="DP34"/>
          <cell r="DQ34"/>
          <cell r="DR34"/>
          <cell r="DS34"/>
          <cell r="DT34"/>
          <cell r="DU34"/>
          <cell r="DV34"/>
          <cell r="DY34"/>
          <cell r="DZ34"/>
          <cell r="EA34"/>
          <cell r="EB34"/>
          <cell r="EC34"/>
          <cell r="ED34"/>
          <cell r="EE34"/>
          <cell r="EF34"/>
          <cell r="EG34"/>
          <cell r="EH34"/>
          <cell r="EI34"/>
          <cell r="EJ34"/>
          <cell r="EM34"/>
          <cell r="EN34"/>
          <cell r="EO34"/>
          <cell r="EP34"/>
          <cell r="EQ34"/>
          <cell r="ER34"/>
          <cell r="ES34"/>
          <cell r="ET34"/>
          <cell r="EU34"/>
          <cell r="EV34"/>
          <cell r="EW34"/>
          <cell r="EX34"/>
        </row>
        <row r="41">
          <cell r="A41" t="str">
            <v>COMMON STOCK</v>
          </cell>
          <cell r="B41"/>
          <cell r="C41">
            <v>6000</v>
          </cell>
          <cell r="D41">
            <v>0</v>
          </cell>
          <cell r="E41">
            <v>6000</v>
          </cell>
          <cell r="F41">
            <v>6000</v>
          </cell>
          <cell r="G41">
            <v>6000</v>
          </cell>
          <cell r="H41">
            <v>6000</v>
          </cell>
          <cell r="I41">
            <v>6000</v>
          </cell>
          <cell r="J41">
            <v>6000</v>
          </cell>
          <cell r="K41">
            <v>6000</v>
          </cell>
          <cell r="L41">
            <v>6000</v>
          </cell>
          <cell r="M41">
            <v>6000</v>
          </cell>
          <cell r="N41">
            <v>6000</v>
          </cell>
          <cell r="O41">
            <v>6000</v>
          </cell>
          <cell r="P41">
            <v>6000</v>
          </cell>
          <cell r="Q41">
            <v>0</v>
          </cell>
          <cell r="R41">
            <v>0</v>
          </cell>
          <cell r="S41">
            <v>6000</v>
          </cell>
          <cell r="T41">
            <v>6000</v>
          </cell>
          <cell r="U41">
            <v>6000</v>
          </cell>
          <cell r="V41">
            <v>6000</v>
          </cell>
          <cell r="W41">
            <v>6000</v>
          </cell>
          <cell r="X41">
            <v>6000</v>
          </cell>
          <cell r="Y41">
            <v>6000</v>
          </cell>
          <cell r="Z41">
            <v>6000</v>
          </cell>
          <cell r="AA41">
            <v>6000</v>
          </cell>
          <cell r="AB41">
            <v>6000</v>
          </cell>
          <cell r="AC41">
            <v>6000</v>
          </cell>
          <cell r="AD41">
            <v>6000</v>
          </cell>
          <cell r="AE41">
            <v>0</v>
          </cell>
          <cell r="AF41">
            <v>0</v>
          </cell>
          <cell r="AG41">
            <v>6000</v>
          </cell>
          <cell r="AH41">
            <v>6000</v>
          </cell>
          <cell r="AI41">
            <v>6000</v>
          </cell>
          <cell r="AJ41">
            <v>6000</v>
          </cell>
          <cell r="AK41">
            <v>6000</v>
          </cell>
          <cell r="AL41">
            <v>6000</v>
          </cell>
          <cell r="AM41">
            <v>6000</v>
          </cell>
          <cell r="AN41">
            <v>6000</v>
          </cell>
          <cell r="AO41">
            <v>6000</v>
          </cell>
          <cell r="AP41">
            <v>6000</v>
          </cell>
          <cell r="AQ41">
            <v>6000</v>
          </cell>
          <cell r="AR41">
            <v>6000</v>
          </cell>
          <cell r="AS41">
            <v>0</v>
          </cell>
          <cell r="AT41">
            <v>0</v>
          </cell>
          <cell r="AU41">
            <v>6000</v>
          </cell>
          <cell r="AV41">
            <v>6000</v>
          </cell>
          <cell r="AW41">
            <v>6000</v>
          </cell>
          <cell r="AX41">
            <v>6000</v>
          </cell>
          <cell r="AY41">
            <v>6000</v>
          </cell>
          <cell r="AZ41">
            <v>6000</v>
          </cell>
          <cell r="BA41">
            <v>6000</v>
          </cell>
          <cell r="BB41">
            <v>6000</v>
          </cell>
          <cell r="BC41">
            <v>6000</v>
          </cell>
          <cell r="BD41">
            <v>6000</v>
          </cell>
          <cell r="BE41">
            <v>6000</v>
          </cell>
          <cell r="BF41">
            <v>6000</v>
          </cell>
          <cell r="BG41">
            <v>5437</v>
          </cell>
          <cell r="BH41">
            <v>5437</v>
          </cell>
          <cell r="BI41">
            <v>6000</v>
          </cell>
          <cell r="BJ41">
            <v>6000</v>
          </cell>
          <cell r="BK41">
            <v>6000</v>
          </cell>
          <cell r="BL41">
            <v>6000</v>
          </cell>
          <cell r="BM41">
            <v>6000</v>
          </cell>
          <cell r="BN41">
            <v>6000</v>
          </cell>
          <cell r="BO41">
            <v>6000</v>
          </cell>
          <cell r="BP41">
            <v>6000</v>
          </cell>
          <cell r="BQ41">
            <v>6000</v>
          </cell>
          <cell r="BR41">
            <v>6000</v>
          </cell>
          <cell r="BS41">
            <v>6000</v>
          </cell>
          <cell r="BT41">
            <v>6000</v>
          </cell>
          <cell r="BU41">
            <v>7847</v>
          </cell>
          <cell r="BV41">
            <v>7847</v>
          </cell>
          <cell r="BW41">
            <v>14192</v>
          </cell>
          <cell r="BX41">
            <v>14192</v>
          </cell>
          <cell r="BY41">
            <v>14192</v>
          </cell>
          <cell r="BZ41">
            <v>14192</v>
          </cell>
          <cell r="CA41">
            <v>14192</v>
          </cell>
          <cell r="CB41">
            <v>14192</v>
          </cell>
          <cell r="CC41">
            <v>14192</v>
          </cell>
          <cell r="CD41">
            <v>14192</v>
          </cell>
          <cell r="CE41">
            <v>14192</v>
          </cell>
          <cell r="CF41">
            <v>14192</v>
          </cell>
          <cell r="CG41">
            <v>14192</v>
          </cell>
          <cell r="CH41">
            <v>14192</v>
          </cell>
          <cell r="CI41">
            <v>7847</v>
          </cell>
          <cell r="CJ41">
            <v>14192</v>
          </cell>
          <cell r="CK41">
            <v>0</v>
          </cell>
          <cell r="CL41">
            <v>14192</v>
          </cell>
          <cell r="CM41">
            <v>0</v>
          </cell>
          <cell r="CN41">
            <v>14192</v>
          </cell>
          <cell r="CO41">
            <v>0</v>
          </cell>
          <cell r="CP41">
            <v>0</v>
          </cell>
          <cell r="CQ41">
            <v>0</v>
          </cell>
          <cell r="CR41">
            <v>0</v>
          </cell>
          <cell r="CS41">
            <v>0</v>
          </cell>
          <cell r="CT41">
            <v>0</v>
          </cell>
          <cell r="CU41">
            <v>0</v>
          </cell>
          <cell r="CV41">
            <v>0</v>
          </cell>
          <cell r="CW41">
            <v>7847</v>
          </cell>
          <cell r="CX41">
            <v>7847</v>
          </cell>
          <cell r="CY41">
            <v>0</v>
          </cell>
          <cell r="CZ41">
            <v>0</v>
          </cell>
          <cell r="DA41">
            <v>0</v>
          </cell>
          <cell r="DB41">
            <v>0</v>
          </cell>
          <cell r="DC41">
            <v>0</v>
          </cell>
          <cell r="DD41">
            <v>0</v>
          </cell>
          <cell r="DE41">
            <v>0</v>
          </cell>
          <cell r="DF41">
            <v>0</v>
          </cell>
          <cell r="DG41">
            <v>0</v>
          </cell>
          <cell r="DH41">
            <v>0</v>
          </cell>
          <cell r="DI41">
            <v>0</v>
          </cell>
          <cell r="DJ41">
            <v>0</v>
          </cell>
          <cell r="DK41">
            <v>7847</v>
          </cell>
          <cell r="DL41">
            <v>7847</v>
          </cell>
          <cell r="DM41">
            <v>0</v>
          </cell>
          <cell r="DN41">
            <v>0</v>
          </cell>
          <cell r="DO41">
            <v>0</v>
          </cell>
          <cell r="DP41">
            <v>0</v>
          </cell>
          <cell r="DQ41">
            <v>0</v>
          </cell>
          <cell r="DR41">
            <v>0</v>
          </cell>
          <cell r="DS41">
            <v>0</v>
          </cell>
          <cell r="DT41">
            <v>0</v>
          </cell>
          <cell r="DU41">
            <v>0</v>
          </cell>
          <cell r="DV41">
            <v>0</v>
          </cell>
          <cell r="DW41">
            <v>0</v>
          </cell>
          <cell r="DX41">
            <v>0</v>
          </cell>
          <cell r="DY41">
            <v>7847</v>
          </cell>
          <cell r="DZ41">
            <v>7847</v>
          </cell>
          <cell r="EA41">
            <v>0</v>
          </cell>
          <cell r="EB41">
            <v>0</v>
          </cell>
          <cell r="EC41">
            <v>0</v>
          </cell>
          <cell r="ED41">
            <v>0</v>
          </cell>
          <cell r="EE41">
            <v>0</v>
          </cell>
          <cell r="EF41">
            <v>0</v>
          </cell>
          <cell r="EG41">
            <v>0</v>
          </cell>
          <cell r="EH41">
            <v>0</v>
          </cell>
          <cell r="EI41">
            <v>0</v>
          </cell>
          <cell r="EJ41">
            <v>0</v>
          </cell>
          <cell r="EK41">
            <v>0</v>
          </cell>
          <cell r="EL41">
            <v>0</v>
          </cell>
          <cell r="EM41">
            <v>7847</v>
          </cell>
          <cell r="EN41">
            <v>7847</v>
          </cell>
          <cell r="EO41">
            <v>7847</v>
          </cell>
          <cell r="EP41">
            <v>7847</v>
          </cell>
          <cell r="EQ41">
            <v>7847</v>
          </cell>
          <cell r="ER41">
            <v>7847</v>
          </cell>
          <cell r="ES41">
            <v>7847</v>
          </cell>
          <cell r="ET41">
            <v>7847</v>
          </cell>
          <cell r="EU41">
            <v>7847</v>
          </cell>
          <cell r="EV41">
            <v>7847</v>
          </cell>
          <cell r="EW41">
            <v>7847</v>
          </cell>
          <cell r="EX41">
            <v>7847</v>
          </cell>
        </row>
        <row r="42">
          <cell r="A42" t="str">
            <v>PREFERRED STOCK - Series A</v>
          </cell>
          <cell r="B42"/>
          <cell r="C42">
            <v>3528016</v>
          </cell>
          <cell r="D42">
            <v>0</v>
          </cell>
          <cell r="E42">
            <v>3528016</v>
          </cell>
          <cell r="F42">
            <v>3528016</v>
          </cell>
          <cell r="G42">
            <v>3528016</v>
          </cell>
          <cell r="H42">
            <v>3528016</v>
          </cell>
          <cell r="I42">
            <v>3528016</v>
          </cell>
          <cell r="J42">
            <v>3528016</v>
          </cell>
          <cell r="K42">
            <v>3528016</v>
          </cell>
          <cell r="L42">
            <v>3528016</v>
          </cell>
          <cell r="M42">
            <v>3528016</v>
          </cell>
          <cell r="N42">
            <v>3528016</v>
          </cell>
          <cell r="O42">
            <v>3528016</v>
          </cell>
          <cell r="P42">
            <v>3528016</v>
          </cell>
          <cell r="Q42">
            <v>0</v>
          </cell>
          <cell r="R42">
            <v>0</v>
          </cell>
          <cell r="S42">
            <v>3528016</v>
          </cell>
          <cell r="T42">
            <v>3528016</v>
          </cell>
          <cell r="U42">
            <v>3528016</v>
          </cell>
          <cell r="V42">
            <v>3528016</v>
          </cell>
          <cell r="W42">
            <v>3528016</v>
          </cell>
          <cell r="X42">
            <v>3528016</v>
          </cell>
          <cell r="Y42">
            <v>3528016</v>
          </cell>
          <cell r="Z42">
            <v>3528016</v>
          </cell>
          <cell r="AA42">
            <v>3528016</v>
          </cell>
          <cell r="AB42">
            <v>3528016</v>
          </cell>
          <cell r="AC42">
            <v>3528016</v>
          </cell>
          <cell r="AD42">
            <v>3528016</v>
          </cell>
          <cell r="AE42">
            <v>11733012</v>
          </cell>
          <cell r="AF42">
            <v>11733012</v>
          </cell>
          <cell r="AG42">
            <v>3528016</v>
          </cell>
          <cell r="AH42">
            <v>3528016</v>
          </cell>
          <cell r="AI42">
            <v>3528016</v>
          </cell>
          <cell r="AJ42">
            <v>3528016</v>
          </cell>
          <cell r="AK42">
            <v>3528016</v>
          </cell>
          <cell r="AL42">
            <v>3528016</v>
          </cell>
          <cell r="AM42">
            <v>3528016</v>
          </cell>
          <cell r="AN42">
            <v>3528016</v>
          </cell>
          <cell r="AO42">
            <v>3528016</v>
          </cell>
          <cell r="AP42">
            <v>3528016</v>
          </cell>
          <cell r="AQ42">
            <v>3528016</v>
          </cell>
          <cell r="AR42">
            <v>3528016</v>
          </cell>
          <cell r="AS42">
            <v>28431382</v>
          </cell>
          <cell r="AT42">
            <v>28431382</v>
          </cell>
          <cell r="AU42">
            <v>3528016</v>
          </cell>
          <cell r="AV42">
            <v>3528016</v>
          </cell>
          <cell r="AW42">
            <v>3528016</v>
          </cell>
          <cell r="AX42">
            <v>3528016</v>
          </cell>
          <cell r="AY42">
            <v>3528016</v>
          </cell>
          <cell r="AZ42">
            <v>3528016</v>
          </cell>
          <cell r="BA42">
            <v>3528016</v>
          </cell>
          <cell r="BB42">
            <v>3528016</v>
          </cell>
          <cell r="BC42">
            <v>3528016</v>
          </cell>
          <cell r="BD42">
            <v>3528016</v>
          </cell>
          <cell r="BE42">
            <v>3528016</v>
          </cell>
          <cell r="BF42">
            <v>3528016</v>
          </cell>
          <cell r="BG42"/>
          <cell r="BH42"/>
          <cell r="BI42">
            <v>3528016</v>
          </cell>
          <cell r="BJ42">
            <v>3528016</v>
          </cell>
          <cell r="BK42">
            <v>3528016</v>
          </cell>
          <cell r="BL42">
            <v>3528016</v>
          </cell>
          <cell r="BM42">
            <v>3528016</v>
          </cell>
          <cell r="BN42">
            <v>3528016</v>
          </cell>
          <cell r="BO42">
            <v>3528016</v>
          </cell>
          <cell r="BP42">
            <v>3528016</v>
          </cell>
          <cell r="BQ42">
            <v>3528016</v>
          </cell>
          <cell r="BR42">
            <v>3528016</v>
          </cell>
          <cell r="BS42">
            <v>3528016</v>
          </cell>
          <cell r="BT42">
            <v>3528016</v>
          </cell>
          <cell r="BU42">
            <v>0</v>
          </cell>
          <cell r="BV42">
            <v>0</v>
          </cell>
          <cell r="BW42">
            <v>3553315</v>
          </cell>
          <cell r="BX42">
            <v>3553315</v>
          </cell>
          <cell r="BY42">
            <v>3553315</v>
          </cell>
          <cell r="BZ42">
            <v>3553315</v>
          </cell>
          <cell r="CA42">
            <v>3553315</v>
          </cell>
          <cell r="CB42">
            <v>3553315</v>
          </cell>
          <cell r="CC42">
            <v>3553315</v>
          </cell>
          <cell r="CD42">
            <v>3553315</v>
          </cell>
          <cell r="CE42">
            <v>3553315</v>
          </cell>
          <cell r="CF42">
            <v>3553315</v>
          </cell>
          <cell r="CG42">
            <v>3553315</v>
          </cell>
          <cell r="CH42">
            <v>3553315</v>
          </cell>
          <cell r="CI42"/>
          <cell r="CJ42">
            <v>3553315</v>
          </cell>
          <cell r="CK42">
            <v>48383893</v>
          </cell>
          <cell r="CL42">
            <v>3553315</v>
          </cell>
          <cell r="CM42">
            <v>48383893</v>
          </cell>
          <cell r="CN42">
            <v>3553315</v>
          </cell>
          <cell r="CO42">
            <v>48383893</v>
          </cell>
          <cell r="CP42">
            <v>48383893</v>
          </cell>
          <cell r="CQ42">
            <v>48383893</v>
          </cell>
          <cell r="CR42">
            <v>48383893</v>
          </cell>
          <cell r="CS42">
            <v>48383893</v>
          </cell>
          <cell r="CT42">
            <v>48383893</v>
          </cell>
          <cell r="CU42">
            <v>48383893</v>
          </cell>
          <cell r="CV42">
            <v>48383893</v>
          </cell>
          <cell r="CW42"/>
          <cell r="CX42">
            <v>0</v>
          </cell>
          <cell r="CY42">
            <v>48383893</v>
          </cell>
          <cell r="CZ42">
            <v>48383893</v>
          </cell>
          <cell r="DA42">
            <v>48383893</v>
          </cell>
          <cell r="DB42">
            <v>48383893</v>
          </cell>
          <cell r="DC42">
            <v>48383893</v>
          </cell>
          <cell r="DD42">
            <v>48383893</v>
          </cell>
          <cell r="DE42">
            <v>48383893</v>
          </cell>
          <cell r="DF42">
            <v>48383893</v>
          </cell>
          <cell r="DG42">
            <v>83383893</v>
          </cell>
          <cell r="DH42">
            <v>83383893</v>
          </cell>
          <cell r="DI42">
            <v>83383893</v>
          </cell>
          <cell r="DJ42">
            <v>83383893</v>
          </cell>
          <cell r="DK42">
            <v>0</v>
          </cell>
          <cell r="DL42">
            <v>0</v>
          </cell>
          <cell r="DM42">
            <v>83383893</v>
          </cell>
          <cell r="DN42">
            <v>83383893</v>
          </cell>
          <cell r="DO42">
            <v>83383893</v>
          </cell>
          <cell r="DP42">
            <v>83383893</v>
          </cell>
          <cell r="DQ42">
            <v>83383893</v>
          </cell>
          <cell r="DR42">
            <v>83383893</v>
          </cell>
          <cell r="DS42">
            <v>83383893</v>
          </cell>
          <cell r="DT42">
            <v>83383893</v>
          </cell>
          <cell r="DU42">
            <v>83383893</v>
          </cell>
          <cell r="DV42">
            <v>83383893</v>
          </cell>
          <cell r="DW42">
            <v>83383893</v>
          </cell>
          <cell r="DX42">
            <v>83383893</v>
          </cell>
          <cell r="DY42">
            <v>0</v>
          </cell>
          <cell r="DZ42">
            <v>0</v>
          </cell>
          <cell r="EA42">
            <v>83383893</v>
          </cell>
          <cell r="EB42">
            <v>83383893</v>
          </cell>
          <cell r="EC42">
            <v>83383893</v>
          </cell>
          <cell r="ED42">
            <v>83383893</v>
          </cell>
          <cell r="EE42">
            <v>83383893</v>
          </cell>
          <cell r="EF42">
            <v>83383893</v>
          </cell>
          <cell r="EG42">
            <v>83383893</v>
          </cell>
          <cell r="EH42">
            <v>83383893</v>
          </cell>
          <cell r="EI42">
            <v>83383893</v>
          </cell>
          <cell r="EJ42">
            <v>83383893</v>
          </cell>
          <cell r="EK42">
            <v>83383893</v>
          </cell>
          <cell r="EL42">
            <v>83383893</v>
          </cell>
          <cell r="EM42">
            <v>0</v>
          </cell>
          <cell r="EN42">
            <v>0</v>
          </cell>
          <cell r="EO42">
            <v>0</v>
          </cell>
          <cell r="EP42">
            <v>0</v>
          </cell>
          <cell r="EQ42">
            <v>0</v>
          </cell>
          <cell r="ER42">
            <v>0</v>
          </cell>
          <cell r="ES42">
            <v>0</v>
          </cell>
          <cell r="ET42">
            <v>0</v>
          </cell>
          <cell r="EU42">
            <v>0</v>
          </cell>
          <cell r="EV42">
            <v>0</v>
          </cell>
          <cell r="EW42">
            <v>0</v>
          </cell>
          <cell r="EX42">
            <v>0</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row r="1">
          <cell r="N1" t="str">
            <v>@SUM({LEFT}.</v>
          </cell>
        </row>
      </sheetData>
      <sheetData sheetId="16"/>
      <sheetData sheetId="17">
        <row r="1">
          <cell r="N1" t="str">
            <v>@SUM({LEFT}.</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sheetData sheetId="34"/>
      <sheetData sheetId="35"/>
      <sheetData sheetId="36"/>
      <sheetData sheetId="37"/>
      <sheetData sheetId="38" refreshError="1"/>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ow r="15">
          <cell r="G15" t="str">
            <v>47331</v>
          </cell>
        </row>
      </sheetData>
      <sheetData sheetId="192"/>
      <sheetData sheetId="193"/>
      <sheetData sheetId="194">
        <row r="1">
          <cell r="N1" t="str">
            <v>@SUM({LEFT}.</v>
          </cell>
        </row>
      </sheetData>
      <sheetData sheetId="195"/>
      <sheetData sheetId="196"/>
      <sheetData sheetId="197"/>
      <sheetData sheetId="198"/>
      <sheetData sheetId="199"/>
      <sheetData sheetId="200"/>
      <sheetData sheetId="201">
        <row r="1">
          <cell r="N1" t="str">
            <v>@SUM({LEFT}.</v>
          </cell>
        </row>
      </sheetData>
      <sheetData sheetId="202"/>
      <sheetData sheetId="203"/>
      <sheetData sheetId="204">
        <row r="1">
          <cell r="N1" t="str">
            <v>@SUM({LEFT}.</v>
          </cell>
        </row>
      </sheetData>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ow r="40">
          <cell r="C40" t="str">
            <v>N/A</v>
          </cell>
        </row>
      </sheetData>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row r="8">
          <cell r="B8" t="str">
            <v>MONTH END SPOT RATES:</v>
          </cell>
        </row>
      </sheetData>
      <sheetData sheetId="471">
        <row r="8">
          <cell r="B8" t="str">
            <v>MONTH END SPOT RATES:</v>
          </cell>
        </row>
      </sheetData>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118">
          <cell r="A118" t="str">
            <v>Recover</v>
          </cell>
        </row>
      </sheetData>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refreshError="1"/>
      <sheetData sheetId="803"/>
      <sheetData sheetId="804" refreshError="1"/>
      <sheetData sheetId="805" refreshError="1"/>
      <sheetData sheetId="806" refreshError="1"/>
      <sheetData sheetId="807"/>
      <sheetData sheetId="808"/>
      <sheetData sheetId="809"/>
      <sheetData sheetId="810"/>
      <sheetData sheetId="811"/>
      <sheetData sheetId="812"/>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refreshError="1"/>
      <sheetData sheetId="825"/>
      <sheetData sheetId="826"/>
      <sheetData sheetId="827"/>
      <sheetData sheetId="828"/>
      <sheetData sheetId="829"/>
      <sheetData sheetId="830"/>
      <sheetData sheetId="831"/>
      <sheetData sheetId="832" refreshError="1"/>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refreshError="1"/>
      <sheetData sheetId="907" refreshError="1"/>
      <sheetData sheetId="908" refreshError="1"/>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ap table 1.31.2025"/>
      <sheetName val="Pool Increase Calcs"/>
      <sheetName val="Employee List"/>
      <sheetName val="Grant Approval List"/>
      <sheetName val="Sheet1"/>
      <sheetName val="Grants"/>
      <sheetName val="Lists"/>
      <sheetName val="Market Data"/>
      <sheetName val="Matrix"/>
      <sheetName val="Hiring Plan"/>
      <sheetName val="EnCarda, Inc. Amended and Re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Cap table 1.31.2025"/>
      <sheetName val="Pool Increase Calcs"/>
      <sheetName val="Employee List"/>
      <sheetName val="Grant Approval List"/>
      <sheetName val="Sheet1"/>
      <sheetName val="Grants"/>
      <sheetName val="Lists"/>
      <sheetName val="Market Data"/>
      <sheetName val="Matrix"/>
      <sheetName val="Hiring Plan"/>
      <sheetName val="EnCarda, Inc. Amended and Re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BS"/>
      <sheetName val="Title Page"/>
      <sheetName val="Table"/>
      <sheetName val="2. IS TOT (bud vs act)"/>
      <sheetName val="3. SCF (bud vs act)"/>
      <sheetName val="4. IS TOT Detail"/>
      <sheetName val="5. IS 100 G&amp;A"/>
      <sheetName val="6. IS R&amp;D"/>
      <sheetName val="6a. IS 200"/>
      <sheetName val="6b. IS 201"/>
      <sheetName val="6c. IS 202"/>
      <sheetName val="6d. IS 203"/>
      <sheetName val="6e. IS 204"/>
      <sheetName val="7. IS 300"/>
      <sheetName val="7. Clinical"/>
      <sheetName val="8. Shop-Lab CapX"/>
      <sheetName val="9. Software CapX"/>
      <sheetName val="R&amp;D Consulting"/>
      <sheetName val="R&amp;D NRE"/>
      <sheetName val="R&amp;D Prototype Parts"/>
      <sheetName val="IS TOT"/>
      <sheetName val="SCF"/>
      <sheetName val="Salaries Compare"/>
      <sheetName val="10. Fixed Asset Detail"/>
      <sheetName val="R&amp;D Recruiting"/>
      <sheetName val="R&amp;D Consulting Exp"/>
      <sheetName val="R&amp;D Cons Bud vs Act"/>
      <sheetName val="Comps (2)"/>
      <sheetName val="BSMONTH"/>
      <sheetName val="MMCA"/>
      <sheetName val="Title_Page"/>
      <sheetName val="1__BS"/>
      <sheetName val="2__IS_TOT_(bud_vs_act)"/>
      <sheetName val="3__SCF_(bud_vs_act)"/>
      <sheetName val="4__IS_TOT_Detail"/>
      <sheetName val="5__IS_100_G&amp;A"/>
      <sheetName val="6__IS_R&amp;D"/>
      <sheetName val="6a__IS_200"/>
      <sheetName val="6b__IS_201"/>
      <sheetName val="6c__IS_202"/>
      <sheetName val="6d__IS_203"/>
      <sheetName val="6e__IS_204"/>
      <sheetName val="7__IS_300"/>
      <sheetName val="7__Clinical"/>
      <sheetName val="8__Shop-Lab_CapX"/>
      <sheetName val="9__Software_CapX"/>
      <sheetName val="R&amp;D_Consulting"/>
      <sheetName val="R&amp;D_NRE"/>
      <sheetName val="R&amp;D_Prototype_Parts"/>
      <sheetName val="IS_TOT"/>
      <sheetName val="Salaries_Compare"/>
      <sheetName val="10__Fixed_Asset_Detail"/>
      <sheetName val="R&amp;D_Recruiting"/>
      <sheetName val="R&amp;D_Consulting_Exp"/>
      <sheetName val="R&amp;D_Cons_Bud_vs_Act"/>
      <sheetName val="Gross Receipts"/>
      <sheetName val="Title_Page1"/>
      <sheetName val="1__BS1"/>
      <sheetName val="2__IS_TOT_(bud_vs_act)1"/>
      <sheetName val="3__SCF_(bud_vs_act)1"/>
      <sheetName val="4__IS_TOT_Detail1"/>
      <sheetName val="5__IS_100_G&amp;A1"/>
      <sheetName val="6__IS_R&amp;D1"/>
      <sheetName val="6a__IS_2001"/>
      <sheetName val="6b__IS_2011"/>
      <sheetName val="6c__IS_2021"/>
      <sheetName val="6d__IS_2031"/>
      <sheetName val="6e__IS_2041"/>
      <sheetName val="7__IS_3001"/>
      <sheetName val="7__Clinical1"/>
      <sheetName val="8__Shop-Lab_CapX1"/>
      <sheetName val="9__Software_CapX1"/>
      <sheetName val="R&amp;D_Consulting1"/>
      <sheetName val="R&amp;D_NRE1"/>
      <sheetName val="R&amp;D_Prototype_Parts1"/>
      <sheetName val="IS_TOT1"/>
      <sheetName val="Salaries_Compare1"/>
      <sheetName val="10__Fixed_Asset_Detail1"/>
      <sheetName val="R&amp;D_Recruiting1"/>
      <sheetName val="R&amp;D_Consulting_Exp1"/>
      <sheetName val="R&amp;D_Cons_Bud_vs_Act1"/>
      <sheetName val="FS_01-2003"/>
      <sheetName val="Consol"/>
      <sheetName val="InputSheet"/>
      <sheetName val="98 P&amp;L Data"/>
      <sheetName val="20"/>
      <sheetName val="Historical Fin. Summary 3"/>
      <sheetName val="Revenue Breakdown"/>
      <sheetName val="Customize Your Purchase Order"/>
      <sheetName val="K2a_008-7817391(2005)"/>
      <sheetName val="Title_Page2"/>
      <sheetName val="1__BS2"/>
      <sheetName val="2__IS_TOT_(bud_vs_act)2"/>
      <sheetName val="3__SCF_(bud_vs_act)2"/>
      <sheetName val="4__IS_TOT_Detail2"/>
      <sheetName val="5__IS_100_G&amp;A2"/>
      <sheetName val="6__IS_R&amp;D2"/>
      <sheetName val="6a__IS_2002"/>
      <sheetName val="6b__IS_2012"/>
      <sheetName val="6c__IS_2022"/>
      <sheetName val="6d__IS_2032"/>
      <sheetName val="6e__IS_2042"/>
      <sheetName val="7__IS_3002"/>
      <sheetName val="7__Clinical2"/>
      <sheetName val="8__Shop-Lab_CapX2"/>
      <sheetName val="9__Software_CapX2"/>
      <sheetName val="R&amp;D_Consulting2"/>
      <sheetName val="R&amp;D_NRE2"/>
      <sheetName val="R&amp;D_Prototype_Parts2"/>
      <sheetName val="IS_TOT2"/>
      <sheetName val="Salaries_Compare2"/>
      <sheetName val="10__Fixed_Asset_Detail2"/>
      <sheetName val="R&amp;D_Recruiting2"/>
      <sheetName val="R&amp;D_Consulting_Exp2"/>
      <sheetName val="R&amp;D_Cons_Bud_vs_Act2"/>
      <sheetName val="Comps_(2)"/>
      <sheetName val="departments"/>
      <sheetName val="Check"/>
      <sheetName val="Inputs"/>
      <sheetName val="Settings"/>
      <sheetName val="DeptSummary"/>
      <sheetName val="Headcount"/>
      <sheetName val="Sheet1"/>
      <sheetName val="Contributory Assets Detail"/>
      <sheetName val="Assumptions and Inputs"/>
      <sheetName val="Amortization of Asset Value"/>
      <sheetName val="Salaried main"/>
      <sheetName val="acctdesc"/>
      <sheetName val="CC mapping"/>
      <sheetName val="AMT"/>
      <sheetName val="Franchise Base"/>
      <sheetName val="Main Info"/>
      <sheetName val="Main Tax Wksht"/>
      <sheetName val="Payroll Factor"/>
      <sheetName val="Property Factor"/>
      <sheetName val="Sales Factor"/>
      <sheetName val="State Questions"/>
      <sheetName val="Table 1"/>
      <sheetName val="Chart 1 (2)"/>
      <sheetName val="AR Detail"/>
      <sheetName val="Control"/>
      <sheetName val="COA"/>
      <sheetName val="CLT Bud"/>
      <sheetName val="PAF List and Restatment Upload"/>
      <sheetName val="ELS Bud"/>
      <sheetName val="RSK Bud"/>
      <sheetName val="Tot Bud"/>
      <sheetName val="39기"/>
      <sheetName val="Odwalla"/>
      <sheetName val="Title_Page3"/>
      <sheetName val="1__BS3"/>
      <sheetName val="2__IS_TOT_(bud_vs_act)3"/>
      <sheetName val="3__SCF_(bud_vs_act)3"/>
      <sheetName val="4__IS_TOT_Detail3"/>
      <sheetName val="5__IS_100_G&amp;A3"/>
      <sheetName val="6__IS_R&amp;D3"/>
      <sheetName val="6a__IS_2003"/>
      <sheetName val="6b__IS_2013"/>
      <sheetName val="6c__IS_2023"/>
      <sheetName val="6d__IS_2033"/>
      <sheetName val="6e__IS_2043"/>
      <sheetName val="7__IS_3003"/>
      <sheetName val="7__Clinical3"/>
      <sheetName val="8__Shop-Lab_CapX3"/>
      <sheetName val="9__Software_CapX3"/>
      <sheetName val="R&amp;D_Consulting3"/>
      <sheetName val="R&amp;D_NRE3"/>
      <sheetName val="R&amp;D_Prototype_Parts3"/>
      <sheetName val="IS_TOT3"/>
      <sheetName val="Salaries_Compare3"/>
      <sheetName val="10__Fixed_Asset_Detail3"/>
      <sheetName val="R&amp;D_Recruiting3"/>
      <sheetName val="R&amp;D_Consulting_Exp3"/>
      <sheetName val="R&amp;D_Cons_Bud_vs_Act3"/>
      <sheetName val="Comps_(2)1"/>
      <sheetName val="98_P&amp;L_Data"/>
      <sheetName val="Historical_Fin__Summary_3"/>
      <sheetName val="Revenue_Breakdown"/>
      <sheetName val="Customize_Your_Purchase_Order"/>
      <sheetName val="Gross_Receipts"/>
      <sheetName val="Title_Page4"/>
      <sheetName val="1__BS4"/>
      <sheetName val="2__IS_TOT_(bud_vs_act)4"/>
      <sheetName val="3__SCF_(bud_vs_act)4"/>
      <sheetName val="4__IS_TOT_Detail4"/>
      <sheetName val="5__IS_100_G&amp;A4"/>
      <sheetName val="6__IS_R&amp;D4"/>
      <sheetName val="6a__IS_2004"/>
      <sheetName val="6b__IS_2014"/>
      <sheetName val="6c__IS_2024"/>
      <sheetName val="6d__IS_2034"/>
      <sheetName val="6e__IS_2044"/>
      <sheetName val="7__IS_3004"/>
      <sheetName val="7__Clinical4"/>
      <sheetName val="8__Shop-Lab_CapX4"/>
      <sheetName val="9__Software_CapX4"/>
      <sheetName val="R&amp;D_Consulting4"/>
      <sheetName val="R&amp;D_NRE4"/>
      <sheetName val="R&amp;D_Prototype_Parts4"/>
      <sheetName val="IS_TOT4"/>
      <sheetName val="Salaries_Compare4"/>
      <sheetName val="10__Fixed_Asset_Detail4"/>
      <sheetName val="R&amp;D_Recruiting4"/>
      <sheetName val="R&amp;D_Consulting_Exp4"/>
      <sheetName val="R&amp;D_Cons_Bud_vs_Act4"/>
      <sheetName val="Comps_(2)2"/>
      <sheetName val="98_P&amp;L_Data1"/>
      <sheetName val="Historical_Fin__Summary_31"/>
      <sheetName val="Revenue_Breakdown1"/>
      <sheetName val="Customize_Your_Purchase_Order1"/>
      <sheetName val="Gross_Receipts1"/>
      <sheetName val="Control Panel"/>
      <sheetName val="Title_Page5"/>
      <sheetName val="1__BS5"/>
      <sheetName val="2__IS_TOT_(bud_vs_act)5"/>
      <sheetName val="3__SCF_(bud_vs_act)5"/>
      <sheetName val="4__IS_TOT_Detail5"/>
      <sheetName val="5__IS_100_G&amp;A5"/>
      <sheetName val="6__IS_R&amp;D5"/>
      <sheetName val="6a__IS_2005"/>
      <sheetName val="6b__IS_2015"/>
      <sheetName val="6c__IS_2025"/>
      <sheetName val="6d__IS_2035"/>
      <sheetName val="6e__IS_2045"/>
      <sheetName val="7__IS_3005"/>
      <sheetName val="7__Clinical5"/>
      <sheetName val="8__Shop-Lab_CapX5"/>
      <sheetName val="9__Software_CapX5"/>
      <sheetName val="R&amp;D_Consulting5"/>
      <sheetName val="R&amp;D_NRE5"/>
      <sheetName val="R&amp;D_Prototype_Parts5"/>
      <sheetName val="IS_TOT5"/>
      <sheetName val="Salaries_Compare5"/>
      <sheetName val="10__Fixed_Asset_Detail5"/>
      <sheetName val="R&amp;D_Recruiting5"/>
      <sheetName val="R&amp;D_Consulting_Exp5"/>
      <sheetName val="R&amp;D_Cons_Bud_vs_Act5"/>
      <sheetName val="Comps_(2)3"/>
      <sheetName val="98_P&amp;L_Data2"/>
      <sheetName val="Historical_Fin__Summary_32"/>
      <sheetName val="Revenue_Breakdown2"/>
      <sheetName val="Customize_Your_Purchase_Order2"/>
      <sheetName val="Gross_Receipts2"/>
      <sheetName val="Pro Sales Buildup"/>
      <sheetName val="historical is"/>
      <sheetName val="wsLookup_AllocRules"/>
      <sheetName val="Manual Allocations"/>
      <sheetName val="AA.3 US CURRENT (Payable)"/>
    </sheetNames>
    <sheetDataSet>
      <sheetData sheetId="0" refreshError="1">
        <row r="30">
          <cell r="A30" t="str">
            <v>ORGANIZATION COSTS,NET</v>
          </cell>
        </row>
        <row r="37">
          <cell r="A37" t="str">
            <v>OTHER CURRENT LIABILITIES</v>
          </cell>
          <cell r="C37">
            <v>207729</v>
          </cell>
        </row>
        <row r="41">
          <cell r="A41" t="str">
            <v>LINE OF CREDIT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30">
          <cell r="A30" t="str">
            <v xml:space="preserve">    ORGANIZATION COSTS,NET</v>
          </cell>
        </row>
      </sheetData>
      <sheetData sheetId="32">
        <row r="30">
          <cell r="A30" t="str">
            <v xml:space="preserve">    ORGANIZATION COSTS,NET</v>
          </cell>
        </row>
      </sheetData>
      <sheetData sheetId="33">
        <row r="30">
          <cell r="A30" t="str">
            <v xml:space="preserve">    ORGANIZATION COSTS,NET</v>
          </cell>
        </row>
      </sheetData>
      <sheetData sheetId="34">
        <row r="30">
          <cell r="A30" t="str">
            <v xml:space="preserve">    ORGANIZATION COSTS,NET</v>
          </cell>
        </row>
      </sheetData>
      <sheetData sheetId="35">
        <row r="30">
          <cell r="A30" t="str">
            <v xml:space="preserve">    ORGANIZATION COSTS,NET</v>
          </cell>
        </row>
      </sheetData>
      <sheetData sheetId="36">
        <row r="30">
          <cell r="A30" t="str">
            <v xml:space="preserve">    ORGANIZATION COSTS,NET</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row r="30">
          <cell r="A30" t="str">
            <v xml:space="preserve">    ORGANIZATION COSTS,NET</v>
          </cell>
        </row>
      </sheetData>
      <sheetData sheetId="58">
        <row r="30">
          <cell r="A30" t="str">
            <v xml:space="preserve">    ORGANIZATION COSTS,NET</v>
          </cell>
        </row>
      </sheetData>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ow r="30">
          <cell r="A30" t="str">
            <v xml:space="preserve">    ORGANIZATION COSTS,NET</v>
          </cell>
        </row>
      </sheetData>
      <sheetData sheetId="92"/>
      <sheetData sheetId="93">
        <row r="30">
          <cell r="A30" t="str">
            <v xml:space="preserve">    ORGANIZATION COSTS,NET</v>
          </cell>
        </row>
      </sheetData>
      <sheetData sheetId="94"/>
      <sheetData sheetId="95">
        <row r="30">
          <cell r="A30" t="str">
            <v xml:space="preserve">    ORGANIZATION COSTS,NET</v>
          </cell>
        </row>
      </sheetData>
      <sheetData sheetId="96"/>
      <sheetData sheetId="97">
        <row r="30">
          <cell r="A30" t="str">
            <v xml:space="preserve">    ORGANIZATION COSTS,NET</v>
          </cell>
        </row>
      </sheetData>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ow r="30">
          <cell r="A30" t="str">
            <v xml:space="preserve">    ORGANIZATION COSTS,NET</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ow r="30">
          <cell r="A30" t="str">
            <v xml:space="preserve">    ORGANIZATION COSTS,NET</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row r="30">
          <cell r="A30" t="str">
            <v xml:space="preserve">    ORGANIZATION COSTS,NET</v>
          </cell>
        </row>
      </sheetData>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91_97"/>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
      <sheetName val="BS"/>
      <sheetName val="Ops"/>
      <sheetName val="CF"/>
      <sheetName val="Schedules"/>
      <sheetName val="Stm Ops Trend"/>
      <sheetName val="Ops Dept"/>
      <sheetName val=" Ops Dept YTD"/>
      <sheetName val="Checklist"/>
      <sheetName val="Rent Schedule"/>
      <sheetName val="Balance Sheet"/>
      <sheetName val="P&amp;L"/>
      <sheetName val="P&amp;L Dept"/>
      <sheetName val="Census"/>
      <sheetName val="1110 BofA Checking 2656"/>
      <sheetName val="1190 Bill.com Clearing"/>
      <sheetName val="1400 Prepaid Policy"/>
      <sheetName val="1400 Prepaids"/>
      <sheetName val="1500 FA Policy"/>
      <sheetName val="1500 - 1699 FA Depr."/>
      <sheetName val="1810 Deposits"/>
      <sheetName val="2100 AP Trade"/>
      <sheetName val="2211 BofA CC  - Kelly 2420"/>
      <sheetName val="2300 Accrued Compensation"/>
      <sheetName val="2415 Accrued Other"/>
      <sheetName val="2611 and 2621 Promissory Note"/>
      <sheetName val="2630 Convertible Debt"/>
      <sheetName val="Equity"/>
      <sheetName val="Summary cap table"/>
      <sheetName val="Summary by Job Title"/>
      <sheetName val="Intermediate cap"/>
      <sheetName val="Detailed Cap"/>
      <sheetName val="CS Certificate Ledger"/>
      <sheetName val="Convertible 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FP Overview"/>
      <sheetName val="Talent Summary"/>
      <sheetName val="Candidate Details"/>
      <sheetName val="WFP Details"/>
      <sheetName val="WFP Metrics"/>
      <sheetName val="Do Not Change"/>
      <sheetName val="Out of Budget Requests"/>
      <sheetName val="Inputs"/>
    </sheetNames>
    <sheetDataSet>
      <sheetData sheetId="0"/>
      <sheetData sheetId="1"/>
      <sheetData sheetId="2"/>
      <sheetData sheetId="3"/>
      <sheetData sheetId="4"/>
      <sheetData sheetId="5"/>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Non-Statistical Sampling Mast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LE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 Input"/>
      <sheetName val="Firm Data"/>
      <sheetName val="Employee Input-2023"/>
      <sheetName val="Employee Input-NEW"/>
      <sheetName val="Jobs &amp; Descriptions"/>
      <sheetName val="Elements &amp; Mapping"/>
      <sheetName val="Industry Definitions"/>
      <sheetName val="Sheet1"/>
      <sheetName val="Level Definitions"/>
      <sheetName val="Job Match Validator"/>
      <sheetName val="Location and Currency Codes"/>
      <sheetName val="FX Table"/>
      <sheetName val="Insurance Business Alignment"/>
      <sheetName val="Life Sciences Products"/>
      <sheetName val="Restaurant Concept"/>
      <sheetName val="Energy &amp; Mining Specialty"/>
      <sheetName val="ValidJobs"/>
      <sheetName val="DropDowns"/>
      <sheetName val="lookuplists"/>
      <sheetName val="Job_List_Positional"/>
      <sheetName val="Config"/>
      <sheetName val="Employee Input-NEW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G</v>
          </cell>
          <cell r="B1" t="str">
            <v>Bachelors</v>
          </cell>
          <cell r="C1" t="str">
            <v>Foreign Full-Time</v>
          </cell>
        </row>
        <row r="2">
          <cell r="A2" t="str">
            <v>N</v>
          </cell>
          <cell r="B2" t="str">
            <v>Masters</v>
          </cell>
          <cell r="C2" t="str">
            <v>Full-time</v>
          </cell>
        </row>
        <row r="3">
          <cell r="A3" t="str">
            <v>NG</v>
          </cell>
          <cell r="B3" t="str">
            <v>PHD</v>
          </cell>
          <cell r="C3" t="str">
            <v>Part-Time</v>
          </cell>
        </row>
        <row r="4">
          <cell r="A4" t="str">
            <v>P</v>
          </cell>
          <cell r="C4" t="str">
            <v>Temporary International Assignment Full-Time</v>
          </cell>
        </row>
        <row r="5">
          <cell r="A5" t="str">
            <v>PG</v>
          </cell>
          <cell r="C5" t="str">
            <v>Union/Represented Full-Time</v>
          </cell>
        </row>
        <row r="6">
          <cell r="A6" t="str">
            <v>PR</v>
          </cell>
        </row>
        <row r="7">
          <cell r="A7" t="str">
            <v>R</v>
          </cell>
        </row>
        <row r="8">
          <cell r="A8" t="str">
            <v>RG</v>
          </cell>
        </row>
        <row r="9">
          <cell r="A9" t="str">
            <v>T</v>
          </cell>
        </row>
        <row r="10">
          <cell r="A10" t="str">
            <v>TG</v>
          </cell>
        </row>
      </sheetData>
      <sheetData sheetId="19"/>
      <sheetData sheetId="20"/>
      <sheetData sheetId="2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P-2002"/>
      <sheetName val="US GAAP FS"/>
      <sheetName val="原TB表"/>
    </sheet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I"/>
      <sheetName val="Financial Statement"/>
      <sheetName val="Other assmp."/>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F-PA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onsolidated"/>
      <sheetName val="Detailed dep sch"/>
      <sheetName val="XREF"/>
      <sheetName val="Tickmarks"/>
      <sheetName val="G201"/>
      <sheetName val="G301"/>
    </sheetNames>
    <sheetDataSet>
      <sheetData sheetId="0"/>
      <sheetData sheetId="1"/>
      <sheetData sheetId="2"/>
      <sheetData sheetId="3"/>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管理费用其他"/>
      <sheetName val="销售费用其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PERF"/>
      <sheetName val="7"/>
    </sheetNames>
    <sheetDataSet>
      <sheetData sheetId="0" refreshError="1"/>
      <sheetData sheetId="1"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Prameela Ramesan" id="{C1900403-2824-594E-91D4-31961BE8FC21}" userId="prameela209@kardigan.bio" providerId="PeoplePicker"/>
  <person displayName="Lee Anna Ghosh" id="{86BA5420-94D6-E14D-A50E-532BD77F04D6}" userId="S::leeanna075@kardigan.bio::26a944f5-4d81-45c5-bf26-79ead3e6f650" providerId="AD"/>
  <person displayName="Wanying Li" id="{A5B22284-3970-884B-B6E2-EDC95E2BE4CF}" userId="S::wanying010@kardigan.bio::0cac061c-682a-4eef-8312-e7c66ff157e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 Wright" refreshedDate="46092.599799768519" createdVersion="8" refreshedVersion="8" minRefreshableVersion="3" recordCount="343" xr:uid="{9EC99A42-8EE3-3B45-A3F5-FF5CDB86EAA8}">
  <cacheSource type="worksheet">
    <worksheetSource ref="A23:AG23" sheet="WFP Details - 2026"/>
  </cacheSource>
  <cacheFields count="32">
    <cacheField name="Temp Job ID" numFmtId="0">
      <sharedItems containsSemiMixedTypes="0" containsString="0" containsNumber="1" containsInteger="1" minValue="1002" maxValue="9001"/>
    </cacheField>
    <cacheField name="Function" numFmtId="0">
      <sharedItems count="12">
        <s v="Communications"/>
        <s v="Development"/>
        <s v="Executive"/>
        <s v="Legal"/>
        <s v="Office of CFO"/>
        <s v="Research - Translational"/>
        <s v="Office of CSO"/>
        <s v="P&amp;C"/>
        <s v="Quality"/>
        <s v="Research - Discovery"/>
        <s v="Tech Ops"/>
        <s v="xBUFFER - INSERT ROWS ABOVE"/>
      </sharedItems>
    </cacheField>
    <cacheField name="Department" numFmtId="0">
      <sharedItems containsBlank="1" count="30">
        <s v="930 Communications"/>
        <s v="205 Executive Development"/>
        <s v="208 Early Development"/>
        <s v="210 Clinical Operations"/>
        <s v="505 Medical Affairs"/>
        <s v="215 Clinical Development"/>
        <s v="216 Program Management"/>
        <s v="220 Clinical Data Science"/>
        <s v="221 Clinical Data Management"/>
        <s v="230 Pharmacovigilance"/>
        <s v="235 Regulatory"/>
        <s v="901 Executive G&amp;A"/>
        <s v="920 Legal"/>
        <s v="915 Accounting"/>
        <s v="916 Finance"/>
        <s v="960 Facilities"/>
        <s v="970 IT"/>
        <s v="240 Portfolio Management"/>
        <s v="105 Translational Sciences"/>
        <s v="605 Marketing"/>
        <s v="615 Commercial Analytics"/>
        <s v="917 Corporate Strategy"/>
        <s v="925 Business Development"/>
        <s v="910 People and Culture"/>
        <s v="305 Quality"/>
        <s v="110 Discovery"/>
        <s v="115 In Vivo Pharmacology"/>
        <s v="405 Supply Chain"/>
        <s v="410 Manufacturing"/>
        <m/>
      </sharedItems>
    </cacheField>
    <cacheField name="Requestor / Manager" numFmtId="0">
      <sharedItems containsBlank="1" count="85">
        <s v="Tassos Gianakakos"/>
        <s v="Emily Faucette"/>
        <s v="Jaclyn Patterson"/>
        <s v="Jay Edelberg"/>
        <s v="Yehuda Cohen"/>
        <s v="Brianne Leary"/>
        <s v="Cheryl Abbas"/>
        <s v="Caroline Cooper"/>
        <s v="Mindy Worsham"/>
        <s v="Mandy Lin"/>
        <s v="Jody Dosanjh"/>
        <s v="Jessica Kim"/>
        <s v="Sanjay Patel"/>
        <s v="Andrea Koh"/>
        <s v="Global Site Lead"/>
        <s v="Liz Moore"/>
        <s v="Juan Maya"/>
        <s v="Prameela Ramesan"/>
        <s v="Wanying Li"/>
        <s v="Jessie Yan"/>
        <s v="Angela Gao"/>
        <s v="VP Biometrics"/>
        <s v="Lauren Cao"/>
        <s v="Frances Dingle"/>
        <s v="Sheri Van Zandt"/>
        <s v="Krisztina Debreczeni"/>
        <s v="Brian Burns"/>
        <s v="Stu Heminway"/>
        <s v="Nicole Hilgraf"/>
        <s v="NDFM"/>
        <s v="BOD"/>
        <s v="Mike Rhee"/>
        <s v="Rich Person"/>
        <s v="Brianne Jahn"/>
        <s v="Darrin Chang"/>
        <s v="Suresh Sasidaran"/>
        <s v="Oliver Sjahsam"/>
        <s v="Daren Wilkinson"/>
        <s v="Steve Servantez"/>
        <s v="Anand Ramanathan"/>
        <s v="Dawn Bell"/>
        <s v="Vicky Ballard"/>
        <s v="Hector Rodriguez"/>
        <s v="Andy Pasternak"/>
        <s v="Head of Portfolio Strategy"/>
        <s v="Joe Gialanella"/>
        <s v="Brett Koch"/>
        <s v="Betsy O'Neill"/>
        <s v="Liz Nguyen"/>
        <s v="Eric Turzak"/>
        <s v="Ophelia Ng"/>
        <s v="Phillip Wright"/>
        <s v="Nicole Skaluba"/>
        <s v="Diane Hagerty"/>
        <s v="Kaoru Nishino"/>
        <s v="Donna Walters"/>
        <s v="Theresa Friend"/>
        <s v="Ndidi Rickert"/>
        <s v="Justin Thompson"/>
        <s v="Becky Nagel"/>
        <s v="Karmen Starks"/>
        <s v="Johan Oslob"/>
        <s v="Ron Aoyama"/>
        <s v="Steve McKerrall"/>
        <s v="Jim Driscoll"/>
        <s v="Dilara Batan"/>
        <s v="Peipei Li"/>
        <s v="Mary Papadaki"/>
        <s v="Beth Geist"/>
        <s v="Brooke Cobb"/>
        <s v="Carlos del Rio"/>
        <s v="Na Sa"/>
        <s v="Anu Anto"/>
        <s v="Jani Saki"/>
        <s v="Chris Zambataro"/>
        <s v="Aaron Misrack"/>
        <s v="Taylor Elkington"/>
        <s v="Erika Riffel"/>
        <s v="Donald Mackenzie"/>
        <s v="Leon Zhou"/>
        <s v="Amelia Milani"/>
        <s v="Rennan Pan"/>
        <s v="VP DS"/>
        <s v="William Walker"/>
        <m/>
      </sharedItems>
    </cacheField>
    <cacheField name="Employee Type" numFmtId="0">
      <sharedItems containsBlank="1" count="7">
        <s v="FTE"/>
        <s v="TG"/>
        <s v="CW"/>
        <s v="CW to FTE"/>
        <s v="CW PT"/>
        <s v="Postdoc"/>
        <m/>
      </sharedItems>
    </cacheField>
    <cacheField name="Level" numFmtId="0">
      <sharedItems containsBlank="1" count="11">
        <s v="09 - C-Suite"/>
        <s v="07 - Exec. Director"/>
        <s v="06 - Sr. Director"/>
        <s v="01 - Below Manager"/>
        <s v="05 - Director"/>
        <s v="08 - VP"/>
        <s v="03 - Sr. Manager"/>
        <s v="04 - Assoc. Director"/>
        <s v="02 - Manager"/>
        <s v="Not Indicated"/>
        <m/>
      </sharedItems>
    </cacheField>
    <cacheField name="Title" numFmtId="0">
      <sharedItems containsBlank="1"/>
    </cacheField>
    <cacheField name="Location" numFmtId="0">
      <sharedItems containsBlank="1" count="8">
        <s v="SSF"/>
        <s v="PNJ"/>
        <s v="Chicago"/>
        <s v="US Remote"/>
        <s v="EU"/>
        <s v="TBD"/>
        <s v="SSF or PNJ"/>
        <m/>
      </sharedItems>
    </cacheField>
    <cacheField name="Priority" numFmtId="0">
      <sharedItems containsBlank="1" containsMixedTypes="1" containsNumber="1" containsInteger="1" minValue="1" maxValue="4"/>
    </cacheField>
    <cacheField name="Target Start Dt" numFmtId="0">
      <sharedItems containsBlank="1" count="13">
        <s v="2024 Q3"/>
        <s v="2025 Q3"/>
        <s v="2026 Q1"/>
        <s v="2026 Q2"/>
        <s v="2024 Q1"/>
        <s v="2026 Q3"/>
        <s v="2024 Q4"/>
        <s v="2025 Q2"/>
        <s v="2025 Q4"/>
        <s v="2025 Q1"/>
        <s v="2024 Q2"/>
        <s v="2026 Q4"/>
        <m/>
      </sharedItems>
    </cacheField>
    <cacheField name="Recruiting Status" numFmtId="0">
      <sharedItems containsBlank="1" count="6">
        <s v="Hired"/>
        <s v="Open"/>
        <m/>
        <s v="Hired - CW"/>
        <s v="Offer"/>
        <s v="Agency"/>
      </sharedItems>
    </cacheField>
    <cacheField name="Recruiter" numFmtId="0">
      <sharedItems containsBlank="1" count="8">
        <m/>
        <s v="Yen"/>
        <s v="Steven"/>
        <s v="Kim"/>
        <s v="Linda"/>
        <s v="Bob"/>
        <s v="Liz"/>
        <s v="Agency"/>
      </sharedItems>
    </cacheField>
    <cacheField name="Hired Name" numFmtId="0">
      <sharedItems containsBlank="1"/>
    </cacheField>
    <cacheField name="HiBob ID" numFmtId="0">
      <sharedItems containsString="0" containsBlank="1" containsNumber="1" containsInteger="1" minValue="10001" maxValue="10360"/>
    </cacheField>
    <cacheField name="Asset" numFmtId="0">
      <sharedItems containsBlank="1"/>
    </cacheField>
    <cacheField name="Key Capability" numFmtId="0">
      <sharedItems containsBlank="1" longText="1"/>
    </cacheField>
    <cacheField name="Catalyst for Growth (business rationale, key deliverables, etc.)" numFmtId="0">
      <sharedItems containsBlank="1" containsMixedTypes="1" containsNumber="1" containsInteger="1" minValue="6" maxValue="10" longText="1"/>
    </cacheField>
    <cacheField name="Milestone / Trigger for Hire" numFmtId="0">
      <sharedItems containsBlank="1"/>
    </cacheField>
    <cacheField name="Talent Assessment" numFmtId="0">
      <sharedItems containsBlank="1"/>
    </cacheField>
    <cacheField name="Horizon 1" numFmtId="0">
      <sharedItems containsBlank="1"/>
    </cacheField>
    <cacheField name="Tradeoff?" numFmtId="0">
      <sharedItems containsBlank="1"/>
    </cacheField>
    <cacheField name="FP&amp;A_x000a_(CM - Level)" numFmtId="0">
      <sharedItems count="7">
        <s v="1. In line with Budget"/>
        <s v="3. Upgrade"/>
        <s v="4. Incremental Request"/>
        <s v="2. Downgrade"/>
        <s v="N/A - CW"/>
        <s v="N/A - Not in FP&amp;A list"/>
        <s v="N/A - Extra Row"/>
      </sharedItems>
    </cacheField>
    <cacheField name="FP&amp;A_x000a_(CM - Timing)" numFmtId="0">
      <sharedItems count="7">
        <s v="1. In line with Budget"/>
        <s v="2. Delayed"/>
        <s v="4. Incremental Request"/>
        <s v="3. Accelerated"/>
        <s v="N/A - CW"/>
        <s v="N/A - Not in FP&amp;A list"/>
        <s v="N/A - Extra Row"/>
      </sharedItems>
    </cacheField>
    <cacheField name="FP&amp;A_x000a_(Note)" numFmtId="0">
      <sharedItems containsBlank="1"/>
    </cacheField>
    <cacheField name="FP&amp;A_x000a_(255 Approved FTEs)" numFmtId="0">
      <sharedItems containsBlank="1"/>
    </cacheField>
    <cacheField name="FP&amp;A_x000a_(Dept)" numFmtId="0">
      <sharedItems containsBlank="1"/>
    </cacheField>
    <cacheField name="FP&amp;A_x000a_(Dept Tie Out)" numFmtId="0">
      <sharedItems containsBlank="1"/>
    </cacheField>
    <cacheField name="FP&amp;A_x000a_(FTE Name)" numFmtId="0">
      <sharedItems containsBlank="1"/>
    </cacheField>
    <cacheField name="FP&amp;A_x000a_(Level)" numFmtId="0">
      <sharedItems containsBlank="1"/>
    </cacheField>
    <cacheField name="FP&amp;A_x000a_(Title)" numFmtId="0">
      <sharedItems containsBlank="1"/>
    </cacheField>
    <cacheField name="FP&amp;A_x000a_(Hire Date)" numFmtId="0">
      <sharedItems containsDate="1" containsBlank="1" containsMixedTypes="1" minDate="2023-08-18T00:00:00" maxDate="2027-09-16T00:00:00"/>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3">
  <r>
    <n v="1002"/>
    <x v="0"/>
    <x v="0"/>
    <x v="0"/>
    <x v="0"/>
    <x v="0"/>
    <s v="Chief Communications Officer"/>
    <x v="0"/>
    <m/>
    <x v="0"/>
    <x v="0"/>
    <x v="0"/>
    <s v="HIRED: Emily Faucette"/>
    <n v="10019"/>
    <s v="UA"/>
    <s v="Communications Leader"/>
    <m/>
    <m/>
    <m/>
    <m/>
    <m/>
    <x v="0"/>
    <x v="0"/>
    <s v="Included In Budget (Current FTE)"/>
    <s v="x"/>
    <s v="930 Communications"/>
    <s v="OK"/>
    <s v="Emily Faucette"/>
    <s v="10. C-Suite"/>
    <s v="Chief Communications Officer"/>
    <d v="2024-07-15T00:00:00"/>
    <m/>
  </r>
  <r>
    <n v="1003"/>
    <x v="0"/>
    <x v="0"/>
    <x v="1"/>
    <x v="0"/>
    <x v="1"/>
    <s v="Executive Director, Corporate Communications"/>
    <x v="1"/>
    <m/>
    <x v="1"/>
    <x v="0"/>
    <x v="1"/>
    <s v="HIRED: Michael Bachner"/>
    <n v="10265"/>
    <s v="UA"/>
    <s v="External Communications (scenario planning, writing, media and website strategy to support data read outs, pipeline developments and corporate milestons)"/>
    <s v="Pipeline introduction "/>
    <s v="EC levergae hire to support pipeline introduction and upcoming data readouts "/>
    <s v="Experienced Leader with proven track record who can hit the ground running, set strategy, mobilize resources and execute directly as needed.  Must be willing (and motivated) to roll up sleeves and do the work."/>
    <m/>
    <m/>
    <x v="0"/>
    <x v="0"/>
    <s v="Included In Budget (Current FTE)"/>
    <s v="x"/>
    <s v="930 Communications"/>
    <s v="OK"/>
    <s v="Michael Bachner"/>
    <s v="07. Exec. Director"/>
    <s v="Executive Director, External Communications"/>
    <d v="2025-08-25T00:00:00"/>
    <m/>
  </r>
  <r>
    <n v="5001"/>
    <x v="0"/>
    <x v="0"/>
    <x v="1"/>
    <x v="0"/>
    <x v="2"/>
    <s v="KardiPro Internal and External Communications"/>
    <x v="2"/>
    <n v="2"/>
    <x v="2"/>
    <x v="1"/>
    <x v="2"/>
    <s v="N/A"/>
    <m/>
    <s v="UA"/>
    <s v="As the company launches the OKORO Heart Study and introduces Prolaio publically, we need to have a dedicated communications resource based in Chicago to oversee external communications (press releases, media outreach), partner with marketing on website and social media and develop a cohesive internal communications strategy to connect the Prolaians to each other and Kardigan as appropriate."/>
    <s v="Company growth, OKORO study launch, increased external presence and ongoing need to connect Kardigan and Prolaio people and stories as appropriate to drive each business forward."/>
    <s v="Kardigan acquiaition, OKORO study launch, first ever ublic presence beyond customer outreach"/>
    <s v="Experienced Communications leader with proven track record who can hit the ground running, set strategy, mobilize resources and execute directly as needed.  Must be willing (and motivated) to roll up sleeves and do the work. Health Tech experience a plus"/>
    <m/>
    <m/>
    <x v="0"/>
    <x v="0"/>
    <s v="Included In Budget (Open Role)"/>
    <s v="x"/>
    <s v="930 Communications"/>
    <s v="OK"/>
    <s v="N/A"/>
    <s v="06. Sr. Director"/>
    <s v="KardiPro Internal and External Communications"/>
    <d v="2026-03-15T00:00:00"/>
    <m/>
  </r>
  <r>
    <n v="1004"/>
    <x v="0"/>
    <x v="0"/>
    <x v="1"/>
    <x v="0"/>
    <x v="1"/>
    <s v="Exec Director, Internal Communication"/>
    <x v="0"/>
    <n v="1"/>
    <x v="3"/>
    <x v="1"/>
    <x v="1"/>
    <m/>
    <m/>
    <s v="UA"/>
    <s v="Employee communications roadmap to drive internal engagement, connectivity and re-recruitment across sites, partner with on Employer Brand, partner with P&amp;C and IT on intranet startegy"/>
    <s v="As company grows above 100 across 3 locations, increasinly important to have a seasoned, strategic internal communication expert to build a well thought out plan, including the resources to execute"/>
    <s v="Pipeline introduction and upcoming data readouts "/>
    <s v="Experienced Leader with proven track record who can hit the ground running, set strategy, mobilize resources and execute directly as needed.  Must be willing (and motivated) to roll up sleeves and do the work."/>
    <m/>
    <m/>
    <x v="1"/>
    <x v="1"/>
    <s v="Included In Budget (Open Role)"/>
    <s v="x"/>
    <s v="930 Communications"/>
    <s v="OK"/>
    <s v="CW: Meredith Kiernan (Convert to FTE Q1 26)"/>
    <s v="06. Sr. Director"/>
    <s v="Senior Director, Internal Communication"/>
    <d v="2026-03-15T00:00:00"/>
    <m/>
  </r>
  <r>
    <n v="5395"/>
    <x v="1"/>
    <x v="1"/>
    <x v="2"/>
    <x v="1"/>
    <x v="3"/>
    <s v="Senior Executive Assistant"/>
    <x v="1"/>
    <m/>
    <x v="2"/>
    <x v="0"/>
    <x v="3"/>
    <s v="HIRED: Nichole Mirisis-Franks"/>
    <m/>
    <s v="UA"/>
    <s v="Executive assistant - Dev Ops and GPH's"/>
    <m/>
    <m/>
    <m/>
    <m/>
    <m/>
    <x v="2"/>
    <x v="2"/>
    <s v="Incremental Request"/>
    <m/>
    <e v="#N/A"/>
    <s v="Confirm w/ P&amp;C"/>
    <e v="#N/A"/>
    <e v="#N/A"/>
    <e v="#N/A"/>
    <e v="#N/A"/>
    <s v="OOBR"/>
  </r>
  <r>
    <n v="1310"/>
    <x v="1"/>
    <x v="1"/>
    <x v="0"/>
    <x v="0"/>
    <x v="0"/>
    <s v="CMO and Co-Founder"/>
    <x v="1"/>
    <m/>
    <x v="4"/>
    <x v="0"/>
    <x v="0"/>
    <s v="HIRED: Jay Edelberg"/>
    <n v="10002"/>
    <s v="UA"/>
    <s v="Lead Development Org"/>
    <m/>
    <m/>
    <m/>
    <m/>
    <m/>
    <x v="0"/>
    <x v="0"/>
    <s v="Included In Budget (Current FTE)"/>
    <s v="x"/>
    <s v="205 Executive Development"/>
    <s v="OK"/>
    <s v="Jay Edelberg"/>
    <s v="10. C-Suite"/>
    <s v="Chief Medical Officer"/>
    <d v="2023-08-18T00:00:00"/>
    <m/>
  </r>
  <r>
    <n v="1068"/>
    <x v="1"/>
    <x v="1"/>
    <x v="3"/>
    <x v="0"/>
    <x v="3"/>
    <s v="Senior Executive Assistant"/>
    <x v="0"/>
    <m/>
    <x v="0"/>
    <x v="0"/>
    <x v="0"/>
    <s v="HIRED: Jen Yu"/>
    <n v="10070"/>
    <s v="UA"/>
    <s v="Executive assistant - Dev and Quality"/>
    <m/>
    <m/>
    <m/>
    <m/>
    <m/>
    <x v="0"/>
    <x v="0"/>
    <s v="Included In Budget (Current FTE)"/>
    <s v="x"/>
    <s v="205 Executive Development"/>
    <s v="OK"/>
    <s v="Jen Yu"/>
    <s v="01. IC / Coordinator"/>
    <s v="Executive Assistant"/>
    <d v="2024-09-23T00:00:00"/>
    <m/>
  </r>
  <r>
    <n v="5388"/>
    <x v="1"/>
    <x v="1"/>
    <x v="3"/>
    <x v="0"/>
    <x v="4"/>
    <s v="Director, Chief of Staff"/>
    <x v="1"/>
    <m/>
    <x v="5"/>
    <x v="2"/>
    <x v="0"/>
    <m/>
    <m/>
    <s v="UA"/>
    <s v="TBD"/>
    <m/>
    <m/>
    <m/>
    <m/>
    <s v="Potential Tradeoff"/>
    <x v="0"/>
    <x v="3"/>
    <s v="Included In Budget (Open Role)"/>
    <s v="x"/>
    <s v="901 Executive G&amp;A"/>
    <s v="Confirm w/ P&amp;C"/>
    <s v="TBD"/>
    <s v="05. Director"/>
    <s v="Buffer Role"/>
    <d v="2026-09-15T00:00:00"/>
    <m/>
  </r>
  <r>
    <n v="1059"/>
    <x v="1"/>
    <x v="2"/>
    <x v="3"/>
    <x v="0"/>
    <x v="5"/>
    <s v="Vice President, Early Development"/>
    <x v="1"/>
    <m/>
    <x v="6"/>
    <x v="0"/>
    <x v="0"/>
    <s v="HIRED: Yehuda Cohen"/>
    <n v="10089"/>
    <s v="ATA-TLA-Dani"/>
    <s v="Translational Medicine"/>
    <m/>
    <m/>
    <s v="Experienced Leader"/>
    <m/>
    <m/>
    <x v="0"/>
    <x v="0"/>
    <s v="Included In Budget (Current FTE)"/>
    <s v="x"/>
    <s v="208 Early Development"/>
    <s v="OK"/>
    <s v="Yehuda Cohen"/>
    <s v="08. VP"/>
    <s v="VP, Head of Early Clinical"/>
    <d v="2024-11-04T00:00:00"/>
    <m/>
  </r>
  <r>
    <n v="1058"/>
    <x v="1"/>
    <x v="2"/>
    <x v="4"/>
    <x v="0"/>
    <x v="2"/>
    <s v="Senior Director, Biomarkers"/>
    <x v="1"/>
    <m/>
    <x v="7"/>
    <x v="0"/>
    <x v="0"/>
    <s v="HIRED: Philippe Coslet"/>
    <n v="10223"/>
    <s v="ATA-TLA-Dani"/>
    <s v="Biomarkers"/>
    <m/>
    <m/>
    <s v="Experienced Leader"/>
    <m/>
    <m/>
    <x v="1"/>
    <x v="0"/>
    <s v="Included In Budget (Current FTE)"/>
    <s v="x"/>
    <s v="208 Early Development"/>
    <s v="OK"/>
    <s v="Philippe Costet"/>
    <s v="05. Director"/>
    <s v="AD / Director, Biomarkers"/>
    <d v="2025-05-27T00:00:00"/>
    <m/>
  </r>
  <r>
    <n v="1302"/>
    <x v="1"/>
    <x v="2"/>
    <x v="4"/>
    <x v="0"/>
    <x v="6"/>
    <s v="Sr. Scientist, Clinical Pharmacology"/>
    <x v="1"/>
    <m/>
    <x v="5"/>
    <x v="2"/>
    <x v="0"/>
    <m/>
    <m/>
    <s v="ATA-TLA-Dani"/>
    <s v="Clinical pharmacology"/>
    <m/>
    <m/>
    <m/>
    <s v="01 - Data Readout"/>
    <s v="Potential Tradeoff"/>
    <x v="0"/>
    <x v="0"/>
    <s v="Included In Budget (Open Role)"/>
    <s v="x"/>
    <s v="208 Early Development"/>
    <s v="OK"/>
    <s v="TBD"/>
    <s v="03. Sr. Manager / Sr. Scientist"/>
    <s v="Sr. Scientist, Clinical Pharmacology"/>
    <d v="2026-09-15T00:00:00"/>
    <s v="Hire in 2027"/>
  </r>
  <r>
    <n v="1355"/>
    <x v="1"/>
    <x v="3"/>
    <x v="3"/>
    <x v="0"/>
    <x v="5"/>
    <s v="Senior Vice President, Development Operations and Biometrics"/>
    <x v="1"/>
    <m/>
    <x v="8"/>
    <x v="0"/>
    <x v="0"/>
    <s v="HIRED: Jaclyn Patterson"/>
    <n v="10275"/>
    <s v="UA"/>
    <m/>
    <m/>
    <m/>
    <s v="Experienced Leader"/>
    <m/>
    <m/>
    <x v="0"/>
    <x v="0"/>
    <s v="Included In Budget (Current FTE)"/>
    <s v="x"/>
    <s v="210 Clinical Operations"/>
    <s v="OK"/>
    <s v="Jaclyn Patterson"/>
    <s v="08. VP"/>
    <s v="SVP, Development Operations"/>
    <d v="2025-10-13T00:00:00"/>
    <m/>
  </r>
  <r>
    <n v="1370"/>
    <x v="1"/>
    <x v="3"/>
    <x v="2"/>
    <x v="0"/>
    <x v="2"/>
    <s v="Sr. Director, Clinical Ops Program Lead, Dani"/>
    <x v="1"/>
    <s v="Brianne's new role"/>
    <x v="4"/>
    <x v="0"/>
    <x v="0"/>
    <s v="HIRED: Brianne Leary"/>
    <n v="10004"/>
    <s v="Dani"/>
    <m/>
    <m/>
    <m/>
    <m/>
    <s v="01 - Data Readout"/>
    <m/>
    <x v="0"/>
    <x v="0"/>
    <s v="Included In Budget (Current FTE)"/>
    <s v="x"/>
    <s v="210 Clinical Operations"/>
    <s v="OK"/>
    <s v="TBD"/>
    <s v="06. Sr. Director"/>
    <s v="Clinical Ops Program Lead Dani"/>
    <d v="2026-03-15T00:00:00"/>
    <m/>
  </r>
  <r>
    <n v="1036"/>
    <x v="1"/>
    <x v="3"/>
    <x v="2"/>
    <x v="0"/>
    <x v="4"/>
    <s v="Sr. Director, Clinical Operations Program Lead, TLA"/>
    <x v="0"/>
    <m/>
    <x v="9"/>
    <x v="0"/>
    <x v="1"/>
    <s v="HIRED: Caroline Cooper"/>
    <n v="10125"/>
    <s v="TLA"/>
    <s v="Program Management. BACKFILL: Jim Marco"/>
    <m/>
    <m/>
    <m/>
    <m/>
    <m/>
    <x v="0"/>
    <x v="0"/>
    <s v="Included In Budget (Current FTE)"/>
    <s v="x"/>
    <s v="210 Clinical Operations"/>
    <s v="OK"/>
    <s v="Caroline Cooper"/>
    <s v="05. Director"/>
    <s v="Director, Clinical Ops Program Lead, TLA"/>
    <d v="2025-01-06T00:00:00"/>
    <m/>
  </r>
  <r>
    <n v="1032"/>
    <x v="1"/>
    <x v="3"/>
    <x v="5"/>
    <x v="0"/>
    <x v="4"/>
    <s v="Director, Development Business Operations"/>
    <x v="0"/>
    <m/>
    <x v="7"/>
    <x v="0"/>
    <x v="0"/>
    <s v="HIRED: Andrea Koh"/>
    <n v="10204"/>
    <s v="ATA-TLA-Dani"/>
    <s v="Clinical Contracts (CRO/vendors/sites)"/>
    <m/>
    <m/>
    <s v="Experienced Leader"/>
    <m/>
    <m/>
    <x v="0"/>
    <x v="0"/>
    <s v="Included In Budget (Current FTE)"/>
    <s v="x"/>
    <s v="210 Clinical Operations"/>
    <s v="OK"/>
    <s v="Andrea Koh"/>
    <s v="05. Director"/>
    <s v="Director, Dev Business Operations "/>
    <d v="2025-04-28T00:00:00"/>
    <m/>
  </r>
  <r>
    <n v="1044"/>
    <x v="1"/>
    <x v="3"/>
    <x v="5"/>
    <x v="0"/>
    <x v="7"/>
    <s v="Associate Director, Clinical Program Lead"/>
    <x v="0"/>
    <m/>
    <x v="0"/>
    <x v="0"/>
    <x v="0"/>
    <s v="HIRED: Mindy Worsham"/>
    <n v="10079"/>
    <s v="UA"/>
    <s v="Program Management; Phase 3 planning"/>
    <m/>
    <m/>
    <s v="Emerging Leader"/>
    <m/>
    <m/>
    <x v="0"/>
    <x v="0"/>
    <s v="Included In Budget (Current FTE)"/>
    <s v="x"/>
    <s v="210 Clinical Operations"/>
    <s v="OK"/>
    <s v="Mindy Worsham"/>
    <s v="04. AD / Staff Scientist"/>
    <s v="Director, Clinical Operations Excellence"/>
    <d v="2024-09-23T00:00:00"/>
    <m/>
  </r>
  <r>
    <n v="1376"/>
    <x v="1"/>
    <x v="4"/>
    <x v="6"/>
    <x v="0"/>
    <x v="1"/>
    <s v="Executive Director, Medical Disease Area Lead, DCM/Danicamtiv"/>
    <x v="3"/>
    <m/>
    <x v="1"/>
    <x v="0"/>
    <x v="1"/>
    <s v="HIRED: Kristin Williamson"/>
    <n v="10282"/>
    <s v="Dani"/>
    <s v="Medical Affairs"/>
    <m/>
    <m/>
    <m/>
    <s v="01 - Data Readout"/>
    <m/>
    <x v="1"/>
    <x v="0"/>
    <s v="Included In Budget (Current FTE)"/>
    <s v="x"/>
    <s v="505 Medical Affairs"/>
    <s v="OK"/>
    <s v="Kristin Williamson"/>
    <s v="05. Director"/>
    <s v="Medical Disease Area Lead, Dani"/>
    <d v="2025-09-29T00:00:00"/>
    <m/>
  </r>
  <r>
    <n v="1060"/>
    <x v="1"/>
    <x v="4"/>
    <x v="6"/>
    <x v="0"/>
    <x v="1"/>
    <s v="Executive Director, Medical Disease Area Lead, Hypertension/Tonlamarsen"/>
    <x v="3"/>
    <m/>
    <x v="2"/>
    <x v="0"/>
    <x v="1"/>
    <s v="HIRED: Jonathan Ward"/>
    <n v="10316"/>
    <s v="TLA"/>
    <s v="Medical Affairs"/>
    <m/>
    <m/>
    <m/>
    <s v="2025 WFP/ Back-fill"/>
    <m/>
    <x v="1"/>
    <x v="0"/>
    <s v="Included In Budget (Current FTE)"/>
    <s v="x"/>
    <s v="505 Medical Affairs"/>
    <s v="OK"/>
    <s v="BACKFILL: Avery Ince TID: 1060"/>
    <s v="06. Sr. Director"/>
    <s v="Medical Disease Area Lead, TLA"/>
    <d v="2025-12-15T00:00:00"/>
    <s v="likely Q1 fill (last med director to hire)"/>
  </r>
  <r>
    <n v="1383"/>
    <x v="1"/>
    <x v="4"/>
    <x v="6"/>
    <x v="0"/>
    <x v="2"/>
    <s v="Senior Director, Scientific Communications"/>
    <x v="3"/>
    <m/>
    <x v="1"/>
    <x v="0"/>
    <x v="1"/>
    <s v="HIRED: Ruchir Shah"/>
    <n v="10277"/>
    <s v="ATA-TLA-Dani"/>
    <s v="Scientific comms, abstracts, etc. Role is dotted line to Communication for consistency in messaging."/>
    <m/>
    <m/>
    <m/>
    <m/>
    <m/>
    <x v="0"/>
    <x v="0"/>
    <s v="Included In Budget (Current FTE)"/>
    <s v="x"/>
    <s v="505 Medical Affairs"/>
    <s v="OK"/>
    <s v="Ruchir Shah"/>
    <s v="06. Sr. Director"/>
    <s v="Sr. Director, Scientific Communications"/>
    <d v="2025-09-22T00:00:00"/>
    <m/>
  </r>
  <r>
    <n v="1039"/>
    <x v="1"/>
    <x v="3"/>
    <x v="5"/>
    <x v="0"/>
    <x v="7"/>
    <s v="Associate Director, Clinical Trial Lead"/>
    <x v="0"/>
    <m/>
    <x v="0"/>
    <x v="0"/>
    <x v="1"/>
    <s v="HIRED: Mandy Lin"/>
    <n v="10081"/>
    <s v="ATA"/>
    <s v="Clinical Trial Management"/>
    <m/>
    <m/>
    <m/>
    <m/>
    <m/>
    <x v="0"/>
    <x v="0"/>
    <s v="Included In Budget (Current FTE)"/>
    <s v="x"/>
    <s v="210 Clinical Operations"/>
    <s v="OK"/>
    <s v="Mandy Lin"/>
    <s v="04. AD / Staff Scientist"/>
    <s v="Clinical Trial Lead"/>
    <d v="2024-09-23T00:00:00"/>
    <m/>
  </r>
  <r>
    <n v="1292"/>
    <x v="1"/>
    <x v="3"/>
    <x v="7"/>
    <x v="0"/>
    <x v="7"/>
    <s v="Associate Director, Clinical Trial Lead"/>
    <x v="0"/>
    <m/>
    <x v="6"/>
    <x v="0"/>
    <x v="0"/>
    <s v="HIRED: Jody Dosanjh"/>
    <n v="10102"/>
    <s v="Dani"/>
    <s v="Clinical Trial Management"/>
    <m/>
    <m/>
    <m/>
    <m/>
    <m/>
    <x v="0"/>
    <x v="0"/>
    <s v="Included In Budget (Current FTE)"/>
    <s v="x"/>
    <s v="210 Clinical Operations"/>
    <s v="OK"/>
    <s v="Jody Dosanjh"/>
    <s v="04. AD / Staff Scientist"/>
    <s v="Clinical Trial Lead"/>
    <d v="2024-12-02T00:00:00"/>
    <m/>
  </r>
  <r>
    <n v="1037"/>
    <x v="1"/>
    <x v="3"/>
    <x v="7"/>
    <x v="0"/>
    <x v="6"/>
    <s v="Senior Manager, Clinical Trial Lead"/>
    <x v="1"/>
    <m/>
    <x v="2"/>
    <x v="0"/>
    <x v="3"/>
    <s v="HIRED: Araceli Melgar"/>
    <n v="10358"/>
    <s v="TLA"/>
    <m/>
    <m/>
    <m/>
    <s v="Emerging Leader"/>
    <s v="01 - Data Readout"/>
    <m/>
    <x v="3"/>
    <x v="0"/>
    <s v="Included In Budget (Current FTE)"/>
    <s v="x"/>
    <s v="210 Clinical Operations"/>
    <s v="OK"/>
    <s v="CW: Heather Fraser"/>
    <s v="04. AD / Staff Scientist"/>
    <s v="Clinical Trial Lead"/>
    <d v="2025-12-15T00:00:00"/>
    <m/>
  </r>
  <r>
    <n v="1030"/>
    <x v="1"/>
    <x v="3"/>
    <x v="7"/>
    <x v="0"/>
    <x v="6"/>
    <s v="Senior Manager, Clinical Trial Lead"/>
    <x v="1"/>
    <m/>
    <x v="10"/>
    <x v="0"/>
    <x v="0"/>
    <s v="HIRED: Jessica Kim"/>
    <n v="10016"/>
    <s v="TLA"/>
    <s v="Clinical Trial Management.  ION904 Clinical Trial Lead."/>
    <m/>
    <m/>
    <m/>
    <m/>
    <m/>
    <x v="0"/>
    <x v="0"/>
    <s v="Included In Budget (Current FTE)"/>
    <s v="x"/>
    <s v="210 Clinical Operations"/>
    <s v="OK"/>
    <s v="Jessica Kim"/>
    <s v="03. Sr. Manager / Sr. Scientist"/>
    <s v="Clinical Trial Lead"/>
    <d v="2024-06-24T00:00:00"/>
    <m/>
  </r>
  <r>
    <n v="1046"/>
    <x v="1"/>
    <x v="3"/>
    <x v="8"/>
    <x v="0"/>
    <x v="6"/>
    <s v="Senior Manager, Clinical Trial Lead"/>
    <x v="0"/>
    <m/>
    <x v="9"/>
    <x v="0"/>
    <x v="1"/>
    <s v="HIRED: Tiffany Shu"/>
    <n v="10127"/>
    <s v="ATA"/>
    <s v="Vendor Oversight (CPET, Prolaio, etc)"/>
    <m/>
    <m/>
    <m/>
    <m/>
    <m/>
    <x v="0"/>
    <x v="0"/>
    <s v="Included In Budget (Current FTE)"/>
    <s v="x"/>
    <s v="210 Clinical Operations"/>
    <s v="OK"/>
    <s v="Tiffany Shu"/>
    <s v="03. Sr. Manager / Sr. Scientist"/>
    <s v="Clinical Trial Manager"/>
    <d v="2025-01-06T00:00:00"/>
    <m/>
  </r>
  <r>
    <n v="1056"/>
    <x v="1"/>
    <x v="3"/>
    <x v="7"/>
    <x v="0"/>
    <x v="3"/>
    <s v="Associate Manager, Clinical Site Operations"/>
    <x v="0"/>
    <m/>
    <x v="9"/>
    <x v="0"/>
    <x v="0"/>
    <s v="HIRED: Rachel Day"/>
    <n v="10120"/>
    <s v="TLA"/>
    <s v="Site Monitoring &amp; Performance. US ATA"/>
    <m/>
    <m/>
    <m/>
    <m/>
    <m/>
    <x v="0"/>
    <x v="0"/>
    <s v="Included In Budget (Current FTE)"/>
    <s v="x"/>
    <s v="210 Clinical Operations"/>
    <s v="OK"/>
    <s v="Rachel Day"/>
    <s v="01. IC / Coordinator"/>
    <s v="Associate Manager, Clinical Site Operations"/>
    <d v="2025-01-06T00:00:00"/>
    <m/>
  </r>
  <r>
    <n v="1052"/>
    <x v="1"/>
    <x v="3"/>
    <x v="9"/>
    <x v="0"/>
    <x v="3"/>
    <s v="Senior Clinical Trial Associate"/>
    <x v="0"/>
    <m/>
    <x v="7"/>
    <x v="0"/>
    <x v="1"/>
    <s v="HIRED: Vicky Ho"/>
    <n v="10157"/>
    <s v="ATA"/>
    <s v="Clinical project mgmt support"/>
    <m/>
    <m/>
    <m/>
    <m/>
    <m/>
    <x v="0"/>
    <x v="0"/>
    <s v="Included In Budget (Current FTE)"/>
    <s v="x"/>
    <s v="210 Clinical Operations"/>
    <s v="OK"/>
    <s v="Vicky Ho"/>
    <s v="01. IC / Coordinator"/>
    <s v="Sr. Clinical Trial Associate"/>
    <d v="2025-06-23T00:00:00"/>
    <m/>
  </r>
  <r>
    <n v="1040"/>
    <x v="1"/>
    <x v="3"/>
    <x v="2"/>
    <x v="0"/>
    <x v="2"/>
    <s v="Sr. Director, Clinical Operations Program Lead, ATA"/>
    <x v="1"/>
    <m/>
    <x v="2"/>
    <x v="0"/>
    <x v="3"/>
    <s v="HIRED: Sanjay Patel"/>
    <n v="10283"/>
    <s v="ATA"/>
    <m/>
    <m/>
    <m/>
    <s v="Experienced Leader"/>
    <m/>
    <m/>
    <x v="0"/>
    <x v="0"/>
    <s v="Included In Budget (Current FTE)"/>
    <s v="x"/>
    <s v="210 Clinical Operations"/>
    <s v="OK"/>
    <s v="Lisa Morello"/>
    <s v="06. Sr. Director"/>
    <s v="Clinical Ops Program Lead ATA"/>
    <d v="2025-10-13T00:00:00"/>
    <m/>
  </r>
  <r>
    <n v="1352"/>
    <x v="1"/>
    <x v="3"/>
    <x v="5"/>
    <x v="2"/>
    <x v="4"/>
    <s v="Clinical Operations Lead, Early Development"/>
    <x v="3"/>
    <m/>
    <x v="7"/>
    <x v="3"/>
    <x v="0"/>
    <s v="CW: Susan Szambelan"/>
    <m/>
    <s v="UA"/>
    <s v="Clinical Trial Management"/>
    <m/>
    <m/>
    <m/>
    <m/>
    <m/>
    <x v="4"/>
    <x v="4"/>
    <s v="N/A (CW)"/>
    <m/>
    <e v="#N/A"/>
    <s v="N/A (CW)"/>
    <e v="#N/A"/>
    <e v="#N/A"/>
    <e v="#N/A"/>
    <e v="#N/A"/>
    <m/>
  </r>
  <r>
    <n v="1354"/>
    <x v="1"/>
    <x v="3"/>
    <x v="5"/>
    <x v="2"/>
    <x v="7"/>
    <s v="Sr. Consultant, eTMF"/>
    <x v="3"/>
    <m/>
    <x v="7"/>
    <x v="3"/>
    <x v="0"/>
    <s v="CW: Katie Hoover"/>
    <m/>
    <s v="UA"/>
    <s v="eTMF, Training"/>
    <m/>
    <s v="Inspection Readiness Kick off"/>
    <m/>
    <m/>
    <m/>
    <x v="4"/>
    <x v="4"/>
    <s v="N/A (CW)"/>
    <m/>
    <e v="#N/A"/>
    <s v="N/A (CW)"/>
    <e v="#N/A"/>
    <e v="#N/A"/>
    <e v="#N/A"/>
    <e v="#N/A"/>
    <m/>
  </r>
  <r>
    <n v="1324"/>
    <x v="1"/>
    <x v="3"/>
    <x v="7"/>
    <x v="2"/>
    <x v="6"/>
    <s v="Senior Manager, Clinical Site Operations"/>
    <x v="0"/>
    <m/>
    <x v="7"/>
    <x v="3"/>
    <x v="0"/>
    <s v="CW: Ali Zetter"/>
    <m/>
    <s v="TLA"/>
    <s v="Site selection and initiation (feasibility, qualifications) and monitoring "/>
    <m/>
    <m/>
    <m/>
    <m/>
    <m/>
    <x v="4"/>
    <x v="4"/>
    <s v="N/A (CW)"/>
    <m/>
    <e v="#N/A"/>
    <s v="N/A (CW)"/>
    <e v="#N/A"/>
    <e v="#N/A"/>
    <e v="#N/A"/>
    <e v="#N/A"/>
    <m/>
  </r>
  <r>
    <n v="1325"/>
    <x v="1"/>
    <x v="3"/>
    <x v="7"/>
    <x v="2"/>
    <x v="6"/>
    <s v="Senior Manager, Clinical Site Operations"/>
    <x v="3"/>
    <m/>
    <x v="7"/>
    <x v="3"/>
    <x v="0"/>
    <s v="CW: Chris Page"/>
    <m/>
    <s v="TLA"/>
    <s v="Site selection and initiation (feasibility, qualifications) and monitoring "/>
    <m/>
    <m/>
    <m/>
    <m/>
    <m/>
    <x v="4"/>
    <x v="4"/>
    <s v="N/A (CW)"/>
    <m/>
    <e v="#N/A"/>
    <s v="N/A (CW)"/>
    <e v="#N/A"/>
    <e v="#N/A"/>
    <e v="#N/A"/>
    <e v="#N/A"/>
    <m/>
  </r>
  <r>
    <n v="5047"/>
    <x v="1"/>
    <x v="3"/>
    <x v="5"/>
    <x v="2"/>
    <x v="6"/>
    <s v="Clinical Trial Lead"/>
    <x v="3"/>
    <m/>
    <x v="8"/>
    <x v="3"/>
    <x v="0"/>
    <s v="CW: Jade Cao"/>
    <m/>
    <s v="Dani"/>
    <s v="Dani program"/>
    <m/>
    <m/>
    <m/>
    <m/>
    <m/>
    <x v="4"/>
    <x v="4"/>
    <s v="N/A (CW)"/>
    <m/>
    <e v="#N/A"/>
    <s v="N/A (CW)"/>
    <e v="#N/A"/>
    <e v="#N/A"/>
    <e v="#N/A"/>
    <e v="#N/A"/>
    <m/>
  </r>
  <r>
    <n v="5097"/>
    <x v="1"/>
    <x v="3"/>
    <x v="5"/>
    <x v="2"/>
    <x v="8"/>
    <s v="Clinical Trial Manager"/>
    <x v="3"/>
    <m/>
    <x v="7"/>
    <x v="3"/>
    <x v="0"/>
    <s v="CW: Jutta Durstewitz"/>
    <m/>
    <s v="Dani"/>
    <m/>
    <m/>
    <m/>
    <m/>
    <m/>
    <m/>
    <x v="5"/>
    <x v="5"/>
    <s v="Not in FP&amp;A list"/>
    <m/>
    <e v="#N/A"/>
    <s v="N/A (CW)"/>
    <e v="#N/A"/>
    <e v="#N/A"/>
    <e v="#N/A"/>
    <e v="#N/A"/>
    <m/>
  </r>
  <r>
    <n v="1336"/>
    <x v="1"/>
    <x v="3"/>
    <x v="8"/>
    <x v="2"/>
    <x v="8"/>
    <s v="Clinical Trial Manager"/>
    <x v="0"/>
    <m/>
    <x v="1"/>
    <x v="3"/>
    <x v="0"/>
    <s v="CW: Anila Choudhry"/>
    <m/>
    <s v="ATA"/>
    <s v="Clinical Trial Management"/>
    <m/>
    <m/>
    <m/>
    <m/>
    <m/>
    <x v="4"/>
    <x v="4"/>
    <s v="N/A (CW)"/>
    <m/>
    <e v="#N/A"/>
    <s v="N/A (CW)"/>
    <e v="#N/A"/>
    <e v="#N/A"/>
    <e v="#N/A"/>
    <e v="#N/A"/>
    <m/>
  </r>
  <r>
    <n v="1353"/>
    <x v="1"/>
    <x v="3"/>
    <x v="10"/>
    <x v="2"/>
    <x v="8"/>
    <s v="Sr. Clinical Trial Manager"/>
    <x v="3"/>
    <m/>
    <x v="1"/>
    <x v="3"/>
    <x v="0"/>
    <s v="CW: Suzette Warren"/>
    <m/>
    <s v="Dani"/>
    <m/>
    <m/>
    <m/>
    <m/>
    <m/>
    <m/>
    <x v="4"/>
    <x v="4"/>
    <s v="N/A (CW)"/>
    <m/>
    <e v="#N/A"/>
    <s v="N/A (CW)"/>
    <e v="#N/A"/>
    <e v="#N/A"/>
    <e v="#N/A"/>
    <e v="#N/A"/>
    <m/>
  </r>
  <r>
    <n v="1371"/>
    <x v="1"/>
    <x v="3"/>
    <x v="9"/>
    <x v="2"/>
    <x v="8"/>
    <s v="Clinical Trial Manager"/>
    <x v="0"/>
    <m/>
    <x v="1"/>
    <x v="3"/>
    <x v="0"/>
    <s v="CW: Mandeep Grewal"/>
    <m/>
    <s v="ATA"/>
    <m/>
    <m/>
    <s v="Now"/>
    <m/>
    <m/>
    <m/>
    <x v="4"/>
    <x v="4"/>
    <s v="N/A (CW)"/>
    <m/>
    <e v="#N/A"/>
    <s v="N/A (CW)"/>
    <e v="#N/A"/>
    <e v="#N/A"/>
    <e v="#N/A"/>
    <e v="#N/A"/>
    <m/>
  </r>
  <r>
    <n v="1054"/>
    <x v="1"/>
    <x v="3"/>
    <x v="11"/>
    <x v="2"/>
    <x v="3"/>
    <s v="Sr. Clinical Trial Associate"/>
    <x v="3"/>
    <m/>
    <x v="6"/>
    <x v="3"/>
    <x v="0"/>
    <s v="CW: Miranda Rhudy"/>
    <m/>
    <s v="TLA"/>
    <s v="Clinical project mgmt support"/>
    <m/>
    <m/>
    <m/>
    <m/>
    <m/>
    <x v="4"/>
    <x v="4"/>
    <s v="N/A (CW)"/>
    <m/>
    <e v="#N/A"/>
    <s v="N/A (CW)"/>
    <e v="#N/A"/>
    <e v="#N/A"/>
    <e v="#N/A"/>
    <e v="#N/A"/>
    <m/>
  </r>
  <r>
    <n v="1053"/>
    <x v="1"/>
    <x v="3"/>
    <x v="5"/>
    <x v="2"/>
    <x v="3"/>
    <s v="Sr. Clinical Trial Associate"/>
    <x v="0"/>
    <m/>
    <x v="1"/>
    <x v="3"/>
    <x v="0"/>
    <s v="CW: Karrin Huang"/>
    <m/>
    <s v="Dani"/>
    <s v="Clinical project mgmt support"/>
    <m/>
    <m/>
    <m/>
    <m/>
    <m/>
    <x v="4"/>
    <x v="4"/>
    <s v="N/A (CW)"/>
    <m/>
    <e v="#N/A"/>
    <s v="N/A (CW)"/>
    <e v="#N/A"/>
    <e v="#N/A"/>
    <e v="#N/A"/>
    <e v="#N/A"/>
    <m/>
  </r>
  <r>
    <n v="1048"/>
    <x v="1"/>
    <x v="3"/>
    <x v="2"/>
    <x v="0"/>
    <x v="5"/>
    <s v="VP, Head of Clinical Operations"/>
    <x v="1"/>
    <m/>
    <x v="3"/>
    <x v="1"/>
    <x v="3"/>
    <s v="BACKFILL: Brianne L."/>
    <m/>
    <s v="UA"/>
    <s v="Development Operations"/>
    <m/>
    <m/>
    <s v="Upgraded role to VP Clin Ops"/>
    <m/>
    <m/>
    <x v="1"/>
    <x v="0"/>
    <s v="Included In Budget (Open Role)"/>
    <s v="x"/>
    <s v="210 Clinical Operations"/>
    <s v="OK"/>
    <s v="Brianne Leary"/>
    <s v="06. Sr. Director"/>
    <s v="Senior Director, Development Operations"/>
    <d v="2024-02-20T00:00:00"/>
    <m/>
  </r>
  <r>
    <n v="5384"/>
    <x v="1"/>
    <x v="3"/>
    <x v="2"/>
    <x v="0"/>
    <x v="5"/>
    <s v="Head of Development Services"/>
    <x v="1"/>
    <m/>
    <x v="2"/>
    <x v="1"/>
    <x v="3"/>
    <m/>
    <m/>
    <s v="UA"/>
    <m/>
    <m/>
    <m/>
    <m/>
    <m/>
    <m/>
    <x v="1"/>
    <x v="3"/>
    <s v="Included In Budget (Open Role)"/>
    <s v="x"/>
    <s v="901 Executive G&amp;A"/>
    <s v="Confirm w/ P&amp;C"/>
    <s v="TBD"/>
    <s v="05. Director"/>
    <s v="Buffer Role"/>
    <d v="2026-09-15T00:00:00"/>
    <s v="Buffer role"/>
  </r>
  <r>
    <n v="5385"/>
    <x v="1"/>
    <x v="3"/>
    <x v="2"/>
    <x v="0"/>
    <x v="1"/>
    <s v="Head of Global Site Management"/>
    <x v="1"/>
    <m/>
    <x v="2"/>
    <x v="1"/>
    <x v="3"/>
    <m/>
    <m/>
    <s v="UA"/>
    <m/>
    <m/>
    <m/>
    <m/>
    <m/>
    <m/>
    <x v="1"/>
    <x v="3"/>
    <s v="Included In Budget (Open Role)"/>
    <s v="x"/>
    <s v="901 Executive G&amp;A"/>
    <s v="Confirm w/ P&amp;C"/>
    <s v="TBD"/>
    <s v="05. Director"/>
    <s v="Buffer Role"/>
    <d v="2026-09-15T00:00:00"/>
    <s v="Buffer role"/>
  </r>
  <r>
    <n v="5386"/>
    <x v="1"/>
    <x v="3"/>
    <x v="2"/>
    <x v="0"/>
    <x v="1"/>
    <s v="Development Business Operations"/>
    <x v="1"/>
    <m/>
    <x v="2"/>
    <x v="1"/>
    <x v="3"/>
    <m/>
    <m/>
    <s v="UA"/>
    <m/>
    <m/>
    <m/>
    <m/>
    <m/>
    <m/>
    <x v="1"/>
    <x v="3"/>
    <s v="Included In Budget (Open Role)"/>
    <s v="x"/>
    <s v="901 Executive G&amp;A"/>
    <s v="Confirm w/ P&amp;C"/>
    <s v="TBD"/>
    <s v="05. Director"/>
    <s v="Buffer Role"/>
    <d v="2026-09-15T00:00:00"/>
    <s v="Buffer role"/>
  </r>
  <r>
    <n v="1372"/>
    <x v="1"/>
    <x v="3"/>
    <x v="2"/>
    <x v="0"/>
    <x v="1"/>
    <s v="ED, Digital Health Technologies &amp; AI Enablement"/>
    <x v="1"/>
    <m/>
    <x v="2"/>
    <x v="0"/>
    <x v="3"/>
    <s v="HIRED: Rinol Alaj"/>
    <n v="10360"/>
    <s v="ATA-TLA-Dani"/>
    <m/>
    <m/>
    <s v="Now"/>
    <m/>
    <m/>
    <m/>
    <x v="1"/>
    <x v="3"/>
    <s v="Included In Budget (Open Role)"/>
    <s v="x"/>
    <s v="210 Clinical Operations"/>
    <s v="Confirm w/ P&amp;C"/>
    <s v="TBD"/>
    <s v="06. Sr. Director"/>
    <s v="ED, Digital Health Technologies &amp; AI Enablement"/>
    <d v="2026-09-15T00:00:00"/>
    <s v="keep / key"/>
  </r>
  <r>
    <n v="1043"/>
    <x v="1"/>
    <x v="3"/>
    <x v="12"/>
    <x v="0"/>
    <x v="7"/>
    <s v="Clinical Trial Lead"/>
    <x v="0"/>
    <m/>
    <x v="3"/>
    <x v="1"/>
    <x v="3"/>
    <s v="BACKFILL: Anyi Ihiasota"/>
    <m/>
    <s v="ATA"/>
    <s v="Site Monitoring, Inspection Readiness"/>
    <m/>
    <m/>
    <m/>
    <m/>
    <m/>
    <x v="1"/>
    <x v="1"/>
    <s v="Included In Budget (Open Role)"/>
    <s v="x"/>
    <s v="210 Clinical Operations"/>
    <s v="OK"/>
    <s v="Anyi Ihiasota"/>
    <s v="03. Sr. Manager / Sr. Scientist"/>
    <s v="Clinical Trial Lead"/>
    <d v="2025-03-24T00:00:00"/>
    <m/>
  </r>
  <r>
    <n v="5387"/>
    <x v="1"/>
    <x v="3"/>
    <x v="2"/>
    <x v="0"/>
    <x v="1"/>
    <s v="Head of Clinical Trial Management"/>
    <x v="1"/>
    <m/>
    <x v="5"/>
    <x v="2"/>
    <x v="3"/>
    <m/>
    <m/>
    <s v="UA"/>
    <m/>
    <m/>
    <m/>
    <m/>
    <m/>
    <m/>
    <x v="1"/>
    <x v="0"/>
    <s v="Included In Budget (Open Role)"/>
    <s v="x"/>
    <s v="901 Executive G&amp;A"/>
    <s v="Confirm w/ P&amp;C"/>
    <s v="TBD"/>
    <s v="05. Director"/>
    <s v="Buffer Role"/>
    <d v="2026-09-15T00:00:00"/>
    <s v="Buffer role"/>
  </r>
  <r>
    <n v="5070"/>
    <x v="1"/>
    <x v="3"/>
    <x v="2"/>
    <x v="0"/>
    <x v="1"/>
    <s v="Exec. Director, Document Records Management &amp; Systems"/>
    <x v="1"/>
    <m/>
    <x v="5"/>
    <x v="2"/>
    <x v="3"/>
    <m/>
    <m/>
    <s v="UA"/>
    <m/>
    <m/>
    <m/>
    <s v="Formerly Head of eTMF role; confirm timing"/>
    <m/>
    <m/>
    <x v="1"/>
    <x v="1"/>
    <s v="Included In Budget (Open Role)"/>
    <s v="x"/>
    <s v="210 Clinical Operations"/>
    <s v="OK"/>
    <s v="TBD"/>
    <s v="06. Sr. Director"/>
    <s v="Head of TMF Operations (ClinOps Systems)"/>
    <d v="2026-06-15T00:00:00"/>
    <m/>
  </r>
  <r>
    <n v="5407"/>
    <x v="1"/>
    <x v="3"/>
    <x v="2"/>
    <x v="1"/>
    <x v="2"/>
    <s v="Sr. Director, Clinical Trial Optimization &amp; Strategic Partnerships"/>
    <x v="1"/>
    <m/>
    <x v="5"/>
    <x v="2"/>
    <x v="3"/>
    <m/>
    <m/>
    <s v="UA"/>
    <m/>
    <m/>
    <m/>
    <m/>
    <m/>
    <m/>
    <x v="2"/>
    <x v="2"/>
    <s v="Incremental Request"/>
    <m/>
    <e v="#N/A"/>
    <s v="Confirm w/ P&amp;C"/>
    <e v="#N/A"/>
    <e v="#N/A"/>
    <e v="#N/A"/>
    <e v="#N/A"/>
    <s v="OOBR"/>
  </r>
  <r>
    <n v="5408"/>
    <x v="1"/>
    <x v="3"/>
    <x v="2"/>
    <x v="1"/>
    <x v="2"/>
    <s v="Sr. Director, Site Management &amp; Monitoring"/>
    <x v="1"/>
    <m/>
    <x v="5"/>
    <x v="2"/>
    <x v="3"/>
    <m/>
    <m/>
    <s v="UA"/>
    <m/>
    <m/>
    <m/>
    <m/>
    <m/>
    <m/>
    <x v="2"/>
    <x v="2"/>
    <s v="Incremental Request"/>
    <m/>
    <e v="#N/A"/>
    <s v="Confirm w/ P&amp;C"/>
    <e v="#N/A"/>
    <e v="#N/A"/>
    <e v="#N/A"/>
    <e v="#N/A"/>
    <s v="OOBR"/>
  </r>
  <r>
    <n v="5410"/>
    <x v="1"/>
    <x v="3"/>
    <x v="2"/>
    <x v="0"/>
    <x v="2"/>
    <s v="Sr. Director, Vendor Relationship &amp; Management"/>
    <x v="1"/>
    <m/>
    <x v="2"/>
    <x v="2"/>
    <x v="3"/>
    <m/>
    <m/>
    <s v="UA"/>
    <m/>
    <m/>
    <m/>
    <m/>
    <m/>
    <s v="Formerly Director, Clinical Operations Program Lead, Early Dev"/>
    <x v="1"/>
    <x v="0"/>
    <s v="Incremental Request"/>
    <m/>
    <e v="#N/A"/>
    <s v="Confirm w/ P&amp;C"/>
    <e v="#N/A"/>
    <e v="#N/A"/>
    <e v="#N/A"/>
    <e v="#N/A"/>
    <s v="OOBR - tradeoff with #5104"/>
  </r>
  <r>
    <n v="1322"/>
    <x v="1"/>
    <x v="3"/>
    <x v="13"/>
    <x v="2"/>
    <x v="4"/>
    <s v="Dev Business Operations "/>
    <x v="3"/>
    <m/>
    <x v="2"/>
    <x v="2"/>
    <x v="0"/>
    <s v="CW: Pam Foster Wiley"/>
    <m/>
    <s v="UA"/>
    <s v="Clinical Contracts specialist"/>
    <m/>
    <m/>
    <m/>
    <s v="01 - Data Readout"/>
    <m/>
    <x v="4"/>
    <x v="4"/>
    <s v="N/A (CW)"/>
    <m/>
    <e v="#N/A"/>
    <s v="N/A (CW)"/>
    <e v="#N/A"/>
    <e v="#N/A"/>
    <e v="#N/A"/>
    <e v="#N/A"/>
    <m/>
  </r>
  <r>
    <n v="5073"/>
    <x v="1"/>
    <x v="3"/>
    <x v="13"/>
    <x v="2"/>
    <x v="4"/>
    <s v="Clinical Site Contracts"/>
    <x v="1"/>
    <m/>
    <x v="2"/>
    <x v="2"/>
    <x v="0"/>
    <m/>
    <m/>
    <s v="UA"/>
    <m/>
    <m/>
    <m/>
    <m/>
    <s v="01 - Data Readout"/>
    <m/>
    <x v="4"/>
    <x v="4"/>
    <s v="N/A (CW)"/>
    <m/>
    <e v="#N/A"/>
    <s v="N/A (CW)"/>
    <e v="#N/A"/>
    <e v="#N/A"/>
    <e v="#N/A"/>
    <e v="#N/A"/>
    <m/>
  </r>
  <r>
    <n v="5392"/>
    <x v="1"/>
    <x v="3"/>
    <x v="5"/>
    <x v="2"/>
    <x v="4"/>
    <s v="Clinical Trial Liaison (EU/UK)"/>
    <x v="3"/>
    <m/>
    <x v="2"/>
    <x v="2"/>
    <x v="0"/>
    <m/>
    <m/>
    <s v="UA"/>
    <m/>
    <m/>
    <m/>
    <m/>
    <m/>
    <m/>
    <x v="4"/>
    <x v="4"/>
    <s v="N/A (CW)"/>
    <m/>
    <e v="#N/A"/>
    <s v="N/A (CW)"/>
    <e v="#N/A"/>
    <e v="#N/A"/>
    <e v="#N/A"/>
    <e v="#N/A"/>
    <m/>
  </r>
  <r>
    <n v="5077"/>
    <x v="1"/>
    <x v="3"/>
    <x v="13"/>
    <x v="0"/>
    <x v="7"/>
    <s v="Development Business Operations"/>
    <x v="0"/>
    <m/>
    <x v="2"/>
    <x v="1"/>
    <x v="4"/>
    <m/>
    <m/>
    <s v="UA"/>
    <m/>
    <m/>
    <m/>
    <m/>
    <s v="01 - Data Readout"/>
    <m/>
    <x v="0"/>
    <x v="0"/>
    <s v="Included In Budget (Open Role)"/>
    <s v="x"/>
    <s v="210 Clinical Operations"/>
    <s v="OK"/>
    <s v="TBD"/>
    <s v="04. AD / Staff Scientist"/>
    <s v="Development Business Operations"/>
    <d v="2026-03-15T00:00:00"/>
    <m/>
  </r>
  <r>
    <n v="5052"/>
    <x v="1"/>
    <x v="3"/>
    <x v="12"/>
    <x v="0"/>
    <x v="7"/>
    <s v="Clinical Operations"/>
    <x v="0"/>
    <m/>
    <x v="11"/>
    <x v="2"/>
    <x v="0"/>
    <m/>
    <m/>
    <s v="ATA"/>
    <m/>
    <m/>
    <m/>
    <s v="Jaclyn to check whether this role is required in 2026"/>
    <s v="01 - Data Readout"/>
    <s v="Potential Tradeoff"/>
    <x v="1"/>
    <x v="1"/>
    <s v="Included In Budget (Open Role)"/>
    <s v="x"/>
    <s v="210 Clinical Operations"/>
    <s v="Confirm w/ P&amp;C"/>
    <s v="TBD"/>
    <s v="02. Manager / Scientist"/>
    <s v="Clinical Operations"/>
    <d v="2026-06-15T00:00:00"/>
    <m/>
  </r>
  <r>
    <n v="5403"/>
    <x v="1"/>
    <x v="3"/>
    <x v="14"/>
    <x v="1"/>
    <x v="7"/>
    <s v="Medical Trial Liaison (CTL)"/>
    <x v="1"/>
    <s v="Business Critical"/>
    <x v="3"/>
    <x v="2"/>
    <x v="5"/>
    <m/>
    <m/>
    <s v="UA"/>
    <m/>
    <m/>
    <m/>
    <m/>
    <m/>
    <m/>
    <x v="2"/>
    <x v="2"/>
    <s v="Incremental Request"/>
    <m/>
    <e v="#N/A"/>
    <s v="Confirm w/ P&amp;C"/>
    <e v="#N/A"/>
    <e v="#N/A"/>
    <e v="#N/A"/>
    <e v="#N/A"/>
    <s v="OOBR"/>
  </r>
  <r>
    <n v="5405"/>
    <x v="1"/>
    <x v="3"/>
    <x v="14"/>
    <x v="1"/>
    <x v="7"/>
    <s v="Medical Trial Liaison (CTL)"/>
    <x v="4"/>
    <s v="Business Critical"/>
    <x v="3"/>
    <x v="2"/>
    <x v="5"/>
    <m/>
    <m/>
    <s v="EU"/>
    <m/>
    <m/>
    <m/>
    <m/>
    <m/>
    <m/>
    <x v="2"/>
    <x v="2"/>
    <s v="Incremental Request"/>
    <m/>
    <e v="#N/A"/>
    <s v="Confirm w/ P&amp;C"/>
    <e v="#N/A"/>
    <e v="#N/A"/>
    <e v="#N/A"/>
    <e v="#N/A"/>
    <s v="OOBR"/>
  </r>
  <r>
    <n v="5404"/>
    <x v="1"/>
    <x v="3"/>
    <x v="14"/>
    <x v="1"/>
    <x v="7"/>
    <s v="Medical Trial Liaison (CTL)"/>
    <x v="1"/>
    <s v="Business Critical"/>
    <x v="5"/>
    <x v="2"/>
    <x v="5"/>
    <m/>
    <m/>
    <s v="UA"/>
    <m/>
    <m/>
    <m/>
    <m/>
    <m/>
    <m/>
    <x v="2"/>
    <x v="2"/>
    <s v="Incremental Request"/>
    <m/>
    <e v="#N/A"/>
    <s v="Confirm w/ P&amp;C"/>
    <e v="#N/A"/>
    <e v="#N/A"/>
    <e v="#N/A"/>
    <e v="#N/A"/>
    <s v="OOBR"/>
  </r>
  <r>
    <n v="5102"/>
    <x v="1"/>
    <x v="3"/>
    <x v="7"/>
    <x v="2"/>
    <x v="6"/>
    <s v="Clinical Trial Lead"/>
    <x v="1"/>
    <m/>
    <x v="2"/>
    <x v="2"/>
    <x v="0"/>
    <s v="CW: Heather Fraser"/>
    <m/>
    <s v="TLA"/>
    <m/>
    <m/>
    <m/>
    <m/>
    <s v="01 - Data Readout"/>
    <m/>
    <x v="4"/>
    <x v="4"/>
    <s v="N/A (CW)"/>
    <m/>
    <e v="#N/A"/>
    <s v="N/A (CW)"/>
    <e v="#N/A"/>
    <e v="#N/A"/>
    <e v="#N/A"/>
    <e v="#N/A"/>
    <m/>
  </r>
  <r>
    <n v="5074"/>
    <x v="1"/>
    <x v="3"/>
    <x v="5"/>
    <x v="2"/>
    <x v="6"/>
    <s v="TMF Lead"/>
    <x v="1"/>
    <m/>
    <x v="3"/>
    <x v="2"/>
    <x v="0"/>
    <m/>
    <m/>
    <s v="UA"/>
    <m/>
    <m/>
    <m/>
    <m/>
    <m/>
    <m/>
    <x v="4"/>
    <x v="4"/>
    <s v="N/A (CW)"/>
    <m/>
    <e v="#N/A"/>
    <s v="N/A (CW)"/>
    <e v="#N/A"/>
    <e v="#N/A"/>
    <e v="#N/A"/>
    <e v="#N/A"/>
    <m/>
  </r>
  <r>
    <n v="1369"/>
    <x v="1"/>
    <x v="3"/>
    <x v="5"/>
    <x v="0"/>
    <x v="6"/>
    <s v="Clinical Trial Lead"/>
    <x v="1"/>
    <m/>
    <x v="2"/>
    <x v="2"/>
    <x v="3"/>
    <m/>
    <m/>
    <s v="Dani"/>
    <s v="US regional Lead for DAN-301 and DAN-302"/>
    <m/>
    <s v="Now"/>
    <m/>
    <s v="01 - Data Readout"/>
    <m/>
    <x v="0"/>
    <x v="0"/>
    <s v="Included In Budget (Open Role)"/>
    <s v="x"/>
    <s v="210 Clinical Operations"/>
    <s v="OK"/>
    <s v="TBD"/>
    <s v="03. Sr. Manager / Sr. Scientist"/>
    <s v="Clinical Trial Lead (dani)"/>
    <d v="2026-03-15T00:00:00"/>
    <m/>
  </r>
  <r>
    <n v="5088"/>
    <x v="1"/>
    <x v="3"/>
    <x v="7"/>
    <x v="0"/>
    <x v="6"/>
    <s v="Clinical Trial Lead"/>
    <x v="1"/>
    <m/>
    <x v="3"/>
    <x v="2"/>
    <x v="3"/>
    <m/>
    <m/>
    <s v="TLA"/>
    <m/>
    <m/>
    <m/>
    <m/>
    <m/>
    <m/>
    <x v="0"/>
    <x v="0"/>
    <s v="Included In Budget (Open Role)"/>
    <s v="x"/>
    <s v="210 Clinical Operations"/>
    <s v="OK"/>
    <s v="TBD"/>
    <s v="03. Sr. Manager / Sr. Scientist"/>
    <s v="Clinical Trial Lead"/>
    <d v="2026-06-15T00:00:00"/>
    <m/>
  </r>
  <r>
    <n v="5089"/>
    <x v="1"/>
    <x v="3"/>
    <x v="7"/>
    <x v="2"/>
    <x v="3"/>
    <s v="Associate Clinical Trial Manager"/>
    <x v="3"/>
    <m/>
    <x v="2"/>
    <x v="2"/>
    <x v="0"/>
    <m/>
    <m/>
    <s v="TLA"/>
    <m/>
    <m/>
    <m/>
    <m/>
    <m/>
    <m/>
    <x v="4"/>
    <x v="4"/>
    <s v="N/A (CW)"/>
    <m/>
    <e v="#N/A"/>
    <s v="N/A (CW)"/>
    <e v="#N/A"/>
    <e v="#N/A"/>
    <e v="#N/A"/>
    <e v="#N/A"/>
    <m/>
  </r>
  <r>
    <n v="5075"/>
    <x v="1"/>
    <x v="3"/>
    <x v="5"/>
    <x v="2"/>
    <x v="3"/>
    <s v="Clinical Document Specialist"/>
    <x v="1"/>
    <m/>
    <x v="5"/>
    <x v="2"/>
    <x v="0"/>
    <m/>
    <m/>
    <s v="UA"/>
    <m/>
    <m/>
    <m/>
    <m/>
    <m/>
    <m/>
    <x v="4"/>
    <x v="4"/>
    <s v="N/A (CW)"/>
    <m/>
    <e v="#N/A"/>
    <s v="N/A (CW)"/>
    <e v="#N/A"/>
    <e v="#N/A"/>
    <e v="#N/A"/>
    <e v="#N/A"/>
    <m/>
  </r>
  <r>
    <n v="5098"/>
    <x v="1"/>
    <x v="3"/>
    <x v="5"/>
    <x v="2"/>
    <x v="3"/>
    <s v="Sr. Clinical Trial Associate"/>
    <x v="1"/>
    <m/>
    <x v="5"/>
    <x v="2"/>
    <x v="0"/>
    <m/>
    <m/>
    <s v="Dani"/>
    <m/>
    <m/>
    <m/>
    <m/>
    <m/>
    <m/>
    <x v="4"/>
    <x v="4"/>
    <s v="N/A (CW)"/>
    <m/>
    <e v="#N/A"/>
    <s v="N/A (CW)"/>
    <e v="#N/A"/>
    <e v="#N/A"/>
    <e v="#N/A"/>
    <e v="#N/A"/>
    <m/>
  </r>
  <r>
    <n v="5393"/>
    <x v="1"/>
    <x v="3"/>
    <x v="5"/>
    <x v="2"/>
    <x v="3"/>
    <s v="eTMF Document Specialist"/>
    <x v="3"/>
    <m/>
    <x v="11"/>
    <x v="2"/>
    <x v="0"/>
    <m/>
    <m/>
    <s v="UA"/>
    <s v="eTMF filing, QC"/>
    <m/>
    <m/>
    <m/>
    <m/>
    <m/>
    <x v="4"/>
    <x v="4"/>
    <s v="N/A (CW)"/>
    <m/>
    <e v="#N/A"/>
    <s v="N/A (CW)"/>
    <e v="#N/A"/>
    <e v="#N/A"/>
    <e v="#N/A"/>
    <e v="#N/A"/>
    <m/>
  </r>
  <r>
    <n v="1029"/>
    <x v="1"/>
    <x v="5"/>
    <x v="3"/>
    <x v="0"/>
    <x v="1"/>
    <s v="Executive Director, Clinical Lead"/>
    <x v="1"/>
    <m/>
    <x v="10"/>
    <x v="0"/>
    <x v="0"/>
    <s v="HIRED: Liz Moore"/>
    <n v="10014"/>
    <s v="ATA"/>
    <s v="Clinical Development"/>
    <m/>
    <m/>
    <m/>
    <m/>
    <m/>
    <x v="0"/>
    <x v="0"/>
    <s v="Included In Budget (Current FTE)"/>
    <s v="x"/>
    <s v="215 Clinical Development"/>
    <s v="OK"/>
    <s v="Liz Moore"/>
    <s v="07. Exec. Director"/>
    <s v="Executive Medical Director (Clinical Research Ataciguat)"/>
    <d v="2024-06-10T00:00:00"/>
    <m/>
  </r>
  <r>
    <n v="1234"/>
    <x v="1"/>
    <x v="5"/>
    <x v="3"/>
    <x v="0"/>
    <x v="1"/>
    <s v="Executive Director, Clinical Lead"/>
    <x v="1"/>
    <m/>
    <x v="9"/>
    <x v="0"/>
    <x v="0"/>
    <s v="HIRED: Juan Maya"/>
    <n v="10168"/>
    <s v="Dani"/>
    <s v="Clinical Development Dani, DCM"/>
    <m/>
    <m/>
    <s v="Experienced Leader"/>
    <m/>
    <m/>
    <x v="0"/>
    <x v="0"/>
    <s v="Included In Budget (Current FTE)"/>
    <s v="x"/>
    <s v="215 Clinical Development"/>
    <s v="OK"/>
    <s v="Juan Maya"/>
    <s v="07. Exec. Director"/>
    <s v="Executive Director, Clinical Research, Dani / DCM"/>
    <d v="2025-03-10T00:00:00"/>
    <m/>
  </r>
  <r>
    <n v="1027"/>
    <x v="1"/>
    <x v="5"/>
    <x v="3"/>
    <x v="0"/>
    <x v="2"/>
    <s v="Senior Director, Clinical Lead"/>
    <x v="0"/>
    <m/>
    <x v="7"/>
    <x v="0"/>
    <x v="0"/>
    <s v="HIRED: Prameela Ramesan"/>
    <n v="10209"/>
    <s v="TLA"/>
    <s v="Clinical Development"/>
    <m/>
    <m/>
    <s v="Experienced Leader"/>
    <m/>
    <m/>
    <x v="0"/>
    <x v="0"/>
    <s v="Included In Budget (Current FTE)"/>
    <s v="x"/>
    <s v="215 Clinical Development"/>
    <s v="OK"/>
    <s v="Prameela Ramesan"/>
    <s v="06. Sr. Director"/>
    <s v="Sr. Medical Director (Clinical Lead TLA)"/>
    <d v="2025-04-28T00:00:00"/>
    <m/>
  </r>
  <r>
    <n v="5360"/>
    <x v="1"/>
    <x v="5"/>
    <x v="3"/>
    <x v="0"/>
    <x v="5"/>
    <s v="VP, Clinical Development"/>
    <x v="1"/>
    <m/>
    <x v="2"/>
    <x v="2"/>
    <x v="4"/>
    <m/>
    <m/>
    <s v="TLA"/>
    <s v="TBD"/>
    <m/>
    <m/>
    <m/>
    <m/>
    <m/>
    <x v="0"/>
    <x v="3"/>
    <s v="Included In Budget (Open Role)"/>
    <s v="x"/>
    <s v="205 Executive Development"/>
    <s v="Confirm w/ P&amp;C"/>
    <s v="TBD"/>
    <s v="08. VP"/>
    <s v="SVP, Clinical Development"/>
    <d v="2026-12-15T00:00:00"/>
    <s v="keep / key"/>
  </r>
  <r>
    <n v="5045"/>
    <x v="1"/>
    <x v="5"/>
    <x v="3"/>
    <x v="0"/>
    <x v="5"/>
    <s v="VP, Clinical Development"/>
    <x v="1"/>
    <s v="Business Critical/ Infrasructure &amp; Support"/>
    <x v="3"/>
    <x v="2"/>
    <x v="4"/>
    <m/>
    <m/>
    <s v="ATA"/>
    <s v="Doctorate degree; Clinical oversight of Combination strategy &amp; trial execution, combination strategy CDP development"/>
    <s v="Development of combination strategy clinical trial program"/>
    <s v="AVC data @24 weeks in ATA-301 &amp; PoM for KAR-141; Research ACLY data"/>
    <s v="Experienced Leader"/>
    <s v="02 - Data Trigger"/>
    <m/>
    <x v="3"/>
    <x v="0"/>
    <s v="Included In Budget (Open Role)"/>
    <s v="x"/>
    <s v="215 Clinical Development"/>
    <s v="OK"/>
    <s v="TBD"/>
    <s v="07. Exec. Director"/>
    <s v="Executive  Director, Clinical Development Lead"/>
    <d v="2026-06-15T00:00:00"/>
    <s v="accelerate to Q1 (open rec now)"/>
  </r>
  <r>
    <n v="5046"/>
    <x v="1"/>
    <x v="5"/>
    <x v="3"/>
    <x v="0"/>
    <x v="5"/>
    <s v="VP, Clinical Development"/>
    <x v="1"/>
    <s v="Business Critical/ Infrasructure &amp; Support"/>
    <x v="3"/>
    <x v="2"/>
    <x v="4"/>
    <m/>
    <m/>
    <s v="Dani"/>
    <m/>
    <s v="Immediate need given breadth of current program"/>
    <m/>
    <s v="Experienced Leader"/>
    <s v="02 - Data Trigger"/>
    <m/>
    <x v="1"/>
    <x v="0"/>
    <s v="Included In Budget (Open Role)"/>
    <s v="x"/>
    <s v="215 Clinical Development"/>
    <s v="OK"/>
    <s v="TBD"/>
    <s v="06. Sr. Director"/>
    <s v="Senior Director of Clinical Development"/>
    <d v="2026-06-15T00:00:00"/>
    <s v="keep / key"/>
  </r>
  <r>
    <n v="5036"/>
    <x v="1"/>
    <x v="5"/>
    <x v="15"/>
    <x v="0"/>
    <x v="7"/>
    <s v="Clinical Scientist"/>
    <x v="1"/>
    <s v="Business Critical/ Infrasructure &amp; Support"/>
    <x v="5"/>
    <x v="2"/>
    <x v="4"/>
    <m/>
    <m/>
    <s v="TLA"/>
    <m/>
    <s v="Immediate need given breadth of current program"/>
    <m/>
    <s v="Experienced Leader"/>
    <s v="02 - Data Trigger"/>
    <s v="Potential Tradeoff"/>
    <x v="1"/>
    <x v="0"/>
    <s v="Included In Budget (Open Role)"/>
    <s v="x"/>
    <s v="215 Clinical Development"/>
    <s v="OK"/>
    <s v="TBD"/>
    <s v="04. AD / Staff Scientist"/>
    <s v="Clinical Scientist"/>
    <d v="2026-09-15T00:00:00"/>
    <s v="gate to data (sept)"/>
  </r>
  <r>
    <n v="1368"/>
    <x v="1"/>
    <x v="5"/>
    <x v="16"/>
    <x v="3"/>
    <x v="7"/>
    <s v="Clinical Scientist"/>
    <x v="1"/>
    <m/>
    <x v="5"/>
    <x v="3"/>
    <x v="0"/>
    <s v="CW: Laura Liu"/>
    <m/>
    <s v="Dani"/>
    <s v="Aid with scientific efforts (literature search, development rationale, program documentation)"/>
    <s v="Convert to FTE now/next quarter: Currently developing OLE protocol, continuing to analyze 2A data, needed for KINSHIP data analysis"/>
    <m/>
    <m/>
    <m/>
    <m/>
    <x v="4"/>
    <x v="4"/>
    <s v="N/A (CW)"/>
    <m/>
    <e v="#N/A"/>
    <s v="N/A (CW)"/>
    <e v="#N/A"/>
    <e v="#N/A"/>
    <e v="#N/A"/>
    <e v="#N/A"/>
    <s v="Convert based on P2 data"/>
  </r>
  <r>
    <n v="1318"/>
    <x v="1"/>
    <x v="5"/>
    <x v="17"/>
    <x v="2"/>
    <x v="7"/>
    <s v="Clinical Scientist"/>
    <x v="1"/>
    <m/>
    <x v="8"/>
    <x v="3"/>
    <x v="0"/>
    <s v="CW: Yayan Z."/>
    <m/>
    <s v="TLA"/>
    <s v="Aid with scientific efforts (literature search, development rationale, program documentation)"/>
    <s v="Clinical Data Analysis and Interpretation needs"/>
    <s v="Launch of TLA-201 (already occurred)"/>
    <m/>
    <s v="2025 WFP/ Back-fill"/>
    <m/>
    <x v="4"/>
    <x v="4"/>
    <s v="N/A (CW)"/>
    <m/>
    <e v="#N/A"/>
    <s v="N/A (CW)"/>
    <e v="#N/A"/>
    <e v="#N/A"/>
    <e v="#N/A"/>
    <e v="#N/A"/>
    <m/>
  </r>
  <r>
    <n v="1319"/>
    <x v="1"/>
    <x v="5"/>
    <x v="15"/>
    <x v="2"/>
    <x v="7"/>
    <s v="Clinical Scientist"/>
    <x v="1"/>
    <m/>
    <x v="8"/>
    <x v="3"/>
    <x v="0"/>
    <s v="CW: Amelia L."/>
    <m/>
    <s v="ATA"/>
    <s v="Lead/Aid with scientific efforts (literature search, development rationale, program documentation)"/>
    <m/>
    <s v="NOW: Not previously included in WFP – due to current MD shortage, this may provide faster avenue to recruitment and not require &gt;Dir hire"/>
    <s v="Accomplished Professional"/>
    <s v="01 - Data Readout"/>
    <m/>
    <x v="4"/>
    <x v="4"/>
    <s v="N/A (CW)"/>
    <m/>
    <e v="#N/A"/>
    <s v="N/A (CW)"/>
    <e v="#N/A"/>
    <e v="#N/A"/>
    <e v="#N/A"/>
    <e v="#N/A"/>
    <s v="consider for conversion - gated to baseline data"/>
  </r>
  <r>
    <n v="1233"/>
    <x v="2"/>
    <x v="6"/>
    <x v="0"/>
    <x v="0"/>
    <x v="5"/>
    <s v="Vice President, Global Program Head"/>
    <x v="1"/>
    <m/>
    <x v="9"/>
    <x v="0"/>
    <x v="0"/>
    <s v="HIRED: Vicky Ballard"/>
    <n v="10126"/>
    <s v="Dani"/>
    <s v="Program Launch Leader Dani"/>
    <m/>
    <m/>
    <s v="Experienced Leader"/>
    <m/>
    <m/>
    <x v="0"/>
    <x v="0"/>
    <s v="Included In Budget (Current FTE)"/>
    <s v="x"/>
    <s v="216 Program Management"/>
    <s v="OK"/>
    <s v="Vicky Ballard"/>
    <s v="08. VP"/>
    <s v="Vice President, Development Launch Leader"/>
    <d v="2025-01-21T00:00:00"/>
    <m/>
  </r>
  <r>
    <n v="1049"/>
    <x v="2"/>
    <x v="6"/>
    <x v="0"/>
    <x v="0"/>
    <x v="5"/>
    <s v="Vice President, Global Program Head"/>
    <x v="1"/>
    <m/>
    <x v="9"/>
    <x v="0"/>
    <x v="0"/>
    <s v="HIRED: Cheryl Abbas"/>
    <n v="10128"/>
    <s v="ATA"/>
    <s v="Program Launch Leader"/>
    <m/>
    <m/>
    <m/>
    <m/>
    <m/>
    <x v="0"/>
    <x v="0"/>
    <s v="Included In Budget (Current FTE)"/>
    <s v="x"/>
    <s v="216 Program Management"/>
    <s v="OK"/>
    <s v="Cheryl Abbas"/>
    <s v="08. VP"/>
    <s v="Vice President, Development Launch Leader"/>
    <d v="2025-02-10T00:00:00"/>
    <m/>
  </r>
  <r>
    <n v="1026"/>
    <x v="2"/>
    <x v="6"/>
    <x v="0"/>
    <x v="0"/>
    <x v="5"/>
    <s v="Vice President, Global Program Head"/>
    <x v="1"/>
    <s v="Business Critical/ Infrasructure &amp; Support"/>
    <x v="2"/>
    <x v="0"/>
    <x v="0"/>
    <s v="HIRED: Dawn Bell"/>
    <n v="10322"/>
    <s v="TLA"/>
    <s v="Program Launch Leader - TLL"/>
    <m/>
    <s v="NOW "/>
    <s v="Experienced Leader"/>
    <s v="2025 WFP/ Back-fill"/>
    <m/>
    <x v="0"/>
    <x v="0"/>
    <s v="Included In Budget (Current FTE)"/>
    <s v="x"/>
    <s v="216 Program Management"/>
    <s v="OK"/>
    <s v="BACKFILL: Ajay Ahuja"/>
    <s v="08. VP"/>
    <s v="Vice President, Development Launch Leader (TLA)"/>
    <d v="2025-12-15T00:00:00"/>
    <m/>
  </r>
  <r>
    <n v="5051"/>
    <x v="1"/>
    <x v="3"/>
    <x v="12"/>
    <x v="0"/>
    <x v="6"/>
    <s v="Clinical Trial Lead"/>
    <x v="1"/>
    <m/>
    <x v="5"/>
    <x v="2"/>
    <x v="0"/>
    <m/>
    <m/>
    <s v="ATA"/>
    <s v="Regional Oversight of sites and vendor management"/>
    <m/>
    <m/>
    <s v="Jaclyn to check whether this role is required in 2026"/>
    <s v="01 - Data Readout"/>
    <s v="Tradeoff or push out?"/>
    <x v="0"/>
    <x v="1"/>
    <s v="Included In Budget (Open Role)"/>
    <s v="x"/>
    <s v="210 Clinical Operations"/>
    <s v="OK"/>
    <s v="TBD"/>
    <s v="03. Sr. Manager / Sr. Scientist"/>
    <s v="Clinical Trial Lead"/>
    <d v="2026-06-15T00:00:00"/>
    <m/>
  </r>
  <r>
    <n v="5096"/>
    <x v="1"/>
    <x v="3"/>
    <x v="5"/>
    <x v="0"/>
    <x v="8"/>
    <s v="Clinical Trial Manager"/>
    <x v="1"/>
    <m/>
    <x v="2"/>
    <x v="2"/>
    <x v="3"/>
    <m/>
    <m/>
    <s v="Dani"/>
    <m/>
    <m/>
    <m/>
    <m/>
    <s v="01 - Data Readout"/>
    <m/>
    <x v="0"/>
    <x v="3"/>
    <s v="Included In Budget (Open Role)"/>
    <s v="x"/>
    <s v="210 Clinical Operations"/>
    <s v="OK"/>
    <s v="TBD"/>
    <s v="02. Manager / Scientist"/>
    <s v="Clinical Trial Manager"/>
    <d v="2026-06-15T00:00:00"/>
    <m/>
  </r>
  <r>
    <n v="5095"/>
    <x v="1"/>
    <x v="3"/>
    <x v="10"/>
    <x v="0"/>
    <x v="3"/>
    <s v="Associate Clinical Trial Manager"/>
    <x v="0"/>
    <m/>
    <x v="2"/>
    <x v="2"/>
    <x v="4"/>
    <s v="Planned conversion for Karrin"/>
    <m/>
    <s v="Dani"/>
    <m/>
    <m/>
    <m/>
    <m/>
    <s v="01 - Data Readout"/>
    <m/>
    <x v="0"/>
    <x v="0"/>
    <s v="Included In Budget (Open Role)"/>
    <s v="x"/>
    <s v="210 Clinical Operations"/>
    <s v="OK"/>
    <s v="Planned conversion for Karrin"/>
    <s v="01. IC / Coordinator"/>
    <s v="Associate Clinical Trial Manager"/>
    <d v="2026-03-15T00:00:00"/>
    <m/>
  </r>
  <r>
    <n v="1047"/>
    <x v="1"/>
    <x v="7"/>
    <x v="2"/>
    <x v="0"/>
    <x v="2"/>
    <s v="Senior Director, Biostatistics"/>
    <x v="0"/>
    <m/>
    <x v="10"/>
    <x v="0"/>
    <x v="0"/>
    <s v="HIRED: Wanying Li"/>
    <n v="10010"/>
    <s v="ATA-TLA-Dani"/>
    <s v="Biostatistics"/>
    <m/>
    <m/>
    <m/>
    <m/>
    <m/>
    <x v="0"/>
    <x v="0"/>
    <s v="Included In Budget (Current FTE)"/>
    <s v="x"/>
    <s v="220 Clinical Data Science"/>
    <s v="OK"/>
    <s v="Wanying Li"/>
    <s v="06. Sr. Director"/>
    <s v="Senior Director, Biostatistics"/>
    <d v="2024-05-13T00:00:00"/>
    <m/>
  </r>
  <r>
    <n v="1012"/>
    <x v="1"/>
    <x v="7"/>
    <x v="18"/>
    <x v="0"/>
    <x v="2"/>
    <s v="Senior Director, Biostatistics"/>
    <x v="0"/>
    <m/>
    <x v="2"/>
    <x v="0"/>
    <x v="1"/>
    <s v="HIRED: YJ Choi"/>
    <n v="10312"/>
    <s v="TLA"/>
    <s v="Biostat lead for TLA"/>
    <m/>
    <m/>
    <s v="Experienced Leader"/>
    <m/>
    <m/>
    <x v="1"/>
    <x v="0"/>
    <s v="Included In Budget (Current FTE)"/>
    <s v="x"/>
    <s v="220 Clinical Data Science"/>
    <s v="OK"/>
    <s v="BACKFILL: Abbas"/>
    <s v="05. Director"/>
    <s v="Director, Biostatistician, TLA"/>
    <d v="2025-12-15T00:00:00"/>
    <m/>
  </r>
  <r>
    <n v="1021"/>
    <x v="1"/>
    <x v="7"/>
    <x v="18"/>
    <x v="0"/>
    <x v="4"/>
    <s v="Director, Head of Statistical Programming"/>
    <x v="1"/>
    <m/>
    <x v="0"/>
    <x v="0"/>
    <x v="0"/>
    <s v="HIRED: Jessie Jun Yan"/>
    <n v="10076"/>
    <s v="ATA-TLA-Dani"/>
    <s v="Head of Stat programming team"/>
    <m/>
    <m/>
    <m/>
    <m/>
    <m/>
    <x v="0"/>
    <x v="0"/>
    <s v="Included In Budget (Current FTE)"/>
    <s v="x"/>
    <s v="220 Clinical Data Science"/>
    <s v="OK"/>
    <s v="Jessie Yan"/>
    <s v="05. Director"/>
    <s v="Director, Statistical Programming"/>
    <d v="2024-09-16T00:00:00"/>
    <m/>
  </r>
  <r>
    <n v="1010"/>
    <x v="1"/>
    <x v="7"/>
    <x v="18"/>
    <x v="0"/>
    <x v="4"/>
    <s v="Director, Data Science"/>
    <x v="0"/>
    <m/>
    <x v="6"/>
    <x v="0"/>
    <x v="0"/>
    <s v="HIRED: Peiwen Wu"/>
    <n v="10116"/>
    <s v="ATA"/>
    <s v="model simulation, stat methods evaluation and research"/>
    <m/>
    <s v="Will take on ATA and Dani initially; catalyst for splitting the role is when ATA begins enrolling"/>
    <s v="Experienced Leader"/>
    <m/>
    <m/>
    <x v="0"/>
    <x v="0"/>
    <s v="Included In Budget (Current FTE)"/>
    <s v="x"/>
    <s v="220 Clinical Data Science"/>
    <s v="OK"/>
    <s v="Peiwen Wu"/>
    <s v="05. Director"/>
    <s v="Director, Biostatistician ATA"/>
    <d v="2024-12-16T00:00:00"/>
    <m/>
  </r>
  <r>
    <n v="1011"/>
    <x v="1"/>
    <x v="7"/>
    <x v="18"/>
    <x v="0"/>
    <x v="4"/>
    <s v="Director, Biostatistics"/>
    <x v="1"/>
    <m/>
    <x v="7"/>
    <x v="0"/>
    <x v="0"/>
    <s v="HIRED: Angela Gao"/>
    <n v="10224"/>
    <s v="Dani"/>
    <s v="Biostat lead for Dani"/>
    <m/>
    <m/>
    <s v="Experienced Leader"/>
    <m/>
    <m/>
    <x v="0"/>
    <x v="0"/>
    <s v="Included In Budget (Current FTE)"/>
    <s v="x"/>
    <s v="220 Clinical Data Science"/>
    <s v="OK"/>
    <s v="Angela Gao"/>
    <s v="05. Director"/>
    <s v="Director, Biostatistician Dani "/>
    <d v="2025-05-27T00:00:00"/>
    <m/>
  </r>
  <r>
    <n v="1007"/>
    <x v="1"/>
    <x v="7"/>
    <x v="18"/>
    <x v="2"/>
    <x v="9"/>
    <s v="Biostat Contractor 1"/>
    <x v="3"/>
    <m/>
    <x v="0"/>
    <x v="3"/>
    <x v="0"/>
    <s v="CW: Debi Kotlovker"/>
    <m/>
    <s v="Dani"/>
    <s v="Biostat expert for exploratory data analysis and assisting in study management"/>
    <m/>
    <m/>
    <m/>
    <s v="Consultant not counted (may be hidden)"/>
    <m/>
    <x v="4"/>
    <x v="4"/>
    <s v="N/A (CW)"/>
    <m/>
    <e v="#N/A"/>
    <s v="N/A (CW)"/>
    <e v="#N/A"/>
    <e v="#N/A"/>
    <e v="#N/A"/>
    <e v="#N/A"/>
    <m/>
  </r>
  <r>
    <n v="1017"/>
    <x v="1"/>
    <x v="7"/>
    <x v="19"/>
    <x v="2"/>
    <x v="9"/>
    <s v="Statistical Programming Contractor"/>
    <x v="3"/>
    <m/>
    <x v="0"/>
    <x v="3"/>
    <x v="0"/>
    <s v="CW: Sandy Chang"/>
    <m/>
    <s v="TLA"/>
    <s v="Stat programming support for study readout Dani"/>
    <m/>
    <m/>
    <m/>
    <m/>
    <m/>
    <x v="4"/>
    <x v="4"/>
    <s v="N/A (CW)"/>
    <m/>
    <e v="#N/A"/>
    <s v="N/A (CW)"/>
    <e v="#N/A"/>
    <e v="#N/A"/>
    <e v="#N/A"/>
    <e v="#N/A"/>
    <m/>
  </r>
  <r>
    <n v="1025"/>
    <x v="1"/>
    <x v="7"/>
    <x v="19"/>
    <x v="2"/>
    <x v="9"/>
    <s v="Stat programming contractor"/>
    <x v="3"/>
    <m/>
    <x v="7"/>
    <x v="3"/>
    <x v="0"/>
    <s v="CW: Nishant Dholakia"/>
    <m/>
    <s v="ATA-TLA-Dani"/>
    <s v="Stat programming support for study readout ATA"/>
    <m/>
    <m/>
    <m/>
    <m/>
    <m/>
    <x v="4"/>
    <x v="4"/>
    <s v="N/A (CW)"/>
    <m/>
    <e v="#N/A"/>
    <s v="N/A (CW)"/>
    <e v="#N/A"/>
    <e v="#N/A"/>
    <e v="#N/A"/>
    <e v="#N/A"/>
    <m/>
  </r>
  <r>
    <n v="1009"/>
    <x v="1"/>
    <x v="7"/>
    <x v="18"/>
    <x v="2"/>
    <x v="9"/>
    <s v="Biostat Contractor"/>
    <x v="3"/>
    <m/>
    <x v="8"/>
    <x v="3"/>
    <x v="1"/>
    <s v="CW: Linda Tang"/>
    <m/>
    <s v="TLA"/>
    <s v="Biostat Study Lead - TLA  program and support for submission"/>
    <m/>
    <s v="Gate on receiving data - confidence in TLA, dedicated new studies, designing a registrational study"/>
    <m/>
    <s v="Consultant not counted (may be hidden)"/>
    <m/>
    <x v="4"/>
    <x v="4"/>
    <s v="N/A (CW)"/>
    <m/>
    <e v="#N/A"/>
    <s v="N/A (CW)"/>
    <e v="#N/A"/>
    <e v="#N/A"/>
    <e v="#N/A"/>
    <e v="#N/A"/>
    <m/>
  </r>
  <r>
    <n v="5004"/>
    <x v="1"/>
    <x v="7"/>
    <x v="18"/>
    <x v="2"/>
    <x v="9"/>
    <s v="Contractor, Clinical Data Scientist"/>
    <x v="3"/>
    <m/>
    <x v="8"/>
    <x v="3"/>
    <x v="1"/>
    <s v="CW: Meng Xie"/>
    <m/>
    <s v="UA"/>
    <s v="Data visualization and dashboard build"/>
    <m/>
    <m/>
    <m/>
    <s v="01 - Data Readout"/>
    <m/>
    <x v="4"/>
    <x v="4"/>
    <s v="N/A (CW)"/>
    <m/>
    <e v="#N/A"/>
    <s v="N/A (CW)"/>
    <e v="#N/A"/>
    <e v="#N/A"/>
    <e v="#N/A"/>
    <e v="#N/A"/>
    <m/>
  </r>
  <r>
    <n v="1330"/>
    <x v="1"/>
    <x v="7"/>
    <x v="18"/>
    <x v="2"/>
    <x v="7"/>
    <s v="Contractor, Biostatistics"/>
    <x v="3"/>
    <m/>
    <x v="1"/>
    <x v="3"/>
    <x v="1"/>
    <s v="CW: Christina Nurse"/>
    <m/>
    <s v="TLA"/>
    <s v="Biostat study support for ATA"/>
    <m/>
    <m/>
    <m/>
    <m/>
    <m/>
    <x v="4"/>
    <x v="4"/>
    <s v="N/A (CW)"/>
    <m/>
    <e v="#N/A"/>
    <s v="N/A (CW)"/>
    <e v="#N/A"/>
    <e v="#N/A"/>
    <e v="#N/A"/>
    <e v="#N/A"/>
    <m/>
  </r>
  <r>
    <n v="1022"/>
    <x v="1"/>
    <x v="7"/>
    <x v="19"/>
    <x v="0"/>
    <x v="7"/>
    <s v="Associate Director, Statistical Programmer"/>
    <x v="1"/>
    <m/>
    <x v="7"/>
    <x v="0"/>
    <x v="0"/>
    <s v="HIRED: Sri Byrapuneni"/>
    <n v="10217"/>
    <s v="TLA"/>
    <s v="Stat Programming Lead for TLA"/>
    <m/>
    <m/>
    <m/>
    <m/>
    <m/>
    <x v="0"/>
    <x v="0"/>
    <s v="Included In Budget (Current FTE)"/>
    <s v="x"/>
    <s v="220 Clinical Data Science"/>
    <s v="OK"/>
    <s v="Sri Byrapuneni"/>
    <s v="04. AD / Staff Scientist"/>
    <s v="Associate Director, Statistical Programming ATA"/>
    <d v="2025-05-12T00:00:00"/>
    <m/>
  </r>
  <r>
    <n v="1331"/>
    <x v="1"/>
    <x v="7"/>
    <x v="18"/>
    <x v="0"/>
    <x v="6"/>
    <s v="Senior Manager, Data Scientist"/>
    <x v="0"/>
    <m/>
    <x v="9"/>
    <x v="0"/>
    <x v="0"/>
    <s v="HIRED: Gene Chen"/>
    <n v="10156"/>
    <s v="TLA"/>
    <s v="Data Science for Advanced Analytics, Dashboard programming"/>
    <m/>
    <m/>
    <m/>
    <m/>
    <m/>
    <x v="0"/>
    <x v="0"/>
    <s v="Included In Budget (Current FTE)"/>
    <s v="x"/>
    <s v="220 Clinical Data Science"/>
    <s v="OK"/>
    <s v="Gene Chen"/>
    <s v="03. Sr. Manager / Sr. Scientist"/>
    <s v="Sr Manager, Data Science"/>
    <d v="2025-03-03T00:00:00"/>
    <m/>
  </r>
  <r>
    <n v="1024"/>
    <x v="1"/>
    <x v="7"/>
    <x v="19"/>
    <x v="0"/>
    <x v="6"/>
    <s v="Senior Manager, Statistical Programming"/>
    <x v="1"/>
    <m/>
    <x v="1"/>
    <x v="0"/>
    <x v="1"/>
    <s v="HIRED: George Wu"/>
    <n v="10231"/>
    <s v="ATA"/>
    <s v="Stat Programming Lead for ATA"/>
    <m/>
    <m/>
    <m/>
    <m/>
    <m/>
    <x v="0"/>
    <x v="0"/>
    <s v="Included In Budget (Current FTE)"/>
    <s v="x"/>
    <s v="220 Clinical Data Science"/>
    <s v="OK"/>
    <s v="George Wu"/>
    <s v="03. Sr. Manager / Sr. Scientist"/>
    <s v="Senior Manager, Statistical Programming TLA"/>
    <d v="2025-07-14T00:00:00"/>
    <m/>
  </r>
  <r>
    <n v="5356"/>
    <x v="1"/>
    <x v="7"/>
    <x v="2"/>
    <x v="0"/>
    <x v="5"/>
    <s v="VP, Biometrics"/>
    <x v="1"/>
    <m/>
    <x v="2"/>
    <x v="1"/>
    <x v="3"/>
    <m/>
    <m/>
    <s v="UA"/>
    <s v="TBD"/>
    <m/>
    <m/>
    <m/>
    <m/>
    <m/>
    <x v="0"/>
    <x v="0"/>
    <s v="Included In Budget (Open Role)"/>
    <s v="x"/>
    <s v="205 Executive Development"/>
    <s v="Confirm w/ P&amp;C"/>
    <s v="TBD"/>
    <s v="08. VP"/>
    <s v="VP, Biometrics"/>
    <d v="2026-03-15T00:00:00"/>
    <s v="keep / key"/>
  </r>
  <r>
    <n v="5390"/>
    <x v="1"/>
    <x v="7"/>
    <x v="18"/>
    <x v="3"/>
    <x v="7"/>
    <s v="Associate Director, Statistical Programming "/>
    <x v="5"/>
    <m/>
    <x v="5"/>
    <x v="2"/>
    <x v="0"/>
    <m/>
    <m/>
    <s v="TLA/ATA/Dani"/>
    <s v="Support early development and legacy study"/>
    <m/>
    <m/>
    <m/>
    <m/>
    <m/>
    <x v="4"/>
    <x v="4"/>
    <s v="N/A (CW)"/>
    <m/>
    <e v="#N/A"/>
    <s v="N/A (CW)"/>
    <e v="#N/A"/>
    <e v="#N/A"/>
    <e v="#N/A"/>
    <e v="#N/A"/>
    <m/>
  </r>
  <r>
    <n v="5391"/>
    <x v="1"/>
    <x v="7"/>
    <x v="18"/>
    <x v="3"/>
    <x v="7"/>
    <s v="Associate Director, Biostatistics"/>
    <x v="5"/>
    <m/>
    <x v="5"/>
    <x v="2"/>
    <x v="0"/>
    <m/>
    <m/>
    <s v="TLA/ATA/Dani"/>
    <s v="Support early development and legacy study"/>
    <m/>
    <m/>
    <m/>
    <m/>
    <m/>
    <x v="4"/>
    <x v="4"/>
    <s v="N/A (CW)"/>
    <m/>
    <e v="#N/A"/>
    <s v="N/A (CW)"/>
    <e v="#N/A"/>
    <e v="#N/A"/>
    <e v="#N/A"/>
    <e v="#N/A"/>
    <m/>
  </r>
  <r>
    <n v="1023"/>
    <x v="1"/>
    <x v="7"/>
    <x v="19"/>
    <x v="0"/>
    <x v="7"/>
    <s v="Associate Director, Statistical Programming Dani"/>
    <x v="0"/>
    <m/>
    <x v="2"/>
    <x v="1"/>
    <x v="4"/>
    <m/>
    <m/>
    <s v="Dani"/>
    <s v="Stat Programming Lead for Dani"/>
    <m/>
    <s v="3 - 6 months before program readout for Dani"/>
    <m/>
    <s v="01 - Data Readout"/>
    <m/>
    <x v="0"/>
    <x v="0"/>
    <s v="Included In Budget (Open Role)"/>
    <s v="x"/>
    <s v="220 Clinical Data Science"/>
    <s v="OK"/>
    <s v="TBD"/>
    <s v="04. AD / Staff Scientist"/>
    <s v="Associate Director, Statistical Programming Dani"/>
    <d v="2026-03-15T00:00:00"/>
    <m/>
  </r>
  <r>
    <n v="5009"/>
    <x v="1"/>
    <x v="7"/>
    <x v="18"/>
    <x v="2"/>
    <x v="6"/>
    <s v="Biostat Contractor"/>
    <x v="6"/>
    <m/>
    <x v="3"/>
    <x v="2"/>
    <x v="0"/>
    <m/>
    <m/>
    <s v="TLA/ATA/Dani"/>
    <s v="Biostat support for data readout and publicatoin"/>
    <m/>
    <s v="Gate on TLA-301 positive Part 1 data readout"/>
    <m/>
    <s v="01 - Data Readout"/>
    <m/>
    <x v="4"/>
    <x v="4"/>
    <s v="N/A (CW)"/>
    <m/>
    <e v="#N/A"/>
    <s v="N/A (CW)"/>
    <e v="#N/A"/>
    <e v="#N/A"/>
    <e v="#N/A"/>
    <e v="#N/A"/>
    <m/>
  </r>
  <r>
    <n v="5372"/>
    <x v="1"/>
    <x v="7"/>
    <x v="18"/>
    <x v="2"/>
    <x v="6"/>
    <s v="Contractor, Clinical Data Scientist"/>
    <x v="3"/>
    <m/>
    <x v="3"/>
    <x v="2"/>
    <x v="0"/>
    <m/>
    <m/>
    <s v="Dani"/>
    <s v="Data visualization and dashboard build"/>
    <m/>
    <m/>
    <m/>
    <s v="01 - Data Readout"/>
    <m/>
    <x v="4"/>
    <x v="4"/>
    <s v="N/A (CW)"/>
    <m/>
    <e v="#N/A"/>
    <s v="N/A (CW)"/>
    <e v="#N/A"/>
    <e v="#N/A"/>
    <e v="#N/A"/>
    <e v="#N/A"/>
    <m/>
  </r>
  <r>
    <n v="1333"/>
    <x v="1"/>
    <x v="7"/>
    <x v="20"/>
    <x v="0"/>
    <x v="7"/>
    <s v="Associate Director, Biostatistics"/>
    <x v="0"/>
    <m/>
    <x v="2"/>
    <x v="1"/>
    <x v="1"/>
    <m/>
    <m/>
    <s v="Dani"/>
    <s v="Biostat study lead "/>
    <m/>
    <s v="Gate on receiving data - confidence in TLA, dedicated new studies, designing a registrational study"/>
    <m/>
    <s v="01 - Data Readout"/>
    <m/>
    <x v="0"/>
    <x v="0"/>
    <s v="Included In Budget (Open Role)"/>
    <s v="x"/>
    <s v="220 Clinical Data Science"/>
    <s v="OK"/>
    <s v="TBD"/>
    <s v="04. AD / Staff Scientist"/>
    <s v="Associate Director, Biostatistician Dani"/>
    <d v="2026-03-15T00:00:00"/>
    <m/>
  </r>
  <r>
    <n v="5006"/>
    <x v="1"/>
    <x v="7"/>
    <x v="21"/>
    <x v="0"/>
    <x v="1"/>
    <s v="Executive Director, Head of Data Analytics"/>
    <x v="0"/>
    <m/>
    <x v="3"/>
    <x v="1"/>
    <x v="3"/>
    <m/>
    <m/>
    <s v="UA"/>
    <s v="infrastructure and process build, increase efficiency"/>
    <m/>
    <m/>
    <m/>
    <s v="01 - Data Readout"/>
    <m/>
    <x v="1"/>
    <x v="1"/>
    <s v="Included In Budget (Open Role)"/>
    <s v="x"/>
    <s v="220 Clinical Data Science"/>
    <s v="OK"/>
    <s v="TBD"/>
    <s v="06. Sr. Director"/>
    <s v="Head of Data Analytics"/>
    <d v="2026-03-15T00:00:00"/>
    <m/>
  </r>
  <r>
    <n v="5050"/>
    <x v="1"/>
    <x v="7"/>
    <x v="18"/>
    <x v="0"/>
    <x v="6"/>
    <s v="Stats Programming Study Lead"/>
    <x v="6"/>
    <m/>
    <x v="3"/>
    <x v="2"/>
    <x v="4"/>
    <m/>
    <m/>
    <s v="TLA"/>
    <m/>
    <m/>
    <m/>
    <m/>
    <s v="01 - Data Readout"/>
    <m/>
    <x v="0"/>
    <x v="0"/>
    <s v="Included In Budget (Open Role)"/>
    <s v="x"/>
    <s v="220 Clinical Data Science"/>
    <s v="Confirm w/ P&amp;C"/>
    <s v="TBD"/>
    <s v="03. Sr. Manager / Sr. Scientist"/>
    <s v="Stats Programming Study Lead"/>
    <d v="2026-06-15T00:00:00"/>
    <m/>
  </r>
  <r>
    <n v="1020"/>
    <x v="1"/>
    <x v="8"/>
    <x v="2"/>
    <x v="0"/>
    <x v="1"/>
    <s v="Executive Director, Head of CDM"/>
    <x v="0"/>
    <m/>
    <x v="3"/>
    <x v="2"/>
    <x v="3"/>
    <s v="BACKFILL: Lauren Cao"/>
    <m/>
    <s v="TLA-Dani"/>
    <s v="Head of Clinical Data Management"/>
    <m/>
    <m/>
    <m/>
    <m/>
    <m/>
    <x v="1"/>
    <x v="0"/>
    <s v="Included In Budget (Current FTE)"/>
    <s v="x"/>
    <s v="221 Clinical Data Management"/>
    <s v="OK"/>
    <s v="Lauren Cao"/>
    <s v="06. Sr. Director"/>
    <s v="Senior Director, Clinical Data Management"/>
    <d v="2024-10-07T00:00:00"/>
    <m/>
  </r>
  <r>
    <n v="1014"/>
    <x v="1"/>
    <x v="8"/>
    <x v="22"/>
    <x v="0"/>
    <x v="4"/>
    <s v="Director, Clinical Data Management"/>
    <x v="0"/>
    <m/>
    <x v="1"/>
    <x v="0"/>
    <x v="1"/>
    <s v="HIRED: Frances Dingle"/>
    <n v="10233"/>
    <s v="TLA"/>
    <s v="CDM lead for TLA201"/>
    <m/>
    <s v="When Dani is licensed in; once TLA lead is filled, will move CDM contractor into this role"/>
    <m/>
    <m/>
    <m/>
    <x v="0"/>
    <x v="0"/>
    <s v="Included In Budget (Current FTE)"/>
    <s v="x"/>
    <s v="221 Clinical Data Management"/>
    <s v="OK"/>
    <s v="Frances Seput Dingle"/>
    <s v="05. Director"/>
    <s v="Associate Director, Clinical Data Management TLA"/>
    <d v="2025-09-29T00:00:00"/>
    <m/>
  </r>
  <r>
    <n v="1016"/>
    <x v="1"/>
    <x v="8"/>
    <x v="22"/>
    <x v="2"/>
    <x v="9"/>
    <s v="CDM contractor / Clinical programmer"/>
    <x v="3"/>
    <m/>
    <x v="1"/>
    <x v="3"/>
    <x v="0"/>
    <s v="CW: Lucy Warner FSP ClinChoice"/>
    <m/>
    <s v="ATA-TLA-Dani"/>
    <s v="CDM support for study readout"/>
    <m/>
    <m/>
    <m/>
    <m/>
    <m/>
    <x v="4"/>
    <x v="4"/>
    <s v="N/A (CW)"/>
    <m/>
    <e v="#N/A"/>
    <s v="N/A (CW)"/>
    <e v="#N/A"/>
    <e v="#N/A"/>
    <e v="#N/A"/>
    <e v="#N/A"/>
    <m/>
  </r>
  <r>
    <n v="1332"/>
    <x v="1"/>
    <x v="8"/>
    <x v="22"/>
    <x v="2"/>
    <x v="7"/>
    <s v="DM contractor /Early Dev"/>
    <x v="0"/>
    <m/>
    <x v="8"/>
    <x v="3"/>
    <x v="1"/>
    <s v="CW: Carina"/>
    <m/>
    <s v="UA"/>
    <s v="DM for all KAR-141 blood draw, ATA TQT, DAN-HI"/>
    <m/>
    <s v="To provide immediate reporting/tools support prior to data lake system.  It may be a contractor to FTE position."/>
    <m/>
    <s v="01 - Data Readout"/>
    <m/>
    <x v="4"/>
    <x v="4"/>
    <s v="N/A (CW)"/>
    <m/>
    <e v="#N/A"/>
    <s v="N/A (CW)"/>
    <e v="#N/A"/>
    <e v="#N/A"/>
    <e v="#N/A"/>
    <e v="#N/A"/>
    <m/>
  </r>
  <r>
    <n v="5022"/>
    <x v="1"/>
    <x v="8"/>
    <x v="23"/>
    <x v="2"/>
    <x v="6"/>
    <s v="Senior Manager, Data Management"/>
    <x v="0"/>
    <m/>
    <x v="8"/>
    <x v="3"/>
    <x v="0"/>
    <s v="Approved at 2025 re-forecast - Vijetha Thokala _x000a_"/>
    <m/>
    <s v="ATA"/>
    <s v="Support Data deliverable activities in ATA/DAN Program"/>
    <s v="Support DAN 302 build, DAN301 and ATA301 read out, TLA 201 DBL"/>
    <m/>
    <m/>
    <s v="Consultant not counted (may be hidden)"/>
    <m/>
    <x v="4"/>
    <x v="4"/>
    <s v="N/A (CW)"/>
    <m/>
    <e v="#N/A"/>
    <s v="N/A (CW)"/>
    <e v="#N/A"/>
    <e v="#N/A"/>
    <e v="#N/A"/>
    <e v="#N/A"/>
    <m/>
  </r>
  <r>
    <n v="5029"/>
    <x v="1"/>
    <x v="8"/>
    <x v="22"/>
    <x v="0"/>
    <x v="4"/>
    <s v="Director, Data Management"/>
    <x v="6"/>
    <m/>
    <x v="2"/>
    <x v="0"/>
    <x v="1"/>
    <s v="HIRED: Joseph Reitano"/>
    <n v="10350"/>
    <s v="ATA"/>
    <s v="ATA program DM lead, DM CRO oversight, contribute to DM consistency and data quality review oversight"/>
    <s v="ATA baseline correlation delivery"/>
    <s v="ATA baseline correlation delivery"/>
    <m/>
    <s v="01 - Data Readout"/>
    <m/>
    <x v="0"/>
    <x v="0"/>
    <s v="Included In Budget (Current FTE) / Align with P&amp;C duplicate temp job ID"/>
    <s v="x"/>
    <s v="220 Clinical Data Science"/>
    <s v="Confirm w/ P&amp;C"/>
    <s v="TBD"/>
    <s v="05. Director"/>
    <s v="Director, Data Management"/>
    <d v="2026-03-15T00:00:00"/>
    <m/>
  </r>
  <r>
    <n v="5021"/>
    <x v="1"/>
    <x v="8"/>
    <x v="23"/>
    <x v="2"/>
    <x v="7"/>
    <s v="Sr. Manager, Data Management"/>
    <x v="0"/>
    <m/>
    <x v="2"/>
    <x v="2"/>
    <x v="0"/>
    <s v="Approved at 2025 re-forecast as CW - Currently Open  (will extend offer 2025)_x000a_"/>
    <m/>
    <s v="TLA"/>
    <s v="DANI DM  support"/>
    <m/>
    <s v="TLA202/301 Protocol Initiation"/>
    <m/>
    <s v="01 - Data Readout_x000a_Consultant not counted (may be hidden)"/>
    <m/>
    <x v="4"/>
    <x v="4"/>
    <s v="N/A (CW)"/>
    <m/>
    <e v="#N/A"/>
    <s v="N/A (CW)"/>
    <e v="#N/A"/>
    <e v="#N/A"/>
    <e v="#N/A"/>
    <e v="#N/A"/>
    <m/>
  </r>
  <r>
    <n v="5023"/>
    <x v="1"/>
    <x v="8"/>
    <x v="24"/>
    <x v="2"/>
    <x v="6"/>
    <s v="Senior Manager, Data Management "/>
    <x v="0"/>
    <m/>
    <x v="2"/>
    <x v="2"/>
    <x v="0"/>
    <m/>
    <m/>
    <s v="ATA-TLA-Dani"/>
    <s v="External Data Acquisition Lead "/>
    <s v="ATA readout 2026 Q1, DAN 20pt read out 2026 Q2, 80pt read out 2026Q4"/>
    <s v="ATA baseline correlation delivery"/>
    <m/>
    <s v="Consultant not counted (may be hidden)"/>
    <m/>
    <x v="4"/>
    <x v="4"/>
    <s v="N/A (CW)"/>
    <m/>
    <e v="#N/A"/>
    <s v="N/A (CW)"/>
    <e v="#N/A"/>
    <e v="#N/A"/>
    <e v="#N/A"/>
    <e v="#N/A"/>
    <m/>
  </r>
  <r>
    <n v="5389"/>
    <x v="1"/>
    <x v="8"/>
    <x v="22"/>
    <x v="2"/>
    <x v="6"/>
    <s v="Sr. Manager, Data Management"/>
    <x v="6"/>
    <m/>
    <x v="3"/>
    <x v="2"/>
    <x v="0"/>
    <m/>
    <m/>
    <s v="ATA-TLA-Dani"/>
    <s v="Biomarker Lead"/>
    <m/>
    <m/>
    <m/>
    <m/>
    <m/>
    <x v="4"/>
    <x v="4"/>
    <s v="N/A (CW)"/>
    <m/>
    <e v="#N/A"/>
    <s v="N/A (CW)"/>
    <e v="#N/A"/>
    <e v="#N/A"/>
    <e v="#N/A"/>
    <e v="#N/A"/>
    <m/>
  </r>
  <r>
    <n v="1311"/>
    <x v="1"/>
    <x v="9"/>
    <x v="3"/>
    <x v="0"/>
    <x v="5"/>
    <s v="Vice President, Head of Pharmacovigilance"/>
    <x v="1"/>
    <m/>
    <x v="9"/>
    <x v="0"/>
    <x v="0"/>
    <s v="HIRED: Krisztina Debreczeni"/>
    <n v="10139"/>
    <s v="ATA"/>
    <s v="Lead pharmacovigilance org"/>
    <m/>
    <m/>
    <s v="Experienced Leader"/>
    <m/>
    <m/>
    <x v="0"/>
    <x v="0"/>
    <s v="Included In Budget (Current FTE)"/>
    <s v="x"/>
    <s v="230 Pharmacovigilance"/>
    <s v="OK"/>
    <s v="Krisztina Debreczeni"/>
    <s v="08. VP"/>
    <s v="Head PV"/>
    <d v="2025-01-27T00:00:00"/>
    <m/>
  </r>
  <r>
    <n v="1235"/>
    <x v="1"/>
    <x v="9"/>
    <x v="25"/>
    <x v="0"/>
    <x v="2"/>
    <s v="Senior Director, Pharmacovigilance Functional Excellence And Inspection Readiness"/>
    <x v="1"/>
    <m/>
    <x v="7"/>
    <x v="0"/>
    <x v="0"/>
    <s v="HIRED: Brian Burns"/>
    <n v="10220"/>
    <s v="ATA-TLA-Dani"/>
    <s v="Lead PV quality management system development, strategic initiatives, compliance program, inspection readiness and process transformation"/>
    <m/>
    <m/>
    <s v="Experienced Leader"/>
    <m/>
    <m/>
    <x v="0"/>
    <x v="0"/>
    <s v="Included In Budget (Current FTE)"/>
    <s v="x"/>
    <s v="230 Pharmacovigilance"/>
    <s v="OK"/>
    <s v="Brian Burns"/>
    <s v="06. Sr. Director"/>
    <s v="Senior Director, Pharmacovigilance Functional Excellence and Inspection Readiness"/>
    <d v="2025-06-02T00:00:00"/>
    <m/>
  </r>
  <r>
    <n v="5122"/>
    <x v="1"/>
    <x v="9"/>
    <x v="25"/>
    <x v="0"/>
    <x v="4"/>
    <s v="Director, PV Scientist (non-MD)"/>
    <x v="1"/>
    <s v="Business Critical"/>
    <x v="3"/>
    <x v="0"/>
    <x v="1"/>
    <s v="HIRED: John Simon"/>
    <n v="10357"/>
    <s v="TLA"/>
    <s v="Lead and coordinate safety data assessment and surveillance program, lead signal detection and management and coordinate benefit-risk analysis program across multiple assets"/>
    <s v="Safety Surveillance program, company core risk management plan, DSUR, PSUR, PADER/PAER, company core safety information"/>
    <s v="Safety data collection in one or more assets and the creation of the support timely and accurate safety data assessment and surveillance, signal detection, benefit-risk evaluation and safety risk management"/>
    <s v="medical background with strong pharmacovigilance experience"/>
    <s v="01 - Data Readout"/>
    <m/>
    <x v="0"/>
    <x v="0"/>
    <s v="Included In Budget (Current FTE)"/>
    <s v="x"/>
    <s v="230 Pharmacovigilance"/>
    <s v="OK"/>
    <s v="TBD"/>
    <s v="05. Director"/>
    <s v="Director, PV Scientist"/>
    <d v="2026-03-15T00:00:00"/>
    <s v="keep"/>
  </r>
  <r>
    <n v="5121"/>
    <x v="1"/>
    <x v="9"/>
    <x v="26"/>
    <x v="0"/>
    <x v="7"/>
    <s v="Associate Director, Pharmacovigilance Functional Excellence and Inspection Readiness (FEIR)"/>
    <x v="1"/>
    <s v="Business Critical"/>
    <x v="2"/>
    <x v="0"/>
    <x v="1"/>
    <s v="HIRED: David Straube"/>
    <n v="10327"/>
    <s v="ATA-TLA-Dani"/>
    <s v="Experienced in pharmacovigilance case processing, vendor oversight and quality management systems"/>
    <s v="PV QMS, Measures/KPIs for PV compliance"/>
    <s v="Creation of PV compliance management program"/>
    <s v="Strong compliance management mindset, vendor oversight, PV operations; Pharmacovigilance "/>
    <m/>
    <m/>
    <x v="3"/>
    <x v="0"/>
    <s v="Included In Budget (Current FTE)"/>
    <s v="x"/>
    <s v="230 Pharmacovigilance"/>
    <s v="OK"/>
    <s v="TBD"/>
    <s v="05. Director"/>
    <s v="Director, Pharmacovigilance Standards &amp; Process Compliance"/>
    <d v="2026-03-15T00:00:00"/>
    <s v="check"/>
  </r>
  <r>
    <n v="5123"/>
    <x v="1"/>
    <x v="9"/>
    <x v="25"/>
    <x v="0"/>
    <x v="4"/>
    <s v="Director, PV Scientist (non-MD)"/>
    <x v="1"/>
    <s v="Gated data readout"/>
    <x v="11"/>
    <x v="2"/>
    <x v="0"/>
    <m/>
    <m/>
    <s v="Dani"/>
    <s v="Medical oversight across all assets and all trials.  Experienced in safety risk management, safety benefit-risk analysis, signal management and safety data assessment.  Leader of function"/>
    <s v="Safety Surveillance program, company core risk management plan, DSUR, PSUR, PADER/PAER, company core safety information"/>
    <s v="Safety data collection in one or more assets and the creation of the support timely and accurate safety data assessment and surveillance, signal detection, benefit-risk evaluation and safety risk management"/>
    <s v="medical background with strong pharmacovigilance experience"/>
    <s v="01 - Data Readout"/>
    <s v="Potential Tradeoff"/>
    <x v="0"/>
    <x v="0"/>
    <s v="Included In Budget (Open Role)"/>
    <s v="x"/>
    <s v="230 Pharmacovigilance"/>
    <s v="OK"/>
    <s v="TBD"/>
    <s v="05. Director"/>
    <s v="Director, PV Scientist"/>
    <d v="2026-12-15T00:00:00"/>
    <m/>
  </r>
  <r>
    <n v="1064"/>
    <x v="1"/>
    <x v="10"/>
    <x v="27"/>
    <x v="0"/>
    <x v="1"/>
    <s v="Executive Director, CMC Regulatory"/>
    <x v="0"/>
    <m/>
    <x v="6"/>
    <x v="0"/>
    <x v="0"/>
    <s v="HIRED: Nicole Hilgraf"/>
    <n v="10124"/>
    <s v="Dani"/>
    <s v="CMC Regulatory"/>
    <m/>
    <m/>
    <s v="Experienced Leader"/>
    <m/>
    <m/>
    <x v="0"/>
    <x v="0"/>
    <s v="Included In Budget (Current FTE)"/>
    <s v="x"/>
    <s v="235 Regulatory"/>
    <s v="OK"/>
    <s v="Nicole Hilgraf"/>
    <s v="07. Exec. Director"/>
    <s v="Executive Director, CMC Regulatory"/>
    <d v="2024-12-16T00:00:00"/>
    <m/>
  </r>
  <r>
    <n v="1063"/>
    <x v="1"/>
    <x v="10"/>
    <x v="3"/>
    <x v="0"/>
    <x v="5"/>
    <s v="Senior Vice President, Regulatory"/>
    <x v="0"/>
    <m/>
    <x v="9"/>
    <x v="0"/>
    <x v="0"/>
    <s v="HIRED: Stuart Heminway"/>
    <n v="10146"/>
    <s v="TLA-Dani"/>
    <s v="Regulatory"/>
    <m/>
    <m/>
    <s v="Experienced Leader"/>
    <m/>
    <m/>
    <x v="0"/>
    <x v="0"/>
    <s v="Included In Budget (Current FTE)"/>
    <s v="x"/>
    <s v="235 Regulatory"/>
    <s v="OK"/>
    <s v="Stu Heminway"/>
    <s v="08. VP"/>
    <s v="Head of Regulatory"/>
    <d v="2025-01-15T00:00:00"/>
    <m/>
  </r>
  <r>
    <n v="1293"/>
    <x v="1"/>
    <x v="10"/>
    <x v="27"/>
    <x v="0"/>
    <x v="2"/>
    <s v="Senior Director, Regulatory Strategy"/>
    <x v="0"/>
    <m/>
    <x v="7"/>
    <x v="0"/>
    <x v="0"/>
    <s v="HIRED: Li Zhou"/>
    <n v="10199"/>
    <s v="ATA"/>
    <s v="Regulatory Strategy"/>
    <m/>
    <m/>
    <s v="Experienced Leader"/>
    <m/>
    <m/>
    <x v="1"/>
    <x v="0"/>
    <s v="Included In Budget (Current FTE)"/>
    <s v="x"/>
    <s v="235 Regulatory"/>
    <s v="OK"/>
    <s v="Li Zhou"/>
    <s v="05. Director"/>
    <s v="Director, Regulatory Strategy"/>
    <d v="2025-04-14T00:00:00"/>
    <m/>
  </r>
  <r>
    <n v="1294"/>
    <x v="1"/>
    <x v="10"/>
    <x v="28"/>
    <x v="0"/>
    <x v="7"/>
    <s v="Associate Director, CMC Regulatory"/>
    <x v="0"/>
    <m/>
    <x v="7"/>
    <x v="0"/>
    <x v="0"/>
    <s v="HIRED: Sarika Savant"/>
    <n v="10211"/>
    <s v="TLA"/>
    <s v="CMC Regulatory"/>
    <m/>
    <m/>
    <s v="Experienced Leader"/>
    <m/>
    <m/>
    <x v="0"/>
    <x v="0"/>
    <s v="Included In Budget (Current FTE)"/>
    <s v="x"/>
    <s v="235 Regulatory"/>
    <s v="OK"/>
    <s v="Sarika Savant"/>
    <s v="04. AD / Staff Scientist"/>
    <s v="Associate Director, CMC Regulatory"/>
    <d v="2025-05-05T00:00:00"/>
    <m/>
  </r>
  <r>
    <n v="1373"/>
    <x v="1"/>
    <x v="10"/>
    <x v="27"/>
    <x v="0"/>
    <x v="2"/>
    <s v="Ex/Sr Dir, Regulatory Strategy"/>
    <x v="1"/>
    <m/>
    <x v="2"/>
    <x v="0"/>
    <x v="1"/>
    <s v="HIRED: Sonali Patel"/>
    <m/>
    <s v="Dani"/>
    <s v="Regulatory Strategy"/>
    <m/>
    <s v="Now"/>
    <m/>
    <s v="03 - NDA Submission"/>
    <m/>
    <x v="0"/>
    <x v="0"/>
    <s v="Included In Budget (Open Role)"/>
    <s v="x"/>
    <s v="235 Regulatory"/>
    <s v="OK"/>
    <s v="TBD"/>
    <s v="06. Sr. Director"/>
    <s v="Ex/Sr Dir, Regulatory Strategy"/>
    <d v="2026-03-15T00:00:00"/>
    <s v="candidate identified"/>
  </r>
  <r>
    <n v="1296"/>
    <x v="1"/>
    <x v="10"/>
    <x v="27"/>
    <x v="0"/>
    <x v="2"/>
    <s v="Senior Director, Regulatory Operations"/>
    <x v="0"/>
    <m/>
    <x v="2"/>
    <x v="2"/>
    <x v="1"/>
    <m/>
    <m/>
    <s v="ATA-TLA"/>
    <s v="Regulatory Operations"/>
    <m/>
    <s v="NDA Submission leadership/infrastructure/vendors for Filing Teams"/>
    <m/>
    <s v="03 - NDA Submission"/>
    <s v="Keep"/>
    <x v="0"/>
    <x v="0"/>
    <s v="Included In Budget (Open Role)"/>
    <s v="x"/>
    <s v="235 Regulatory"/>
    <s v="OK"/>
    <s v="TBD"/>
    <s v="06. Sr. Director"/>
    <s v="Senior Director, Regulatory Operations"/>
    <d v="2026-03-15T00:00:00"/>
    <s v="most critical 2026 hire"/>
  </r>
  <r>
    <n v="1384"/>
    <x v="1"/>
    <x v="10"/>
    <x v="28"/>
    <x v="0"/>
    <x v="2"/>
    <s v="Senior Director, CMC Regulatory"/>
    <x v="0"/>
    <m/>
    <x v="2"/>
    <x v="0"/>
    <x v="1"/>
    <s v="HIRED: Julie Lee"/>
    <n v="10323"/>
    <s v="ATA"/>
    <s v="CMC Regulatory"/>
    <m/>
    <m/>
    <m/>
    <s v="03 - NDA Submission"/>
    <m/>
    <x v="0"/>
    <x v="0"/>
    <s v="Included In Budget (Current FTE)"/>
    <s v="x"/>
    <s v="235 Regulatory"/>
    <s v="OK"/>
    <s v="CW: Kevin Miller conversion"/>
    <s v="06. Sr. Director"/>
    <s v="Sr. Dir. Reg CMC (Dani)"/>
    <d v="2026-03-15T00:00:00"/>
    <m/>
  </r>
  <r>
    <n v="5152"/>
    <x v="1"/>
    <x v="10"/>
    <x v="27"/>
    <x v="0"/>
    <x v="2"/>
    <s v="Sr. Director, Regulatory Science Communication (X-portfolio)"/>
    <x v="6"/>
    <m/>
    <x v="3"/>
    <x v="2"/>
    <x v="1"/>
    <m/>
    <m/>
    <s v="UA"/>
    <s v="Regulatory Science Communication"/>
    <m/>
    <s v="Submission authoring and oversight including Medical Writers for Filing Teams"/>
    <m/>
    <m/>
    <s v="Keep"/>
    <x v="0"/>
    <x v="0"/>
    <s v="Included In Budget (Open Role)"/>
    <s v="x"/>
    <s v="235 Regulatory"/>
    <s v="OK"/>
    <s v="TBD"/>
    <s v="06. Sr. Director"/>
    <s v="Sr. Director, Regulatory Science Communication (X-portfolio)"/>
    <d v="2026-06-15T00:00:00"/>
    <s v="capacity given other hires, realistically Q2"/>
  </r>
  <r>
    <n v="5150"/>
    <x v="1"/>
    <x v="10"/>
    <x v="27"/>
    <x v="0"/>
    <x v="7"/>
    <s v="Assoc. Director, Regulatory Strategy (TLA/ATA)"/>
    <x v="0"/>
    <m/>
    <x v="3"/>
    <x v="2"/>
    <x v="1"/>
    <m/>
    <m/>
    <s v="UA"/>
    <s v="Regulatory Strategy"/>
    <m/>
    <s v="Phase 3 initiations"/>
    <m/>
    <s v="01 - Data Readout"/>
    <s v="Potential Tradeoff"/>
    <x v="0"/>
    <x v="0"/>
    <s v="Included In Budget (Open Role)"/>
    <s v="x"/>
    <s v="235 Regulatory"/>
    <s v="OK"/>
    <s v="TBD"/>
    <s v="04. AD / Staff Scientist"/>
    <s v="Associate Director, Regulatory Strategy (TLA/ATA)"/>
    <d v="2026-06-15T00:00:00"/>
    <s v="Potentially delay…"/>
  </r>
  <r>
    <n v="5153"/>
    <x v="1"/>
    <x v="10"/>
    <x v="28"/>
    <x v="0"/>
    <x v="2"/>
    <s v="Sr. Director, CMC Regulatory (ATA)"/>
    <x v="1"/>
    <m/>
    <x v="5"/>
    <x v="2"/>
    <x v="0"/>
    <m/>
    <m/>
    <s v="UA"/>
    <s v="CMC Regulatory"/>
    <m/>
    <s v="Phase 3 initiations"/>
    <m/>
    <s v="01 - Data Readout"/>
    <m/>
    <x v="0"/>
    <x v="0"/>
    <s v="Included In Budget (Open Role)"/>
    <s v="x"/>
    <s v="235 Regulatory"/>
    <s v="OK"/>
    <s v="TBD"/>
    <s v="06. Sr. Director"/>
    <s v="Sr. Director, CMC Regulatory (ATA)"/>
    <d v="2026-09-15T00:00:00"/>
    <s v="Delay to Q3; NDA submission"/>
  </r>
  <r>
    <n v="5147"/>
    <x v="1"/>
    <x v="10"/>
    <x v="27"/>
    <x v="4"/>
    <x v="2"/>
    <s v="Dani NDA Lead Medical Writer and Clinical Efficacy"/>
    <x v="3"/>
    <m/>
    <x v="5"/>
    <x v="2"/>
    <x v="0"/>
    <m/>
    <m/>
    <s v="UA"/>
    <s v="Regulatory Science Communication"/>
    <m/>
    <s v="Submission authoring Medical Writer for Filing Teams"/>
    <m/>
    <s v="03 - NDA Submission"/>
    <m/>
    <x v="4"/>
    <x v="4"/>
    <s v="N/A (CW)"/>
    <m/>
    <e v="#N/A"/>
    <s v="N/A (CW)"/>
    <e v="#N/A"/>
    <e v="#N/A"/>
    <e v="#N/A"/>
    <e v="#N/A"/>
    <s v="gated on data/NDA; ~20 mos before"/>
  </r>
  <r>
    <n v="5155"/>
    <x v="1"/>
    <x v="10"/>
    <x v="27"/>
    <x v="4"/>
    <x v="2"/>
    <s v="ATA NDA Lead Medical Writer and Clinical Efficacy"/>
    <x v="3"/>
    <m/>
    <x v="5"/>
    <x v="2"/>
    <x v="0"/>
    <m/>
    <m/>
    <s v="UA"/>
    <s v="Regulatory Science Communication"/>
    <m/>
    <s v="Submission authoring Medical Writer for Filing Teams"/>
    <m/>
    <s v="03 - NDA Submission"/>
    <m/>
    <x v="4"/>
    <x v="4"/>
    <s v="N/A (CW)"/>
    <m/>
    <e v="#N/A"/>
    <s v="N/A (CW)"/>
    <e v="#N/A"/>
    <e v="#N/A"/>
    <e v="#N/A"/>
    <e v="#N/A"/>
    <s v="gated on data/NDA; ~20 mos before"/>
  </r>
  <r>
    <n v="5148"/>
    <x v="1"/>
    <x v="10"/>
    <x v="27"/>
    <x v="4"/>
    <x v="4"/>
    <s v="Dani NDA Medical Writer Clinical Safety "/>
    <x v="3"/>
    <m/>
    <x v="11"/>
    <x v="2"/>
    <x v="0"/>
    <m/>
    <m/>
    <s v="UA"/>
    <s v="Regulatory Science Communication"/>
    <m/>
    <s v="Submission authoring Medical Writer for Filing Teams"/>
    <m/>
    <s v="03 - NDA Submission"/>
    <m/>
    <x v="4"/>
    <x v="4"/>
    <s v="N/A (CW)"/>
    <m/>
    <e v="#N/A"/>
    <s v="N/A (CW)"/>
    <e v="#N/A"/>
    <e v="#N/A"/>
    <e v="#N/A"/>
    <e v="#N/A"/>
    <s v="gated on data/NDA; ~18 mos before"/>
  </r>
  <r>
    <n v="5149"/>
    <x v="1"/>
    <x v="10"/>
    <x v="27"/>
    <x v="4"/>
    <x v="4"/>
    <s v="Dani NDA Medical Writer Clinical Pharmacology and Nonclinical support"/>
    <x v="3"/>
    <m/>
    <x v="11"/>
    <x v="2"/>
    <x v="0"/>
    <m/>
    <m/>
    <s v="UA"/>
    <s v="Regulatory Science Communication"/>
    <m/>
    <s v="Submission authoring Medical Writer for Filing Teams"/>
    <m/>
    <s v="03 - NDA Submission"/>
    <m/>
    <x v="4"/>
    <x v="4"/>
    <s v="N/A (CW)"/>
    <m/>
    <e v="#N/A"/>
    <s v="N/A (CW)"/>
    <e v="#N/A"/>
    <e v="#N/A"/>
    <e v="#N/A"/>
    <e v="#N/A"/>
    <s v="gated on data/NDA; ~15 mos before"/>
  </r>
  <r>
    <n v="5156"/>
    <x v="1"/>
    <x v="10"/>
    <x v="27"/>
    <x v="4"/>
    <x v="4"/>
    <s v="ATA NDA Medical Writer Clinical Safety "/>
    <x v="3"/>
    <m/>
    <x v="11"/>
    <x v="2"/>
    <x v="0"/>
    <m/>
    <m/>
    <s v="UA"/>
    <s v="Regulatory Science Communication"/>
    <m/>
    <s v="Submission authoring Medical Writer for Filing Teams"/>
    <m/>
    <s v="03 - NDA Submission"/>
    <m/>
    <x v="4"/>
    <x v="4"/>
    <s v="N/A (CW)"/>
    <m/>
    <e v="#N/A"/>
    <s v="N/A (CW)"/>
    <e v="#N/A"/>
    <e v="#N/A"/>
    <e v="#N/A"/>
    <e v="#N/A"/>
    <s v="gated on data/NDA; ~18 mos before"/>
  </r>
  <r>
    <n v="5157"/>
    <x v="1"/>
    <x v="10"/>
    <x v="27"/>
    <x v="4"/>
    <x v="4"/>
    <s v="ATA NDA Medical Writer Clinical Pharmacology and Nonclinical support"/>
    <x v="3"/>
    <m/>
    <x v="11"/>
    <x v="2"/>
    <x v="0"/>
    <m/>
    <m/>
    <s v="UA"/>
    <s v="Regulatory Science Communication"/>
    <m/>
    <s v="Submission authoring Medical Writer for Filing Teams"/>
    <m/>
    <s v="03 - NDA Submission"/>
    <m/>
    <x v="4"/>
    <x v="4"/>
    <s v="N/A (CW)"/>
    <m/>
    <e v="#N/A"/>
    <s v="N/A (CW)"/>
    <e v="#N/A"/>
    <e v="#N/A"/>
    <e v="#N/A"/>
    <e v="#N/A"/>
    <s v="gated on data/NDA; ~15 mos before"/>
  </r>
  <r>
    <n v="1246"/>
    <x v="1"/>
    <x v="4"/>
    <x v="6"/>
    <x v="0"/>
    <x v="2"/>
    <s v="Senior Director, Medical Disease Area Lead, Aortic Stenosis/Ataciguat"/>
    <x v="3"/>
    <m/>
    <x v="8"/>
    <x v="0"/>
    <x v="1"/>
    <s v="HIRED: Kelly Kleeman"/>
    <n v="10284"/>
    <s v="ATA"/>
    <s v="Medical Affairs"/>
    <m/>
    <m/>
    <m/>
    <s v="2025 WFP/ Back-fill"/>
    <m/>
    <x v="1"/>
    <x v="0"/>
    <s v="Included In Budget (Current FTE)"/>
    <s v="x"/>
    <s v="505 Medical Affairs"/>
    <s v="OK"/>
    <s v="Kelly Lynn Kleeman"/>
    <s v="05. Director"/>
    <s v="Medical Disease Area Lead, ATA"/>
    <d v="2025-11-03T00:00:00"/>
    <m/>
  </r>
  <r>
    <n v="1375"/>
    <x v="1"/>
    <x v="4"/>
    <x v="6"/>
    <x v="0"/>
    <x v="4"/>
    <s v="Director, Patient Advocacy"/>
    <x v="3"/>
    <m/>
    <x v="1"/>
    <x v="0"/>
    <x v="1"/>
    <s v="HIRED: Wendy Borsari"/>
    <n v="10257"/>
    <s v="ATA-TLA-Dani"/>
    <m/>
    <m/>
    <m/>
    <m/>
    <m/>
    <m/>
    <x v="0"/>
    <x v="0"/>
    <s v="Included In Budget (Current FTE)"/>
    <s v="x"/>
    <s v="505 Medical Affairs"/>
    <s v="OK"/>
    <s v="Wendy Borsari"/>
    <s v="05. Director"/>
    <s v="Patient Advocacy"/>
    <d v="2025-08-04T00:00:00"/>
    <m/>
  </r>
  <r>
    <n v="1400"/>
    <x v="1"/>
    <x v="4"/>
    <x v="6"/>
    <x v="0"/>
    <x v="4"/>
    <s v="Director, Medical Strategy &amp; Operations"/>
    <x v="1"/>
    <s v="Business Critical; Infrastructure/Support"/>
    <x v="2"/>
    <x v="4"/>
    <x v="1"/>
    <s v="Formerly ID 5112"/>
    <m/>
    <s v="ATA-TLA-Dani"/>
    <s v="Oversight and project management support of medical organizational infrastructure and core competency development, processes, budget, and strategic oversight across all assets"/>
    <s v="Medical organization development for full medical launch readiness planning and to advance into full organizational model - support in the absence of a dedicated SVP of Medical Affairs"/>
    <s v="Field Medical initial build - need this role in place for infrastructure development prior to Q2 2026 initial field medical team"/>
    <s v="Emerging Leader but with experience in strategy/ops "/>
    <m/>
    <m/>
    <x v="0"/>
    <x v="0"/>
    <s v="Included In Budget (Open Role)"/>
    <s v="x"/>
    <s v="505 Medical Affairs"/>
    <s v="OK"/>
    <s v="Formerly ID 5112"/>
    <s v="05. Director"/>
    <s v="Director, Medical Strategy &amp; Operations"/>
    <d v="2025-12-15T00:00:00"/>
    <s v="likely Q1 fill"/>
  </r>
  <r>
    <n v="5379"/>
    <x v="1"/>
    <x v="4"/>
    <x v="6"/>
    <x v="2"/>
    <x v="4"/>
    <s v="Clinical Research Medical Director (CRMD)"/>
    <x v="4"/>
    <m/>
    <x v="3"/>
    <x v="2"/>
    <x v="0"/>
    <m/>
    <m/>
    <s v="Dani"/>
    <s v="Support EU site enrollment"/>
    <m/>
    <m/>
    <m/>
    <m/>
    <m/>
    <x v="4"/>
    <x v="4"/>
    <s v="N/A (CW)"/>
    <m/>
    <e v="#N/A"/>
    <s v="N/A (CW)"/>
    <e v="#N/A"/>
    <e v="#N/A"/>
    <e v="#N/A"/>
    <e v="#N/A"/>
    <m/>
  </r>
  <r>
    <n v="5361"/>
    <x v="1"/>
    <x v="4"/>
    <x v="6"/>
    <x v="0"/>
    <x v="5"/>
    <s v="VP, Head of Medical Affairs"/>
    <x v="1"/>
    <m/>
    <x v="5"/>
    <x v="2"/>
    <x v="0"/>
    <m/>
    <m/>
    <s v="UA"/>
    <s v="TBD"/>
    <m/>
    <m/>
    <m/>
    <m/>
    <m/>
    <x v="0"/>
    <x v="3"/>
    <s v="Included In Budget (Open Role)"/>
    <s v="x"/>
    <s v="205 Executive Development"/>
    <s v="Confirm w/ P&amp;C"/>
    <s v="TBD"/>
    <s v="08. VP"/>
    <s v="VP, Head of Medical Affairs"/>
    <d v="2026-12-15T00:00:00"/>
    <s v="check"/>
  </r>
  <r>
    <n v="5355"/>
    <x v="1"/>
    <x v="4"/>
    <x v="6"/>
    <x v="0"/>
    <x v="4"/>
    <s v="Clinical Research Medical Director (CRMD)"/>
    <x v="3"/>
    <s v="Business Critcal"/>
    <x v="5"/>
    <x v="2"/>
    <x v="0"/>
    <m/>
    <m/>
    <s v="ATA"/>
    <s v="Clnical research site engagement"/>
    <s v="Build internal clinical research site engagement capabilities to optimize Katalyst AV timelines"/>
    <s v="Trial is currently behind timelines and MedPace CRA model is limited"/>
    <s v="Experienced Leader"/>
    <s v="01 - Data Readout"/>
    <m/>
    <x v="0"/>
    <x v="3"/>
    <s v="Included In Budget (Open Role)"/>
    <s v="x"/>
    <s v="505 Medical Affairs"/>
    <s v="OK"/>
    <s v="TBD"/>
    <s v="05. Director"/>
    <s v="Clinical Research Medical Director (CRMD)"/>
    <d v="2026-12-15T00:00:00"/>
    <s v="gate to data (sept)"/>
  </r>
  <r>
    <n v="5411"/>
    <x v="1"/>
    <x v="4"/>
    <x v="6"/>
    <x v="1"/>
    <x v="4"/>
    <s v="Director, Medical Affairs – Digital Innovation &amp; AI (Prolaio)"/>
    <x v="2"/>
    <s v="Business Critcal"/>
    <x v="3"/>
    <x v="2"/>
    <x v="2"/>
    <m/>
    <m/>
    <s v="Prolaio"/>
    <s v="Lead the strategy, development, and execution of digital and AI-enabled initiatives across MA"/>
    <m/>
    <m/>
    <m/>
    <s v="01 - Data Readout"/>
    <m/>
    <x v="2"/>
    <x v="2"/>
    <m/>
    <m/>
    <m/>
    <m/>
    <m/>
    <m/>
    <m/>
    <m/>
    <m/>
  </r>
  <r>
    <n v="5396"/>
    <x v="1"/>
    <x v="4"/>
    <x v="6"/>
    <x v="1"/>
    <x v="1"/>
    <s v="ED, National Director of Field Medical"/>
    <x v="3"/>
    <s v="Top priority"/>
    <x v="3"/>
    <x v="2"/>
    <x v="5"/>
    <m/>
    <m/>
    <s v="UA"/>
    <s v="Lead Med Affairs: strategy, leadership, team development/coaching, field ops/comms"/>
    <m/>
    <m/>
    <m/>
    <m/>
    <m/>
    <x v="2"/>
    <x v="2"/>
    <s v="Incremental Request"/>
    <m/>
    <e v="#N/A"/>
    <s v="Confirm w/ P&amp;C"/>
    <e v="#N/A"/>
    <e v="#N/A"/>
    <e v="#N/A"/>
    <e v="#N/A"/>
    <s v="OOBR"/>
  </r>
  <r>
    <n v="5394"/>
    <x v="1"/>
    <x v="4"/>
    <x v="6"/>
    <x v="2"/>
    <x v="4"/>
    <s v="Director, Medical Affairs – Digital Innovation &amp; AI"/>
    <x v="2"/>
    <s v="Business Critical"/>
    <x v="2"/>
    <x v="2"/>
    <x v="2"/>
    <s v="Candidate: Rahul"/>
    <m/>
    <s v="Prolaio"/>
    <s v="Digital Innovation &amp; AI"/>
    <m/>
    <m/>
    <s v="Technical Expert"/>
    <m/>
    <m/>
    <x v="4"/>
    <x v="4"/>
    <s v="N/A (CW)"/>
    <m/>
    <e v="#N/A"/>
    <s v="N/A (CW)"/>
    <e v="#N/A"/>
    <e v="#N/A"/>
    <e v="#N/A"/>
    <e v="#N/A"/>
    <s v="OOBR"/>
  </r>
  <r>
    <n v="5397"/>
    <x v="1"/>
    <x v="4"/>
    <x v="6"/>
    <x v="1"/>
    <x v="2"/>
    <s v="Medical Science Liaison (MSL)"/>
    <x v="3"/>
    <s v="Business Critical"/>
    <x v="3"/>
    <x v="2"/>
    <x v="5"/>
    <m/>
    <m/>
    <s v="UA"/>
    <m/>
    <m/>
    <m/>
    <m/>
    <m/>
    <m/>
    <x v="2"/>
    <x v="2"/>
    <s v="Incremental Request"/>
    <m/>
    <e v="#N/A"/>
    <s v="Confirm w/ P&amp;C"/>
    <e v="#N/A"/>
    <e v="#N/A"/>
    <e v="#N/A"/>
    <e v="#N/A"/>
    <s v="OOBR"/>
  </r>
  <r>
    <n v="5398"/>
    <x v="1"/>
    <x v="4"/>
    <x v="6"/>
    <x v="1"/>
    <x v="2"/>
    <s v="Medical Science Liaison (MSL)"/>
    <x v="3"/>
    <s v="Business Critical"/>
    <x v="3"/>
    <x v="2"/>
    <x v="5"/>
    <m/>
    <m/>
    <s v="UA"/>
    <m/>
    <m/>
    <m/>
    <m/>
    <m/>
    <m/>
    <x v="2"/>
    <x v="2"/>
    <s v="Incremental Request"/>
    <m/>
    <e v="#N/A"/>
    <s v="Confirm w/ P&amp;C"/>
    <e v="#N/A"/>
    <e v="#N/A"/>
    <e v="#N/A"/>
    <e v="#N/A"/>
    <s v="OOBR"/>
  </r>
  <r>
    <n v="5399"/>
    <x v="1"/>
    <x v="4"/>
    <x v="6"/>
    <x v="1"/>
    <x v="4"/>
    <s v="Medical Science Liaison (MSL)"/>
    <x v="3"/>
    <s v="Business Critical"/>
    <x v="3"/>
    <x v="2"/>
    <x v="5"/>
    <m/>
    <m/>
    <s v="UA"/>
    <m/>
    <m/>
    <m/>
    <m/>
    <m/>
    <m/>
    <x v="2"/>
    <x v="2"/>
    <s v="Incremental Request"/>
    <m/>
    <e v="#N/A"/>
    <s v="Confirm w/ P&amp;C"/>
    <e v="#N/A"/>
    <e v="#N/A"/>
    <e v="#N/A"/>
    <e v="#N/A"/>
    <s v="OOBR"/>
  </r>
  <r>
    <n v="5400"/>
    <x v="1"/>
    <x v="4"/>
    <x v="29"/>
    <x v="1"/>
    <x v="4"/>
    <s v="Medical Science Liaison (MSL)"/>
    <x v="3"/>
    <s v="Business Critical"/>
    <x v="5"/>
    <x v="2"/>
    <x v="5"/>
    <m/>
    <m/>
    <s v="UA"/>
    <m/>
    <m/>
    <m/>
    <m/>
    <m/>
    <m/>
    <x v="2"/>
    <x v="2"/>
    <s v="Incremental Request"/>
    <m/>
    <e v="#N/A"/>
    <s v="Confirm w/ P&amp;C"/>
    <e v="#N/A"/>
    <e v="#N/A"/>
    <e v="#N/A"/>
    <e v="#N/A"/>
    <s v="OOBR"/>
  </r>
  <r>
    <n v="5401"/>
    <x v="1"/>
    <x v="4"/>
    <x v="29"/>
    <x v="1"/>
    <x v="7"/>
    <s v="Medical Science Liaison (MSL)"/>
    <x v="3"/>
    <s v="Business Critical"/>
    <x v="5"/>
    <x v="2"/>
    <x v="5"/>
    <m/>
    <m/>
    <s v="UA"/>
    <m/>
    <m/>
    <m/>
    <m/>
    <m/>
    <m/>
    <x v="2"/>
    <x v="2"/>
    <s v="Incremental Request"/>
    <m/>
    <e v="#N/A"/>
    <s v="Confirm w/ P&amp;C"/>
    <e v="#N/A"/>
    <e v="#N/A"/>
    <e v="#N/A"/>
    <e v="#N/A"/>
    <s v="OOBR"/>
  </r>
  <r>
    <n v="5402"/>
    <x v="1"/>
    <x v="4"/>
    <x v="29"/>
    <x v="1"/>
    <x v="7"/>
    <s v="Medical Science Liaison (MSL)"/>
    <x v="3"/>
    <s v="Business Critical"/>
    <x v="5"/>
    <x v="2"/>
    <x v="5"/>
    <m/>
    <m/>
    <s v="UA"/>
    <m/>
    <m/>
    <m/>
    <m/>
    <m/>
    <m/>
    <x v="2"/>
    <x v="2"/>
    <s v="Incremental Request"/>
    <m/>
    <e v="#N/A"/>
    <s v="Confirm w/ P&amp;C"/>
    <e v="#N/A"/>
    <e v="#N/A"/>
    <e v="#N/A"/>
    <e v="#N/A"/>
    <s v="OOBR"/>
  </r>
  <r>
    <n v="1015"/>
    <x v="1"/>
    <x v="8"/>
    <x v="22"/>
    <x v="0"/>
    <x v="7"/>
    <s v="Associate Director, Clinical Data Management"/>
    <x v="0"/>
    <m/>
    <x v="7"/>
    <x v="0"/>
    <x v="0"/>
    <s v="HIRED: Sheri Van Zandt"/>
    <n v="10216"/>
    <s v="Dani"/>
    <s v="CDM lead for DAN301"/>
    <m/>
    <m/>
    <m/>
    <m/>
    <m/>
    <x v="0"/>
    <x v="0"/>
    <s v="Included In Budget (Current FTE)"/>
    <s v="x"/>
    <s v="221 Clinical Data Management"/>
    <s v="OK"/>
    <s v="Sheri Van Zandt"/>
    <s v="04. AD / Staff Scientist"/>
    <s v="Associate Director, Clinical Data Management Dani"/>
    <d v="2025-06-16T00:00:00"/>
    <m/>
  </r>
  <r>
    <n v="1013"/>
    <x v="1"/>
    <x v="8"/>
    <x v="22"/>
    <x v="0"/>
    <x v="6"/>
    <s v="Senior Manager, Data Management"/>
    <x v="0"/>
    <m/>
    <x v="6"/>
    <x v="0"/>
    <x v="1"/>
    <s v="HIRED: David Lim"/>
    <n v="10121"/>
    <s v="ATA"/>
    <s v="CDM lead for ATA"/>
    <m/>
    <m/>
    <m/>
    <m/>
    <m/>
    <x v="0"/>
    <x v="0"/>
    <s v="Included In Budget (Current FTE)"/>
    <s v="x"/>
    <s v="221 Clinical Data Management"/>
    <s v="OK"/>
    <s v="David Lim"/>
    <s v="03. Sr. Manager / Sr. Scientist"/>
    <s v="Associate Director, Clinical Data Management ATA"/>
    <d v="2024-12-16T00:00:00"/>
    <m/>
  </r>
  <r>
    <n v="5026"/>
    <x v="1"/>
    <x v="8"/>
    <x v="22"/>
    <x v="0"/>
    <x v="7"/>
    <s v="Associate Director, Data Management"/>
    <x v="6"/>
    <m/>
    <x v="2"/>
    <x v="1"/>
    <x v="4"/>
    <m/>
    <m/>
    <s v="Dani"/>
    <s v="Lead DM for DAN-301, CRO oversight, DM data quality and flow management"/>
    <s v="lead DAN-301 DM CRO to DB Lock and filing"/>
    <s v=" DAN-301 baseline readout coordination start"/>
    <m/>
    <s v="01 - Data Readout"/>
    <m/>
    <x v="0"/>
    <x v="0"/>
    <s v="Included In Budget (Open Role)"/>
    <s v="x"/>
    <s v="220 Clinical Data Science"/>
    <s v="Confirm w/ P&amp;C"/>
    <s v="TBD"/>
    <s v="04. AD / Staff Scientist"/>
    <s v="Associate Director, Data Management"/>
    <d v="2026-03-15T00:00:00"/>
    <m/>
  </r>
  <r>
    <n v="1065"/>
    <x v="2"/>
    <x v="11"/>
    <x v="30"/>
    <x v="0"/>
    <x v="0"/>
    <s v="CEO and Co-Founder"/>
    <x v="0"/>
    <m/>
    <x v="4"/>
    <x v="0"/>
    <x v="0"/>
    <s v="HIRED: Tassos"/>
    <n v="10001"/>
    <s v="UA"/>
    <m/>
    <m/>
    <m/>
    <m/>
    <m/>
    <m/>
    <x v="0"/>
    <x v="0"/>
    <s v="Included In Budget (Current FTE)"/>
    <s v="x"/>
    <s v="901 Executive G&amp;A"/>
    <s v="OK"/>
    <s v="Tassos Gianakakos"/>
    <s v="10. C-Suite"/>
    <s v="CEO and Co-Founder"/>
    <d v="2023-08-18T00:00:00"/>
    <m/>
  </r>
  <r>
    <n v="1066"/>
    <x v="2"/>
    <x v="11"/>
    <x v="0"/>
    <x v="0"/>
    <x v="3"/>
    <s v="Senior Administrative Assistant"/>
    <x v="2"/>
    <m/>
    <x v="10"/>
    <x v="0"/>
    <x v="0"/>
    <s v="HIRED: Staci Veremis"/>
    <n v="10009"/>
    <s v="UA"/>
    <m/>
    <m/>
    <m/>
    <m/>
    <m/>
    <m/>
    <x v="0"/>
    <x v="0"/>
    <s v="Included In Budget (Current FTE)"/>
    <s v="x"/>
    <s v="901 Executive G&amp;A"/>
    <s v="OK"/>
    <s v="Staci Veremis"/>
    <s v="01. IC / Coordinator"/>
    <s v="Executive Assistant"/>
    <d v="2024-05-01T00:00:00"/>
    <m/>
  </r>
  <r>
    <n v="1282"/>
    <x v="3"/>
    <x v="12"/>
    <x v="0"/>
    <x v="0"/>
    <x v="5"/>
    <s v="Vice President, Corporate Law"/>
    <x v="0"/>
    <m/>
    <x v="9"/>
    <x v="0"/>
    <x v="1"/>
    <s v="HIRED: Michael Rhee"/>
    <n v="10202"/>
    <s v="UA"/>
    <s v="Legal Generalist"/>
    <m/>
    <m/>
    <s v="Emerging Leader"/>
    <m/>
    <m/>
    <x v="0"/>
    <x v="0"/>
    <s v="Included In Budget (Current FTE)"/>
    <s v="x"/>
    <s v="920 Legal"/>
    <s v="OK"/>
    <s v="Mike Rhee"/>
    <s v="08. VP"/>
    <s v="VP Corporate Law"/>
    <d v="2025-03-31T00:00:00"/>
    <m/>
  </r>
  <r>
    <n v="1283"/>
    <x v="3"/>
    <x v="12"/>
    <x v="31"/>
    <x v="0"/>
    <x v="6"/>
    <s v="Senior Manager of Legal, Contracts &amp; Administration"/>
    <x v="0"/>
    <m/>
    <x v="7"/>
    <x v="0"/>
    <x v="1"/>
    <s v="HIRED: Kathy Medeiros"/>
    <n v="10215"/>
    <s v="UA"/>
    <s v="Legal Generalist"/>
    <m/>
    <m/>
    <s v="Emerging Leader"/>
    <m/>
    <m/>
    <x v="0"/>
    <x v="0"/>
    <s v="Included In Budget (Current FTE)"/>
    <s v="x"/>
    <s v="920 Legal"/>
    <s v="OK"/>
    <s v="Kathy Fernandez"/>
    <s v="03. Sr. Manager / Sr. Scientist"/>
    <s v="Sr. Manager of Legal, Contracts and Administration"/>
    <d v="2025-05-05T00:00:00"/>
    <m/>
  </r>
  <r>
    <n v="1280"/>
    <x v="3"/>
    <x v="12"/>
    <x v="31"/>
    <x v="0"/>
    <x v="5"/>
    <s v="Vice President, Intellectual Property"/>
    <x v="0"/>
    <m/>
    <x v="1"/>
    <x v="0"/>
    <x v="0"/>
    <s v="HIRED: Rich Person"/>
    <n v="10261"/>
    <s v="ATA-TLA-Dani"/>
    <m/>
    <m/>
    <m/>
    <m/>
    <m/>
    <m/>
    <x v="0"/>
    <x v="0"/>
    <s v="Included In Budget (Current FTE)"/>
    <s v="x"/>
    <s v="920 Legal"/>
    <s v="OK"/>
    <s v="Rich Person"/>
    <s v="08. VP"/>
    <s v="Vice President, IP Counsel"/>
    <d v="2025-08-25T00:00:00"/>
    <m/>
  </r>
  <r>
    <n v="1358"/>
    <x v="3"/>
    <x v="12"/>
    <x v="31"/>
    <x v="0"/>
    <x v="4"/>
    <s v="Director, Contracts and Transactions Counsel"/>
    <x v="1"/>
    <m/>
    <x v="1"/>
    <x v="0"/>
    <x v="1"/>
    <s v="HIRED: Miruna Predescu"/>
    <n v="10264"/>
    <s v="UA"/>
    <s v="Legal Generalist"/>
    <m/>
    <m/>
    <s v="Emerging Leader"/>
    <m/>
    <m/>
    <x v="0"/>
    <x v="0"/>
    <s v="Included In Budget (Current FTE)"/>
    <s v="x"/>
    <s v="920 Legal"/>
    <s v="OK"/>
    <s v="Miruna Predescu"/>
    <s v="05. Director"/>
    <s v="Director, Contracts and Transactions Counsel"/>
    <d v="2025-09-08T00:00:00"/>
    <m/>
  </r>
  <r>
    <n v="1109"/>
    <x v="3"/>
    <x v="12"/>
    <x v="0"/>
    <x v="0"/>
    <x v="0"/>
    <s v="General Counsel"/>
    <x v="0"/>
    <m/>
    <x v="2"/>
    <x v="5"/>
    <x v="6"/>
    <s v="Backfill: Minako Pazdera"/>
    <m/>
    <s v="UA"/>
    <s v="Legal Generalist"/>
    <m/>
    <m/>
    <s v="Emerging Leader"/>
    <m/>
    <m/>
    <x v="0"/>
    <x v="0"/>
    <s v="Included In Budget (Open Role)"/>
    <s v="x"/>
    <s v="920 Legal"/>
    <s v="OK"/>
    <s v="Minako Pazdera"/>
    <s v="10. C-Suite"/>
    <s v="General Counsel"/>
    <d v="2024-12-09T00:00:00"/>
    <m/>
  </r>
  <r>
    <n v="1378"/>
    <x v="3"/>
    <x v="12"/>
    <x v="31"/>
    <x v="0"/>
    <x v="5"/>
    <s v="Vice President, Corporate Law"/>
    <x v="2"/>
    <m/>
    <x v="2"/>
    <x v="0"/>
    <x v="0"/>
    <s v="HIRED: Craig Elkins"/>
    <n v="10306"/>
    <s v="UA"/>
    <s v="Prolaio"/>
    <m/>
    <s v="Now (Prolaio)"/>
    <m/>
    <m/>
    <m/>
    <x v="0"/>
    <x v="0"/>
    <s v="Included In Budget (Current FTE)"/>
    <s v="x"/>
    <s v="920 Legal"/>
    <s v="OK"/>
    <s v="Craig Elkins"/>
    <s v="08. VP"/>
    <s v="VP Corporate Law (Prolaio)"/>
    <d v="2025-11-17T00:00:00"/>
    <m/>
  </r>
  <r>
    <n v="1281"/>
    <x v="3"/>
    <x v="12"/>
    <x v="31"/>
    <x v="0"/>
    <x v="2"/>
    <s v="Senior Director, Healthcare &amp; Compliance"/>
    <x v="0"/>
    <m/>
    <x v="2"/>
    <x v="0"/>
    <x v="1"/>
    <s v="HIRED: Priya Mannan"/>
    <n v="10320"/>
    <s v="UA"/>
    <s v="Legal Generalist"/>
    <m/>
    <m/>
    <s v="Emerging Leader"/>
    <m/>
    <m/>
    <x v="1"/>
    <x v="0"/>
    <s v="Included In Budget (Current FTE)"/>
    <s v="x"/>
    <s v="920 Legal"/>
    <s v="OK"/>
    <s v="TBD"/>
    <s v="05. Director"/>
    <s v="Director, Healthcare and Privacy Law"/>
    <d v="2026-03-15T00:00:00"/>
    <m/>
  </r>
  <r>
    <n v="5203"/>
    <x v="3"/>
    <x v="12"/>
    <x v="31"/>
    <x v="0"/>
    <x v="6"/>
    <s v="Contract Manager"/>
    <x v="1"/>
    <s v="#1"/>
    <x v="5"/>
    <x v="2"/>
    <x v="1"/>
    <m/>
    <m/>
    <s v="UA"/>
    <m/>
    <s v="Volume dependent"/>
    <m/>
    <s v="Potentially a paralegal to help bring docketing system in house"/>
    <m/>
    <m/>
    <x v="0"/>
    <x v="1"/>
    <s v="Included In Budget (Open Role)"/>
    <s v="x"/>
    <s v="920 Legal"/>
    <s v="OK"/>
    <s v="TBD"/>
    <s v="03. Sr. Manager / Sr. Scientist"/>
    <s v="Contract Manager / IP Paralegal"/>
    <d v="2026-03-15T00:00:00"/>
    <m/>
  </r>
  <r>
    <n v="1377"/>
    <x v="3"/>
    <x v="12"/>
    <x v="32"/>
    <x v="0"/>
    <x v="2"/>
    <s v="Sr. Director, IP Counsel"/>
    <x v="0"/>
    <m/>
    <x v="5"/>
    <x v="2"/>
    <x v="1"/>
    <m/>
    <m/>
    <s v="Dani"/>
    <m/>
    <m/>
    <s v="Now"/>
    <m/>
    <m/>
    <m/>
    <x v="0"/>
    <x v="1"/>
    <s v="Included In Budget (Open Role)"/>
    <s v="x"/>
    <s v="920 Legal"/>
    <s v="OK"/>
    <s v="TBD"/>
    <s v="06. Sr. Director"/>
    <s v="Sr Director, IP Counsel"/>
    <d v="2025-12-15T00:00:00"/>
    <m/>
  </r>
  <r>
    <n v="5201"/>
    <x v="3"/>
    <x v="12"/>
    <x v="31"/>
    <x v="0"/>
    <x v="2"/>
    <s v="Sr. Director, Contracts"/>
    <x v="1"/>
    <s v="#2"/>
    <x v="2"/>
    <x v="1"/>
    <x v="1"/>
    <m/>
    <m/>
    <s v="UA"/>
    <m/>
    <s v="Volume dependent"/>
    <m/>
    <m/>
    <m/>
    <m/>
    <x v="0"/>
    <x v="3"/>
    <s v="Included In Budget (Open Role)"/>
    <s v="x"/>
    <s v="920 Legal"/>
    <s v="OK"/>
    <s v="TBD"/>
    <s v="06. Sr. Director"/>
    <s v="Sr. Director Contracts"/>
    <d v="2026-09-15T00:00:00"/>
    <m/>
  </r>
  <r>
    <n v="1359"/>
    <x v="3"/>
    <x v="12"/>
    <x v="33"/>
    <x v="0"/>
    <x v="4"/>
    <s v="Director, SEC attorney"/>
    <x v="0"/>
    <s v="#4"/>
    <x v="3"/>
    <x v="1"/>
    <x v="1"/>
    <m/>
    <m/>
    <s v="UA"/>
    <m/>
    <s v="post IPO"/>
    <m/>
    <s v="Emerging Leader"/>
    <m/>
    <m/>
    <x v="0"/>
    <x v="3"/>
    <s v="Included In Budget (Open Role)"/>
    <s v="x"/>
    <s v="920 Legal"/>
    <s v="OK"/>
    <s v="TBD"/>
    <s v="05. Director"/>
    <s v="Director, SEC attorney"/>
    <d v="2026-09-15T00:00:00"/>
    <m/>
  </r>
  <r>
    <n v="5200"/>
    <x v="3"/>
    <x v="12"/>
    <x v="32"/>
    <x v="0"/>
    <x v="4"/>
    <s v="Director, IP Counsel"/>
    <x v="0"/>
    <s v="#3"/>
    <x v="5"/>
    <x v="2"/>
    <x v="1"/>
    <m/>
    <m/>
    <s v="TLA"/>
    <m/>
    <s v="Volume dependent"/>
    <m/>
    <m/>
    <m/>
    <m/>
    <x v="0"/>
    <x v="0"/>
    <s v="Included In Budget (Open Role)"/>
    <s v="x"/>
    <s v="920 Legal"/>
    <s v="OK"/>
    <s v="TBD"/>
    <s v="05. Director"/>
    <s v="Director, IP Counsel"/>
    <d v="2026-09-15T00:00:00"/>
    <m/>
  </r>
  <r>
    <n v="1081"/>
    <x v="4"/>
    <x v="13"/>
    <x v="33"/>
    <x v="0"/>
    <x v="5"/>
    <s v="Vice President, Finance and Accounting"/>
    <x v="0"/>
    <m/>
    <x v="6"/>
    <x v="0"/>
    <x v="0"/>
    <s v="HIRED: Darrin Chang"/>
    <n v="10111"/>
    <s v="UA"/>
    <s v="Accounting and Finance"/>
    <m/>
    <m/>
    <s v="Experienced Leader"/>
    <m/>
    <m/>
    <x v="0"/>
    <x v="0"/>
    <s v="Included In Budget (Current FTE)"/>
    <s v="x"/>
    <s v="915 Accounting"/>
    <s v="OK"/>
    <s v="Darrin Chang"/>
    <s v="08. VP"/>
    <s v="VP, Finance (Head of Fiinance and Accounting)"/>
    <d v="2024-11-25T00:00:00"/>
    <m/>
  </r>
  <r>
    <n v="1229"/>
    <x v="4"/>
    <x v="13"/>
    <x v="34"/>
    <x v="0"/>
    <x v="2"/>
    <s v="Senior Director, Accounting"/>
    <x v="0"/>
    <m/>
    <x v="9"/>
    <x v="0"/>
    <x v="1"/>
    <s v="HIRED: Suresh Sasidaran"/>
    <n v="10147"/>
    <s v="UA"/>
    <s v="Clinical Accruals and Month end close"/>
    <m/>
    <m/>
    <m/>
    <m/>
    <m/>
    <x v="0"/>
    <x v="0"/>
    <s v="Included In Budget (Current FTE)"/>
    <s v="x"/>
    <s v="915 Accounting"/>
    <s v="OK"/>
    <s v="Suresh Sasidaran"/>
    <s v="06. Sr. Director"/>
    <s v="Sr. Director, Accounting"/>
    <d v="2025-01-21T00:00:00"/>
    <m/>
  </r>
  <r>
    <n v="1317"/>
    <x v="4"/>
    <x v="13"/>
    <x v="34"/>
    <x v="0"/>
    <x v="6"/>
    <s v="Senior Procurement Manager"/>
    <x v="0"/>
    <m/>
    <x v="9"/>
    <x v="0"/>
    <x v="1"/>
    <s v="HIRED: Maria Luz David"/>
    <n v="10170"/>
    <s v="UA"/>
    <s v="Procurement, Systerm Implementation, Business partnership"/>
    <m/>
    <m/>
    <m/>
    <m/>
    <m/>
    <x v="0"/>
    <x v="0"/>
    <s v="Included In Budget (Current FTE)"/>
    <s v="x"/>
    <s v="915 Accounting"/>
    <s v="OK"/>
    <s v="Maria Luz David"/>
    <s v="03. Sr. Manager / Sr. Scientist"/>
    <s v="Sr. Procurement Manager"/>
    <d v="2025-03-10T00:00:00"/>
    <m/>
  </r>
  <r>
    <n v="1230"/>
    <x v="4"/>
    <x v="13"/>
    <x v="35"/>
    <x v="0"/>
    <x v="6"/>
    <s v="Senior Manager, Accounting and Payroll"/>
    <x v="1"/>
    <m/>
    <x v="7"/>
    <x v="0"/>
    <x v="0"/>
    <s v="HIRED: Leonard Ruditski"/>
    <n v="10245"/>
    <s v="UA"/>
    <s v="Clinical Accruals and Month end close"/>
    <m/>
    <m/>
    <m/>
    <m/>
    <m/>
    <x v="0"/>
    <x v="0"/>
    <s v="Included In Budget (Current FTE)"/>
    <s v="x"/>
    <s v="915 Accounting"/>
    <s v="OK"/>
    <s v="Leonard Ruditski"/>
    <s v="03. Sr. Manager / Sr. Scientist"/>
    <s v="Sr. Manager, Accounting &amp; Payroll"/>
    <d v="2025-06-30T00:00:00"/>
    <m/>
  </r>
  <r>
    <n v="1231"/>
    <x v="4"/>
    <x v="13"/>
    <x v="34"/>
    <x v="0"/>
    <x v="4"/>
    <s v="Director, SEC &amp; Technical Accounting"/>
    <x v="0"/>
    <m/>
    <x v="1"/>
    <x v="0"/>
    <x v="0"/>
    <s v="HIRED: Monika Kocinska"/>
    <n v="10276"/>
    <s v="UA"/>
    <s v="Requirments to prepare for IPO SEC reporitng, Technical memos, SOX. Etc"/>
    <m/>
    <m/>
    <m/>
    <m/>
    <m/>
    <x v="0"/>
    <x v="0"/>
    <s v="Included In Budget (Current FTE)"/>
    <s v="x"/>
    <s v="915 Accounting"/>
    <s v="OK"/>
    <s v="Monika Kocinska"/>
    <s v="05. Director"/>
    <s v="SEC Reporting Technical Accounting &amp; SOX"/>
    <d v="2025-09-22T00:00:00"/>
    <m/>
  </r>
  <r>
    <n v="1232"/>
    <x v="4"/>
    <x v="13"/>
    <x v="35"/>
    <x v="0"/>
    <x v="8"/>
    <s v="Accounts Payable Manager"/>
    <x v="1"/>
    <m/>
    <x v="1"/>
    <x v="0"/>
    <x v="0"/>
    <s v="HIRED: Angelo Pollari"/>
    <n v="10228"/>
    <s v="UA"/>
    <m/>
    <m/>
    <m/>
    <m/>
    <m/>
    <m/>
    <x v="0"/>
    <x v="0"/>
    <s v="Included In Budget (Current FTE)"/>
    <s v="x"/>
    <s v="915 Accounting"/>
    <s v="OK"/>
    <s v="Angelo Pollari"/>
    <s v="02. Manager / Scientist"/>
    <s v="AP Manager"/>
    <d v="2025-07-28T00:00:00"/>
    <m/>
  </r>
  <r>
    <n v="1349"/>
    <x v="4"/>
    <x v="13"/>
    <x v="35"/>
    <x v="0"/>
    <x v="6"/>
    <s v="Senior Manager, Payroll &amp; Accounting"/>
    <x v="1"/>
    <m/>
    <x v="8"/>
    <x v="0"/>
    <x v="1"/>
    <s v="HIRED: Niru Pandurangi"/>
    <n v="10294"/>
    <s v="UA"/>
    <s v="Administer payroll for both Kardigan and Prolaio"/>
    <m/>
    <m/>
    <m/>
    <m/>
    <m/>
    <x v="0"/>
    <x v="0"/>
    <s v="Included In Budget (Current FTE)"/>
    <s v="x"/>
    <s v="915 Accounting"/>
    <s v="OK"/>
    <s v="Niru Pandurangi"/>
    <s v="03. Sr. Manager / Sr. Scientist"/>
    <s v="Payroll "/>
    <d v="2025-11-10T00:00:00"/>
    <m/>
  </r>
  <r>
    <n v="5179"/>
    <x v="4"/>
    <x v="13"/>
    <x v="34"/>
    <x v="0"/>
    <x v="8"/>
    <s v="Procurment Manager"/>
    <x v="1"/>
    <m/>
    <x v="2"/>
    <x v="2"/>
    <x v="1"/>
    <m/>
    <m/>
    <s v="UA"/>
    <s v="Provide Procurement support for the increasing volume of contracting and procurement activitiy, and to support upgrading the P2P systems"/>
    <s v="Maria already stretched thin and it's difficult for her to manage all of the business requests, and we need at least one additional person. I would place this person in Princeton to balance out team and support"/>
    <m/>
    <m/>
    <m/>
    <m/>
    <x v="0"/>
    <x v="0"/>
    <s v="Included In Budget (Open Role)"/>
    <s v="x"/>
    <s v="915 Accounting"/>
    <s v="OK"/>
    <s v="TBD"/>
    <s v="02. Manager / Scientist"/>
    <s v="Procurment Manager"/>
    <d v="2026-03-15T00:00:00"/>
    <m/>
  </r>
  <r>
    <n v="1396"/>
    <x v="4"/>
    <x v="13"/>
    <x v="34"/>
    <x v="0"/>
    <x v="4"/>
    <s v="Director, Head of Finance &amp; Divisional Controller"/>
    <x v="2"/>
    <m/>
    <x v="2"/>
    <x v="0"/>
    <x v="0"/>
    <s v="HIRED: Keith Adams"/>
    <n v="10315"/>
    <s v="UA"/>
    <s v="Prolaio, Finance &amp; Accounting Business Partner for Senior Leardership Team"/>
    <m/>
    <m/>
    <m/>
    <m/>
    <m/>
    <x v="0"/>
    <x v="0"/>
    <s v="Included In Budget (Current FTE)"/>
    <s v="x"/>
    <s v="916 Finance"/>
    <s v="Confirm w/ P&amp;C"/>
    <s v="TBD"/>
    <s v="05. Director"/>
    <s v="Divisional Controller / Head of Finance"/>
    <d v="2025-12-15T00:00:00"/>
    <m/>
  </r>
  <r>
    <n v="1366"/>
    <x v="4"/>
    <x v="13"/>
    <x v="35"/>
    <x v="0"/>
    <x v="6"/>
    <s v="Staff Accountant"/>
    <x v="0"/>
    <m/>
    <x v="3"/>
    <x v="1"/>
    <x v="1"/>
    <s v="BACKFILL: Martha Alshaweesh"/>
    <m/>
    <s v="UA"/>
    <s v="Prolaio"/>
    <m/>
    <m/>
    <m/>
    <m/>
    <m/>
    <x v="0"/>
    <x v="0"/>
    <s v="Included In Budget (Open Role)"/>
    <s v="x"/>
    <s v="915 Accounting"/>
    <s v="OK"/>
    <s v="Martha Alshaweesh"/>
    <s v="03. Sr. Manager / Sr. Scientist"/>
    <s v="Staff Accountant"/>
    <d v="2025-03-03T00:00:00"/>
    <m/>
  </r>
  <r>
    <n v="5340"/>
    <x v="4"/>
    <x v="13"/>
    <x v="34"/>
    <x v="0"/>
    <x v="8"/>
    <s v="SEC Reporting Technical Accounting &amp; SOX"/>
    <x v="0"/>
    <m/>
    <x v="5"/>
    <x v="2"/>
    <x v="0"/>
    <m/>
    <m/>
    <s v="UA"/>
    <s v="Support SEC reporting and other compliance requirements"/>
    <m/>
    <m/>
    <m/>
    <m/>
    <m/>
    <x v="0"/>
    <x v="0"/>
    <s v="Included In Budget (Open Role)"/>
    <s v="x"/>
    <s v="915 Accounting"/>
    <s v="OK"/>
    <s v="TBD"/>
    <s v="02. Manager / Scientist"/>
    <s v="SEC Reporting Technical Accounting &amp; SOX"/>
    <d v="2026-09-15T00:00:00"/>
    <m/>
  </r>
  <r>
    <n v="1227"/>
    <x v="4"/>
    <x v="14"/>
    <x v="0"/>
    <x v="0"/>
    <x v="0"/>
    <s v="Chief Financial Officer"/>
    <x v="1"/>
    <m/>
    <x v="6"/>
    <x v="0"/>
    <x v="0"/>
    <s v="HIRED: Brianne Jahn"/>
    <n v="10108"/>
    <s v="UA"/>
    <s v="Finance&amp; Accounting expert, Buisness valuation, IPO readiness, EC representative.   Once public then Controller Head of Finance &amp; Accounting"/>
    <m/>
    <m/>
    <m/>
    <m/>
    <m/>
    <x v="0"/>
    <x v="0"/>
    <s v="Included In Budget (Current FTE)"/>
    <s v="x"/>
    <s v="916 Finance"/>
    <s v="OK"/>
    <s v="Brianne Jahn"/>
    <s v="10. C-Suite"/>
    <s v="Chief Financial Officer"/>
    <d v="2024-11-18T00:00:00"/>
    <m/>
  </r>
  <r>
    <n v="1226"/>
    <x v="4"/>
    <x v="14"/>
    <x v="34"/>
    <x v="0"/>
    <x v="4"/>
    <s v="Director, FP&amp;A Partner"/>
    <x v="1"/>
    <m/>
    <x v="9"/>
    <x v="0"/>
    <x v="1"/>
    <s v="HIRED: Kyle Fetchko"/>
    <n v="10179"/>
    <s v="ATA-TLA"/>
    <s v="Consolidation, analysis, reporting - clinical accruals"/>
    <m/>
    <m/>
    <s v="Emerging Leader"/>
    <m/>
    <m/>
    <x v="0"/>
    <x v="0"/>
    <s v="Included In Budget (Current FTE)"/>
    <s v="x"/>
    <s v="916 Finance"/>
    <s v="OK"/>
    <s v="Kyle Fetchko"/>
    <s v="05. Director"/>
    <s v="Director, FP&amp;A (support Clin Ops)"/>
    <d v="2025-03-17T00:00:00"/>
    <m/>
  </r>
  <r>
    <n v="1224"/>
    <x v="4"/>
    <x v="14"/>
    <x v="34"/>
    <x v="0"/>
    <x v="4"/>
    <s v="Director, FP&amp;A Partner"/>
    <x v="0"/>
    <m/>
    <x v="9"/>
    <x v="0"/>
    <x v="1"/>
    <s v="HIRED: Karl Palmares"/>
    <n v="10162"/>
    <s v="UA"/>
    <s v="Budgeting/Planning,  LRP, IPO readiness, Business Partnership, System implementation"/>
    <m/>
    <m/>
    <s v="Experienced Leader"/>
    <m/>
    <m/>
    <x v="0"/>
    <x v="0"/>
    <s v="Included In Budget (Current FTE)"/>
    <s v="x"/>
    <s v="916 Finance"/>
    <s v="OK"/>
    <s v="Karl Palmares"/>
    <s v="05. Director"/>
    <s v="Director, FP&amp;A (support Tech Ops)"/>
    <d v="2025-03-03T00:00:00"/>
    <m/>
  </r>
  <r>
    <n v="1362"/>
    <x v="4"/>
    <x v="14"/>
    <x v="33"/>
    <x v="0"/>
    <x v="7"/>
    <s v="Associate Director, Strategic Operations"/>
    <x v="1"/>
    <m/>
    <x v="1"/>
    <x v="0"/>
    <x v="1"/>
    <s v="HIRED: Michele Canzi"/>
    <n v="10237"/>
    <s v="UA"/>
    <s v="Corporate Athlete"/>
    <m/>
    <m/>
    <s v="Emerging Leader"/>
    <m/>
    <m/>
    <x v="0"/>
    <x v="0"/>
    <s v="Included In Budget (Current FTE)"/>
    <s v="x"/>
    <s v="916 Finance"/>
    <s v="OK"/>
    <s v="Michele Canzi"/>
    <s v="04. AD / Staff Scientist"/>
    <s v="Associate Director, Strategic Operations"/>
    <d v="2025-08-04T00:00:00"/>
    <m/>
  </r>
  <r>
    <n v="1367"/>
    <x v="4"/>
    <x v="14"/>
    <x v="33"/>
    <x v="0"/>
    <x v="3"/>
    <s v="Senior Executive Assistant"/>
    <x v="1"/>
    <m/>
    <x v="1"/>
    <x v="0"/>
    <x v="0"/>
    <s v="HIRED: Erin Torrissi"/>
    <n v="10254"/>
    <s v="UA"/>
    <s v="Executive assistant - CFO and CTO"/>
    <m/>
    <m/>
    <m/>
    <m/>
    <m/>
    <x v="0"/>
    <x v="0"/>
    <s v="Included In Budget (Current FTE)"/>
    <s v="x"/>
    <s v="916 Finance"/>
    <s v="OK"/>
    <s v="Erin Torrissi"/>
    <s v="01. IC / Coordinator"/>
    <s v="Executive Assistant"/>
    <d v="2025-07-28T00:00:00"/>
    <m/>
  </r>
  <r>
    <n v="5344"/>
    <x v="4"/>
    <x v="14"/>
    <x v="33"/>
    <x v="0"/>
    <x v="5"/>
    <s v="Vice President, Investor Relations"/>
    <x v="1"/>
    <m/>
    <x v="2"/>
    <x v="0"/>
    <x v="7"/>
    <s v="HIRED: Clayton Robertson"/>
    <n v="10340"/>
    <s v="UA"/>
    <s v="Understand capital markets, be able to discuss science with DLL's and translate for investors"/>
    <s v="Build Kardigan’s investor relations function from the ground up, including financing strategy, IPO preparation, investor targeting, and ongoing engagement to drive clear understanding and optimal valuation of the company’s story."/>
    <s v="Immediate Need to support IPO readiness"/>
    <s v="Strong fund relationships and insight into investor behavior and market dynamics to shape Kardigan’s investor relations strategy and messaging. Experience at a bank a plus."/>
    <m/>
    <m/>
    <x v="0"/>
    <x v="0"/>
    <s v="Included In Budget (Current FTE)"/>
    <s v="x"/>
    <s v="915 Accounting"/>
    <s v="Confirm w/ P&amp;C"/>
    <s v="Shared respoonsibility between Brianne, Emily and Matt"/>
    <s v="08. VP"/>
    <s v="Vice President, Investor Relations"/>
    <d v="2025-12-15T00:00:00"/>
    <m/>
  </r>
  <r>
    <n v="5180"/>
    <x v="4"/>
    <x v="14"/>
    <x v="33"/>
    <x v="0"/>
    <x v="5"/>
    <s v="VP, Finance"/>
    <x v="1"/>
    <m/>
    <x v="2"/>
    <x v="5"/>
    <x v="1"/>
    <m/>
    <m/>
    <s v="UA"/>
    <s v="Senior FP&amp;A leader that provides financial, strategic and operational direction to the organization"/>
    <m/>
    <m/>
    <m/>
    <m/>
    <m/>
    <x v="0"/>
    <x v="0"/>
    <s v="Included In Budget (Open Role)"/>
    <s v="x"/>
    <s v="915 Accounting"/>
    <s v="Confirm w/ P&amp;C"/>
    <s v="TBD"/>
    <s v="08. VP"/>
    <s v="VP, Finance"/>
    <d v="2026-03-15T00:00:00"/>
    <m/>
  </r>
  <r>
    <n v="1080"/>
    <x v="4"/>
    <x v="15"/>
    <x v="33"/>
    <x v="0"/>
    <x v="1"/>
    <s v="Executive Director, Real Estate &amp; Facilities"/>
    <x v="0"/>
    <m/>
    <x v="10"/>
    <x v="0"/>
    <x v="0"/>
    <s v="HIRED: Oliver Sjahsam"/>
    <n v="10013"/>
    <s v="UA"/>
    <s v="Facilities Leader - Real Estate Strategy, Policies and Procedure"/>
    <m/>
    <m/>
    <m/>
    <m/>
    <m/>
    <x v="0"/>
    <x v="0"/>
    <s v="Included In Budget (Current FTE)"/>
    <s v="x"/>
    <s v="960 Facilities"/>
    <s v="OK"/>
    <s v="Oliver Sjahsam"/>
    <s v="07. Exec. Director"/>
    <s v="Executive Director, Real Estate &amp; Facilities"/>
    <d v="2024-06-03T00:00:00"/>
    <m/>
  </r>
  <r>
    <n v="1073"/>
    <x v="4"/>
    <x v="15"/>
    <x v="36"/>
    <x v="0"/>
    <x v="8"/>
    <s v="Lab Operations Manager"/>
    <x v="0"/>
    <m/>
    <x v="9"/>
    <x v="0"/>
    <x v="0"/>
    <s v="HIRED: Ferdie Evangelista"/>
    <n v="10136"/>
    <s v="UA"/>
    <s v="Lab Operations "/>
    <m/>
    <m/>
    <m/>
    <m/>
    <m/>
    <x v="0"/>
    <x v="0"/>
    <s v="Included In Budget (Current FTE)"/>
    <s v="x"/>
    <s v="960 Facilities"/>
    <s v="OK"/>
    <s v="Ferdie Evangelista"/>
    <s v="02. Manager / Scientist"/>
    <s v="Lab Operations manager"/>
    <d v="2025-01-06T00:00:00"/>
    <m/>
  </r>
  <r>
    <n v="1398"/>
    <x v="4"/>
    <x v="15"/>
    <x v="36"/>
    <x v="0"/>
    <x v="4"/>
    <s v="Director, Facilities"/>
    <x v="0"/>
    <m/>
    <x v="1"/>
    <x v="0"/>
    <x v="1"/>
    <s v="HIRED: Eric Yeager"/>
    <n v="10138"/>
    <s v="UA"/>
    <m/>
    <m/>
    <m/>
    <m/>
    <m/>
    <m/>
    <x v="0"/>
    <x v="0"/>
    <s v="Included In Budget (Current FTE)"/>
    <s v="x"/>
    <s v="960 Facilities"/>
    <s v="OK"/>
    <s v="Eric Yeager"/>
    <s v="05. Director"/>
    <s v="Director, Facilities"/>
    <d v="2025-09-29T00:00:00"/>
    <m/>
  </r>
  <r>
    <n v="1079"/>
    <x v="4"/>
    <x v="15"/>
    <x v="36"/>
    <x v="0"/>
    <x v="6"/>
    <s v="Senior Manager, Facilities"/>
    <x v="1"/>
    <m/>
    <x v="1"/>
    <x v="0"/>
    <x v="1"/>
    <s v="HIRED: Michael Sothern"/>
    <n v="10258"/>
    <s v="UA"/>
    <s v="Facilities, Office Manager, Soft Services"/>
    <m/>
    <m/>
    <s v="Emerging Leader"/>
    <m/>
    <m/>
    <x v="0"/>
    <x v="0"/>
    <s v="Included In Budget (Current FTE)"/>
    <s v="x"/>
    <s v="960 Facilities"/>
    <s v="OK"/>
    <s v="Mike Sothern"/>
    <s v="03. Sr. Manager / Sr. Scientist"/>
    <s v="Sr. Manager, Facilities"/>
    <d v="2025-08-11T00:00:00"/>
    <m/>
  </r>
  <r>
    <n v="1071"/>
    <x v="4"/>
    <x v="15"/>
    <x v="36"/>
    <x v="0"/>
    <x v="8"/>
    <s v="EHS Manager"/>
    <x v="0"/>
    <m/>
    <x v="2"/>
    <x v="2"/>
    <x v="4"/>
    <m/>
    <m/>
    <s v="UA"/>
    <s v="EHS"/>
    <m/>
    <s v="NOTE: Contractor to start, convert to FTE for Vivarium operations - Confirm with Beth"/>
    <m/>
    <m/>
    <s v="Potential Tradeoff"/>
    <x v="0"/>
    <x v="0"/>
    <s v="Included In Budget (Open Role)"/>
    <s v="x"/>
    <s v="960 Facilities"/>
    <s v="OK"/>
    <s v="TBD"/>
    <s v="02. Manager / Scientist"/>
    <s v="EHS Manager"/>
    <d v="2026-03-15T00:00:00"/>
    <m/>
  </r>
  <r>
    <n v="1077"/>
    <x v="4"/>
    <x v="15"/>
    <x v="36"/>
    <x v="0"/>
    <x v="3"/>
    <s v="Site Services Specialist"/>
    <x v="0"/>
    <m/>
    <x v="2"/>
    <x v="2"/>
    <x v="4"/>
    <m/>
    <m/>
    <s v="UA"/>
    <s v="Soft Services"/>
    <m/>
    <s v="FTE v. Contractor depends on other admin support"/>
    <m/>
    <m/>
    <m/>
    <x v="0"/>
    <x v="0"/>
    <s v="Included In Budget (Open Role)"/>
    <s v="x"/>
    <s v="960 Facilities"/>
    <s v="OK"/>
    <s v="TBD"/>
    <s v="01. IC / Coordinator"/>
    <s v="Site Services Specialist"/>
    <d v="2026-03-15T00:00:00"/>
    <m/>
  </r>
  <r>
    <n v="1075"/>
    <x v="4"/>
    <x v="15"/>
    <x v="36"/>
    <x v="2"/>
    <x v="3"/>
    <s v="Facilities Contractor"/>
    <x v="1"/>
    <m/>
    <x v="2"/>
    <x v="2"/>
    <x v="0"/>
    <m/>
    <m/>
    <s v="UA"/>
    <s v="Handle local facilities / maintenance issues for Princeton Site"/>
    <m/>
    <m/>
    <m/>
    <m/>
    <m/>
    <x v="4"/>
    <x v="4"/>
    <s v="N/A (CW)"/>
    <m/>
    <e v="#N/A"/>
    <s v="N/A (CW)"/>
    <e v="#N/A"/>
    <e v="#N/A"/>
    <e v="#N/A"/>
    <e v="#N/A"/>
    <m/>
  </r>
  <r>
    <n v="1076"/>
    <x v="4"/>
    <x v="15"/>
    <x v="36"/>
    <x v="2"/>
    <x v="3"/>
    <s v="Site Servicess Specialist, Shipping &amp; Receiving"/>
    <x v="0"/>
    <m/>
    <x v="2"/>
    <x v="2"/>
    <x v="0"/>
    <m/>
    <m/>
    <s v="UA"/>
    <s v="Shipping/Receiving "/>
    <m/>
    <m/>
    <m/>
    <m/>
    <m/>
    <x v="4"/>
    <x v="4"/>
    <s v="N/A (CW)"/>
    <m/>
    <e v="#N/A"/>
    <s v="N/A (CW)"/>
    <e v="#N/A"/>
    <e v="#N/A"/>
    <e v="#N/A"/>
    <e v="#N/A"/>
    <m/>
  </r>
  <r>
    <n v="1100"/>
    <x v="4"/>
    <x v="16"/>
    <x v="37"/>
    <x v="0"/>
    <x v="6"/>
    <s v="Senior IT Analyst"/>
    <x v="0"/>
    <m/>
    <x v="0"/>
    <x v="0"/>
    <x v="0"/>
    <s v="HIRED: Brian Roudaush"/>
    <n v="10073"/>
    <s v="UA"/>
    <s v="Research  Platform, Bioinformatics support. Role will start broad as general IT support and be refined to lab systems support as additional support headcount are added."/>
    <m/>
    <m/>
    <m/>
    <m/>
    <m/>
    <x v="0"/>
    <x v="0"/>
    <s v="Included In Budget (Current FTE)"/>
    <s v="x"/>
    <s v="970 IT"/>
    <s v="OK"/>
    <s v="Brian Roudabush"/>
    <s v="03. Sr. Manager / Sr. Scientist"/>
    <s v="Senior IT Analyst"/>
    <d v="2024-09-16T00:00:00"/>
    <m/>
  </r>
  <r>
    <n v="1093"/>
    <x v="4"/>
    <x v="16"/>
    <x v="38"/>
    <x v="0"/>
    <x v="2"/>
    <s v="Senior Director, IT Infrastructure"/>
    <x v="0"/>
    <m/>
    <x v="9"/>
    <x v="0"/>
    <x v="1"/>
    <s v="HIRED: Daren Wilkinson"/>
    <n v="10158"/>
    <s v="UA"/>
    <s v="Infrastructure, Security, Asset, Vendor MGMT "/>
    <m/>
    <m/>
    <m/>
    <m/>
    <m/>
    <x v="0"/>
    <x v="0"/>
    <s v="Included In Budget (Current FTE)"/>
    <s v="x"/>
    <s v="970 IT"/>
    <s v="OK"/>
    <s v="Daren Wilkinson"/>
    <s v="06. Sr. Director"/>
    <s v="Sr. Director Infrastructure &amp; Operations"/>
    <d v="2025-03-04T00:00:00"/>
    <m/>
  </r>
  <r>
    <n v="1101"/>
    <x v="4"/>
    <x v="16"/>
    <x v="39"/>
    <x v="0"/>
    <x v="6"/>
    <s v="Senior Manager, IT Business Analyst"/>
    <x v="0"/>
    <m/>
    <x v="9"/>
    <x v="0"/>
    <x v="1"/>
    <s v="HIRED: Garret Brown"/>
    <n v="10184"/>
    <s v="UA"/>
    <s v="Support multiple department applications; will be refined as additional App Engineers are hired"/>
    <m/>
    <m/>
    <m/>
    <m/>
    <m/>
    <x v="0"/>
    <x v="0"/>
    <s v="Included In Budget (Current FTE)"/>
    <s v="x"/>
    <s v="970 IT"/>
    <s v="OK"/>
    <s v="Garret Brown"/>
    <s v="03. Sr. Manager / Sr. Scientist"/>
    <s v="Sr. Manager, G&amp;A IT Business Analyst"/>
    <d v="2025-03-17T00:00:00"/>
    <m/>
  </r>
  <r>
    <n v="1096"/>
    <x v="4"/>
    <x v="16"/>
    <x v="38"/>
    <x v="0"/>
    <x v="2"/>
    <s v="Senior Director, IT Business Partner"/>
    <x v="1"/>
    <m/>
    <x v="7"/>
    <x v="0"/>
    <x v="0"/>
    <s v="HIRED: Anand Ramanathan"/>
    <n v="10238"/>
    <s v="UA"/>
    <s v="Manage IT Tasks and planning for Clinical Development"/>
    <m/>
    <m/>
    <m/>
    <m/>
    <m/>
    <x v="0"/>
    <x v="0"/>
    <s v="Included In Budget (Current FTE)"/>
    <s v="x"/>
    <s v="970 IT"/>
    <s v="OK"/>
    <s v="Anand Ramanathan"/>
    <s v="06. Sr. Director"/>
    <s v="Sr. Director, R&amp;D IT Business Partner"/>
    <d v="2025-06-23T00:00:00"/>
    <m/>
  </r>
  <r>
    <n v="1092"/>
    <x v="4"/>
    <x v="16"/>
    <x v="37"/>
    <x v="0"/>
    <x v="8"/>
    <s v="Help Desk Support Lead"/>
    <x v="1"/>
    <m/>
    <x v="7"/>
    <x v="0"/>
    <x v="0"/>
    <s v="HIRED: Jeffrey Wiernik"/>
    <n v="10226"/>
    <s v="UA"/>
    <s v="Operations and end-user support and MSP mgmt"/>
    <m/>
    <m/>
    <m/>
    <m/>
    <m/>
    <x v="0"/>
    <x v="0"/>
    <s v="Included In Budget (Current FTE)"/>
    <s v="x"/>
    <s v="970 IT"/>
    <s v="OK"/>
    <s v="Jeffrey Wiernik"/>
    <s v="02. Manager / Scientist"/>
    <s v="Help Desk Support Lead"/>
    <d v="2025-06-02T00:00:00"/>
    <m/>
  </r>
  <r>
    <n v="1089"/>
    <x v="4"/>
    <x v="16"/>
    <x v="33"/>
    <x v="0"/>
    <x v="5"/>
    <s v="Vice President, IT"/>
    <x v="0"/>
    <m/>
    <x v="2"/>
    <x v="0"/>
    <x v="0"/>
    <s v="HIRED: Steve Servantez"/>
    <n v="10307"/>
    <s v="UA"/>
    <s v="Executive level IT Management"/>
    <m/>
    <m/>
    <s v="Experienced Leader"/>
    <m/>
    <m/>
    <x v="0"/>
    <x v="0"/>
    <s v="Included In Budget (Current FTE)"/>
    <s v="x"/>
    <s v="970 IT"/>
    <s v="OK"/>
    <s v="Backfill: Jason Tepelmann"/>
    <s v="08. VP"/>
    <s v="Head of  IT"/>
    <d v="2025-12-15T00:00:00"/>
    <m/>
  </r>
  <r>
    <n v="5186"/>
    <x v="4"/>
    <x v="16"/>
    <x v="37"/>
    <x v="0"/>
    <x v="6"/>
    <s v="IT Systems Engineer"/>
    <x v="0"/>
    <m/>
    <x v="2"/>
    <x v="2"/>
    <x v="4"/>
    <m/>
    <m/>
    <s v="UA"/>
    <s v="IT systems enigeering and solutions to support infrastructure and applications"/>
    <m/>
    <m/>
    <m/>
    <m/>
    <m/>
    <x v="0"/>
    <x v="0"/>
    <s v="Included In Budget (Open Role)"/>
    <s v="x"/>
    <s v="970 IT"/>
    <s v="OK"/>
    <s v="TBD"/>
    <s v="03. Sr. Manager / Sr. Scientist"/>
    <s v="IT Systems Engineer"/>
    <d v="2026-03-15T00:00:00"/>
    <m/>
  </r>
  <r>
    <n v="1399"/>
    <x v="4"/>
    <x v="16"/>
    <x v="37"/>
    <x v="0"/>
    <x v="6"/>
    <s v="IT Support Lead"/>
    <x v="2"/>
    <m/>
    <x v="2"/>
    <x v="0"/>
    <x v="2"/>
    <s v="HIRED: Michael Case"/>
    <n v="10336"/>
    <s v="UA"/>
    <s v="Prolaio, Support onsite team"/>
    <m/>
    <s v="Received signoff from Tassos"/>
    <m/>
    <m/>
    <m/>
    <x v="0"/>
    <x v="0"/>
    <s v="Included In Budget (Current FTE)"/>
    <s v="x"/>
    <s v="970 IT"/>
    <s v="OK"/>
    <s v="TBD"/>
    <s v="03. Sr. Manager / Sr. Scientist"/>
    <s v="Sr. Manager, IT Support (Prolaio)"/>
    <d v="2025-12-15T00:00:00"/>
    <m/>
  </r>
  <r>
    <n v="5192"/>
    <x v="4"/>
    <x v="16"/>
    <x v="38"/>
    <x v="0"/>
    <x v="6"/>
    <s v="IT Security &amp; Data Privacy"/>
    <x v="0"/>
    <m/>
    <x v="3"/>
    <x v="2"/>
    <x v="4"/>
    <m/>
    <m/>
    <s v="UA"/>
    <s v="Cybersecurity operations and data privacy controls execution"/>
    <m/>
    <m/>
    <m/>
    <m/>
    <m/>
    <x v="0"/>
    <x v="0"/>
    <s v="Included In Budget (Open Role)"/>
    <s v="x"/>
    <s v="970 IT"/>
    <s v="OK"/>
    <s v="TBD"/>
    <s v="03. Sr. Manager / Sr. Scientist"/>
    <s v="IT Security &amp; Data Privacy"/>
    <d v="2026-06-15T00:00:00"/>
    <m/>
  </r>
  <r>
    <n v="5189"/>
    <x v="4"/>
    <x v="16"/>
    <x v="38"/>
    <x v="0"/>
    <x v="2"/>
    <s v="IT Business Partner, G&amp;A"/>
    <x v="0"/>
    <m/>
    <x v="11"/>
    <x v="2"/>
    <x v="0"/>
    <m/>
    <m/>
    <s v="UA"/>
    <s v="Enable enterprise scale and platform consoldation execution"/>
    <m/>
    <m/>
    <m/>
    <m/>
    <s v="Potential Tradeoff"/>
    <x v="0"/>
    <x v="0"/>
    <s v="Included In Budget (Open Role)"/>
    <s v="x"/>
    <s v="970 IT"/>
    <s v="OK"/>
    <s v="TBD"/>
    <s v="06. Sr. Director"/>
    <s v="IT Business Partner, G&amp;A"/>
    <d v="2026-12-15T00:00:00"/>
    <m/>
  </r>
  <r>
    <n v="1097"/>
    <x v="4"/>
    <x v="16"/>
    <x v="38"/>
    <x v="2"/>
    <x v="6"/>
    <s v="IT Project Manager"/>
    <x v="0"/>
    <m/>
    <x v="7"/>
    <x v="3"/>
    <x v="0"/>
    <s v="CW: Robert Tully"/>
    <m/>
    <s v="UA"/>
    <s v="Manage IT projects and planning across the org"/>
    <m/>
    <m/>
    <m/>
    <m/>
    <m/>
    <x v="4"/>
    <x v="4"/>
    <s v="N/A (CW)"/>
    <m/>
    <e v="#N/A"/>
    <s v="N/A (CW)"/>
    <e v="#N/A"/>
    <e v="#N/A"/>
    <e v="#N/A"/>
    <e v="#N/A"/>
    <m/>
  </r>
  <r>
    <n v="1361"/>
    <x v="4"/>
    <x v="16"/>
    <x v="37"/>
    <x v="2"/>
    <x v="3"/>
    <s v="IT Support Analyst"/>
    <x v="0"/>
    <m/>
    <x v="7"/>
    <x v="3"/>
    <x v="0"/>
    <s v="CW: Joe Spooner"/>
    <m/>
    <s v="UA"/>
    <s v="Onsite deskside help desk support"/>
    <m/>
    <m/>
    <m/>
    <m/>
    <m/>
    <x v="4"/>
    <x v="4"/>
    <s v="N/A (CW)"/>
    <m/>
    <e v="#N/A"/>
    <s v="N/A (CW)"/>
    <e v="#N/A"/>
    <e v="#N/A"/>
    <e v="#N/A"/>
    <e v="#N/A"/>
    <m/>
  </r>
  <r>
    <n v="5354"/>
    <x v="2"/>
    <x v="17"/>
    <x v="40"/>
    <x v="0"/>
    <x v="2"/>
    <s v="Senior Director, Global Program Manager"/>
    <x v="1"/>
    <m/>
    <x v="1"/>
    <x v="0"/>
    <x v="0"/>
    <s v="HIRED: Akhil Agrawal"/>
    <n v="10249"/>
    <s v="TLA"/>
    <s v="Program Management to drive cross-functional strategic planning, execution, risk management, resource management, and decision-making for key programs"/>
    <m/>
    <m/>
    <m/>
    <m/>
    <m/>
    <x v="0"/>
    <x v="0"/>
    <s v="Included In Budget (Current FTE)"/>
    <s v="x"/>
    <s v="240 Portfolio Management"/>
    <s v="OK"/>
    <s v="Akhil Agrawal"/>
    <s v="06. Sr. Director"/>
    <s v="Sr. Director, Global Program Manager, TLA"/>
    <d v="2025-09-29T00:00:00"/>
    <m/>
  </r>
  <r>
    <n v="1115"/>
    <x v="1"/>
    <x v="10"/>
    <x v="27"/>
    <x v="0"/>
    <x v="4"/>
    <s v="Director, Global Program Manager"/>
    <x v="0"/>
    <m/>
    <x v="0"/>
    <x v="0"/>
    <x v="0"/>
    <s v="HIRED: Dani Gilbert"/>
    <n v="10020"/>
    <s v="UA"/>
    <s v="Regulatory Program Management to drive cross-functional strategic planning, execution, risk management, resource management, and decision-making for key programs"/>
    <m/>
    <m/>
    <m/>
    <m/>
    <m/>
    <x v="0"/>
    <x v="0"/>
    <s v="Included In Budget (Current FTE)"/>
    <s v="x"/>
    <s v="240 Portfolio Management"/>
    <s v="OK"/>
    <s v="Dani Gilbert"/>
    <s v="05. Director"/>
    <s v="Director, Global Program Manager, TLA"/>
    <d v="2024-07-15T00:00:00"/>
    <m/>
  </r>
  <r>
    <n v="1116"/>
    <x v="2"/>
    <x v="17"/>
    <x v="6"/>
    <x v="0"/>
    <x v="4"/>
    <s v="Senior Director, Global Program Manager"/>
    <x v="0"/>
    <m/>
    <x v="0"/>
    <x v="0"/>
    <x v="0"/>
    <s v="HIRED: Lee Anna Ghosh"/>
    <n v="10075"/>
    <s v="ATA"/>
    <s v="Program Management to drive cross-functional strategic planning, execution, risk management, resource management, and decision-making for key programs"/>
    <m/>
    <m/>
    <m/>
    <m/>
    <m/>
    <x v="0"/>
    <x v="0"/>
    <s v="Included In Budget (Current FTE)"/>
    <s v="x"/>
    <s v="240 Portfolio Management"/>
    <s v="OK"/>
    <s v="Lee Anna Ghosh"/>
    <s v="05. Director"/>
    <s v="Global Program Manager, ATA"/>
    <d v="2024-09-09T00:00:00"/>
    <m/>
  </r>
  <r>
    <n v="1117"/>
    <x v="2"/>
    <x v="17"/>
    <x v="41"/>
    <x v="0"/>
    <x v="4"/>
    <s v="Director, Global Program Manager"/>
    <x v="0"/>
    <m/>
    <x v="9"/>
    <x v="0"/>
    <x v="0"/>
    <s v="HIRED: Kate Costello"/>
    <n v="10178"/>
    <s v="Dani"/>
    <s v="Program Management to drive cross-functional strategic planning, execution, risk management, resource management, and decision-making for key programs"/>
    <m/>
    <m/>
    <s v="Emerging Leader"/>
    <m/>
    <m/>
    <x v="0"/>
    <x v="0"/>
    <s v="Included In Budget (Current FTE)"/>
    <s v="x"/>
    <s v="240 Portfolio Management"/>
    <s v="OK"/>
    <s v="Kate Costello"/>
    <s v="05. Director"/>
    <s v="Global Program Manager, Dani"/>
    <d v="2025-03-24T00:00:00"/>
    <m/>
  </r>
  <r>
    <n v="1114"/>
    <x v="5"/>
    <x v="18"/>
    <x v="42"/>
    <x v="0"/>
    <x v="6"/>
    <s v="Senior Manager, Research Program Manager"/>
    <x v="0"/>
    <m/>
    <x v="9"/>
    <x v="0"/>
    <x v="1"/>
    <s v="HIRED: Chris Willits"/>
    <n v="10137"/>
    <s v="UA"/>
    <s v="Program Management support across Research to develop &amp; maintain timelines, drive reporting/governance cadence"/>
    <m/>
    <m/>
    <m/>
    <m/>
    <m/>
    <x v="0"/>
    <x v="0"/>
    <s v="Included In Budget (Current FTE)"/>
    <s v="x"/>
    <s v="240 Portfolio Management"/>
    <s v="OK"/>
    <s v="Chris Willits"/>
    <s v="03. Sr. Manager / Sr. Scientist"/>
    <s v="Research Program Manager"/>
    <d v="2025-01-27T00:00:00"/>
    <m/>
  </r>
  <r>
    <n v="1119"/>
    <x v="6"/>
    <x v="17"/>
    <x v="43"/>
    <x v="0"/>
    <x v="1"/>
    <s v="Executive Director, Portfolio Strategy"/>
    <x v="2"/>
    <m/>
    <x v="3"/>
    <x v="1"/>
    <x v="1"/>
    <s v="BACKFILL: Amy Westfall"/>
    <m/>
    <s v="UA"/>
    <s v="PPM Leader"/>
    <m/>
    <m/>
    <m/>
    <m/>
    <m/>
    <x v="3"/>
    <x v="1"/>
    <s v="Included In Budget (Open Role)"/>
    <s v="x"/>
    <s v="240 Portfolio Management"/>
    <s v="OK"/>
    <s v="Amy Westfall"/>
    <s v="08. VP"/>
    <s v="Vice President, Portfolio &amp; Project Management"/>
    <d v="2024-05-28T00:00:00"/>
    <m/>
  </r>
  <r>
    <n v="1385"/>
    <x v="6"/>
    <x v="17"/>
    <x v="44"/>
    <x v="0"/>
    <x v="4"/>
    <s v="Director, Portfolio"/>
    <x v="2"/>
    <m/>
    <x v="3"/>
    <x v="2"/>
    <x v="1"/>
    <m/>
    <m/>
    <s v="UA"/>
    <m/>
    <m/>
    <m/>
    <m/>
    <m/>
    <m/>
    <x v="0"/>
    <x v="1"/>
    <s v="Included In Budget (Open Role)"/>
    <s v="x"/>
    <s v="240 Portfolio Management"/>
    <s v="OK"/>
    <s v="TBD"/>
    <s v="05. Director"/>
    <s v="Director, Portfolio"/>
    <d v="2026-03-15T00:00:00"/>
    <m/>
  </r>
  <r>
    <n v="5217"/>
    <x v="6"/>
    <x v="17"/>
    <x v="44"/>
    <x v="0"/>
    <x v="8"/>
    <s v="Portfolio Strategy Analyst"/>
    <x v="2"/>
    <s v=" "/>
    <x v="3"/>
    <x v="2"/>
    <x v="1"/>
    <m/>
    <m/>
    <s v="UA"/>
    <s v="Under direction from Portfolio Lead, and in partnership with GPMs, drive portfolio analytics and support decision-making needs (scenario analyses, options/trade-off analyses, presentations, etc.); would be tool owner (eg, Clarity/Planisware)"/>
    <s v="Implementation of Portfolio Management process and systems"/>
    <s v="Decision to implement portfolio system"/>
    <s v=" "/>
    <m/>
    <m/>
    <x v="3"/>
    <x v="3"/>
    <s v="Included In Budget (Open Role)"/>
    <s v="x"/>
    <s v="240 Portfolio Management"/>
    <s v="OK"/>
    <s v="TBD"/>
    <s v="03. Sr. Manager / Sr. Scientist"/>
    <s v="Portfolio Analyst"/>
    <d v="2026-12-15T00:00:00"/>
    <m/>
  </r>
  <r>
    <n v="1248"/>
    <x v="6"/>
    <x v="19"/>
    <x v="43"/>
    <x v="0"/>
    <x v="5"/>
    <s v="Vice President, Marketing"/>
    <x v="0"/>
    <m/>
    <x v="0"/>
    <x v="0"/>
    <x v="6"/>
    <s v="HIRED: Geoff McKinley"/>
    <n v="10074"/>
    <s v="UA"/>
    <s v="Strategic Marketing"/>
    <m/>
    <m/>
    <m/>
    <m/>
    <m/>
    <x v="0"/>
    <x v="0"/>
    <s v="Included In Budget (Current FTE)"/>
    <s v="x"/>
    <s v="605 Marketing"/>
    <s v="OK"/>
    <s v="Geoff McKinley"/>
    <s v="08. VP"/>
    <s v="VP Product Strategy Head"/>
    <d v="2024-09-16T00:00:00"/>
    <m/>
  </r>
  <r>
    <n v="5357"/>
    <x v="6"/>
    <x v="19"/>
    <x v="43"/>
    <x v="0"/>
    <x v="5"/>
    <s v="VP, Head of Product Strategy"/>
    <x v="0"/>
    <m/>
    <x v="3"/>
    <x v="0"/>
    <x v="1"/>
    <s v="HIRED: Joe Gialanella"/>
    <m/>
    <s v="UA"/>
    <m/>
    <s v=" "/>
    <m/>
    <s v="Industry leader"/>
    <s v=" "/>
    <m/>
    <x v="0"/>
    <x v="3"/>
    <s v="Included In Budget (Open Role) / Align with P&amp;C duplicate temp job ID"/>
    <s v="x"/>
    <s v="605 Marketing"/>
    <s v="Confirm w/ P&amp;C"/>
    <s v="TBD"/>
    <s v="08. VP"/>
    <s v="VP Product Strategy Head"/>
    <d v="2026-06-15T00:00:00"/>
    <m/>
  </r>
  <r>
    <n v="1249"/>
    <x v="6"/>
    <x v="19"/>
    <x v="45"/>
    <x v="0"/>
    <x v="2"/>
    <s v="Senior Director, HCP Marketing"/>
    <x v="0"/>
    <m/>
    <x v="7"/>
    <x v="0"/>
    <x v="1"/>
    <s v="HIRED: Sarah Rose"/>
    <n v="10194"/>
    <s v="TLA-Dani"/>
    <m/>
    <m/>
    <m/>
    <s v="Experienced Leader"/>
    <m/>
    <m/>
    <x v="0"/>
    <x v="0"/>
    <s v="Included In Budget (Current FTE)"/>
    <s v="x"/>
    <s v="605 Marketing"/>
    <s v="OK"/>
    <s v="Sarah Rose"/>
    <s v="06. Sr. Director"/>
    <s v="Product Strategy Head (TLA), Lead (Dani)"/>
    <d v="2025-04-21T00:00:00"/>
    <m/>
  </r>
  <r>
    <n v="1395"/>
    <x v="6"/>
    <x v="19"/>
    <x v="45"/>
    <x v="0"/>
    <x v="2"/>
    <s v="Sr. Dir. Product Strategy"/>
    <x v="0"/>
    <m/>
    <x v="3"/>
    <x v="0"/>
    <x v="6"/>
    <s v="HIRED: Paul Rendeiro"/>
    <n v="10341"/>
    <s v="UA"/>
    <m/>
    <m/>
    <m/>
    <s v="Experienced Leader"/>
    <s v=" "/>
    <m/>
    <x v="0"/>
    <x v="3"/>
    <s v="Included In Budget (Current FTE)"/>
    <s v="x"/>
    <s v="605 Marketing"/>
    <s v="OK"/>
    <s v="TBD"/>
    <s v="06. Sr. Director"/>
    <s v="Sr. Dir. Marketing"/>
    <d v="2026-06-15T00:00:00"/>
    <m/>
  </r>
  <r>
    <n v="1394"/>
    <x v="6"/>
    <x v="19"/>
    <x v="43"/>
    <x v="0"/>
    <x v="2"/>
    <s v="Sr Dir, Commercial Ops (all programs)"/>
    <x v="0"/>
    <s v="May give back"/>
    <x v="5"/>
    <x v="2"/>
    <x v="0"/>
    <m/>
    <m/>
    <s v="ATA-TLA-Dani"/>
    <s v="Commercial operations experience; launch experience; commercical and organizational readiness planning; congress/meeting planning"/>
    <s v="Lead organizational readiness planning"/>
    <s v="Series B"/>
    <s v="Rising star"/>
    <s v=" "/>
    <s v="Potential Tradeoff"/>
    <x v="0"/>
    <x v="1"/>
    <s v="Included In Budget (Open Role)"/>
    <s v="x"/>
    <s v="605 Marketing"/>
    <s v="OK"/>
    <s v="TBD"/>
    <s v="06. Sr. Director"/>
    <s v="Sr Dir, Commercial Ops (all programs)"/>
    <d v="2026-06-15T00:00:00"/>
    <s v="Need in place for Dani readout"/>
  </r>
  <r>
    <n v="1277"/>
    <x v="6"/>
    <x v="20"/>
    <x v="45"/>
    <x v="0"/>
    <x v="2"/>
    <s v="Senior Director, Insights &amp; Analytics"/>
    <x v="0"/>
    <m/>
    <x v="6"/>
    <x v="0"/>
    <x v="1"/>
    <s v="HIRED: Grace Xiao"/>
    <n v="10114"/>
    <s v="ATA-TLA-Dani"/>
    <s v="Frame the opportunity for the IPO, assess opportunities, helping Research team understand opportunities, internally more disciplined about what we can discuss externally."/>
    <m/>
    <m/>
    <m/>
    <m/>
    <m/>
    <x v="0"/>
    <x v="0"/>
    <s v="Included In Budget (Current FTE)"/>
    <s v="x"/>
    <s v="615 Commercial Analytics"/>
    <s v="OK"/>
    <s v="Grace Xiao"/>
    <s v="06. Sr. Director"/>
    <s v="Sr. Director, Insights and Analytics"/>
    <d v="2024-12-16T00:00:00"/>
    <m/>
  </r>
  <r>
    <n v="1279"/>
    <x v="6"/>
    <x v="20"/>
    <x v="45"/>
    <x v="0"/>
    <x v="6"/>
    <s v="Senior Manager, Insights &amp; Analytics"/>
    <x v="0"/>
    <m/>
    <x v="7"/>
    <x v="0"/>
    <x v="1"/>
    <s v="HIRED: Adrian Garcia"/>
    <n v="10208"/>
    <s v="ATA-TLA-Dani"/>
    <s v="Forecasting mgr."/>
    <m/>
    <m/>
    <m/>
    <m/>
    <m/>
    <x v="0"/>
    <x v="0"/>
    <s v="Included In Budget (Current FTE)"/>
    <s v="x"/>
    <s v="615 Commercial Analytics"/>
    <s v="OK"/>
    <s v="Adrian Garcia"/>
    <s v="03. Sr. Manager / Sr. Scientist"/>
    <s v="Sr. Manager, Insights and Analytics"/>
    <d v="2025-04-21T00:00:00"/>
    <m/>
  </r>
  <r>
    <n v="5378"/>
    <x v="6"/>
    <x v="21"/>
    <x v="0"/>
    <x v="0"/>
    <x v="0"/>
    <s v="Executive Vice President, Chief Strategy Officer"/>
    <x v="2"/>
    <m/>
    <x v="2"/>
    <x v="0"/>
    <x v="6"/>
    <s v="HIRED: Andy Pasternak"/>
    <n v="10289"/>
    <s v="UA"/>
    <m/>
    <m/>
    <m/>
    <m/>
    <m/>
    <m/>
    <x v="0"/>
    <x v="0"/>
    <s v="Included In Budget (Current FTE)"/>
    <s v="x"/>
    <s v="901 Executive G&amp;A"/>
    <s v="Confirm w/ P&amp;C"/>
    <s v="TBD"/>
    <s v="10. C-Suite"/>
    <s v="Chief Strategy Officer"/>
    <d v="2026-03-15T00:00:00"/>
    <m/>
  </r>
  <r>
    <n v="5380"/>
    <x v="6"/>
    <x v="21"/>
    <x v="43"/>
    <x v="0"/>
    <x v="5"/>
    <s v="Vice President, Corporate Strategy"/>
    <x v="2"/>
    <m/>
    <x v="2"/>
    <x v="0"/>
    <x v="6"/>
    <s v="HIRED: Brett Koch"/>
    <n v="10321"/>
    <s v="UA"/>
    <m/>
    <m/>
    <m/>
    <m/>
    <m/>
    <m/>
    <x v="0"/>
    <x v="0"/>
    <s v="Included In Budget (Current FTE)"/>
    <s v="x"/>
    <s v="901 Executive G&amp;A"/>
    <s v="Confirm w/ P&amp;C"/>
    <s v="TBD"/>
    <s v="08. VP"/>
    <s v="Placeholder"/>
    <d v="2026-03-15T00:00:00"/>
    <m/>
  </r>
  <r>
    <n v="1380"/>
    <x v="6"/>
    <x v="21"/>
    <x v="46"/>
    <x v="0"/>
    <x v="1"/>
    <s v="ED, Corporate Strategy"/>
    <x v="2"/>
    <m/>
    <x v="3"/>
    <x v="2"/>
    <x v="0"/>
    <m/>
    <m/>
    <s v="Prolaio"/>
    <m/>
    <m/>
    <m/>
    <m/>
    <m/>
    <s v="Formerly ED/VP, Head of Program Management (Lead GPMS)"/>
    <x v="0"/>
    <x v="1"/>
    <s v="Included In Budget (Open Role)"/>
    <s v="x"/>
    <s v="240 Portfolio Management"/>
    <s v="OK"/>
    <s v="TBD"/>
    <s v="07. Exec. Director"/>
    <s v="ED/VP of Program Management (Lead GPMS)"/>
    <d v="2026-03-15T00:00:00"/>
    <m/>
  </r>
  <r>
    <n v="5381"/>
    <x v="6"/>
    <x v="21"/>
    <x v="46"/>
    <x v="0"/>
    <x v="4"/>
    <s v="Director, Corporate Strategy"/>
    <x v="2"/>
    <m/>
    <x v="3"/>
    <x v="1"/>
    <x v="2"/>
    <m/>
    <m/>
    <s v="UA"/>
    <m/>
    <m/>
    <m/>
    <m/>
    <m/>
    <m/>
    <x v="1"/>
    <x v="1"/>
    <s v="Included In Budget (Open Role)"/>
    <s v="x"/>
    <s v="901 Executive G&amp;A"/>
    <s v="Confirm w/ P&amp;C"/>
    <s v="TBD"/>
    <s v="04. AD / Staff Scientist"/>
    <s v="Placeholder"/>
    <d v="2026-03-15T00:00:00"/>
    <m/>
  </r>
  <r>
    <n v="5358"/>
    <x v="6"/>
    <x v="21"/>
    <x v="46"/>
    <x v="0"/>
    <x v="7"/>
    <s v="AD, Corporate Strategy"/>
    <x v="0"/>
    <s v="May change"/>
    <x v="3"/>
    <x v="1"/>
    <x v="2"/>
    <s v="Candidate: Tylee"/>
    <m/>
    <m/>
    <m/>
    <m/>
    <m/>
    <m/>
    <s v=" "/>
    <m/>
    <x v="3"/>
    <x v="3"/>
    <s v="Included In Budget (Open Role) / Align with P&amp;C duplicate temp job ID"/>
    <s v="x"/>
    <s v="605 Marketing"/>
    <s v="Confirm w/ P&amp;C"/>
    <s v="TBD"/>
    <s v="06. Sr. Director"/>
    <s v="Sr. Dir Digital Mktg (ALL FRANCHISES)"/>
    <d v="2026-09-15T00:00:00"/>
    <s v="Downgrade role and move to Corp. Strategy"/>
  </r>
  <r>
    <n v="1397"/>
    <x v="6"/>
    <x v="22"/>
    <x v="43"/>
    <x v="0"/>
    <x v="5"/>
    <s v="VP Business Development"/>
    <x v="0"/>
    <s v="Strategic capability"/>
    <x v="2"/>
    <x v="0"/>
    <x v="6"/>
    <s v="HIRED: Betsy O'Neill"/>
    <n v="10348"/>
    <s v="UA"/>
    <s v="Strategic deal execution, structuring and negotiation"/>
    <s v="Expanding proactive BD strategy"/>
    <s v="Proximity to proactive BD strategy rollout"/>
    <s v="Experienced Leader"/>
    <m/>
    <m/>
    <x v="0"/>
    <x v="0"/>
    <s v="Included In Budget (Current FTE)"/>
    <s v="x"/>
    <s v="925 Business Development"/>
    <s v="OK"/>
    <s v="TBD"/>
    <s v="08. VP"/>
    <s v="VP Business Development"/>
    <d v="2025-12-15T00:00:00"/>
    <m/>
  </r>
  <r>
    <n v="1005"/>
    <x v="6"/>
    <x v="22"/>
    <x v="47"/>
    <x v="0"/>
    <x v="2"/>
    <s v="Senior Director, Business Development"/>
    <x v="0"/>
    <m/>
    <x v="0"/>
    <x v="0"/>
    <x v="0"/>
    <s v="HIRED: Matt Terwelp"/>
    <n v="10029"/>
    <s v="UA"/>
    <s v="Relationships with banks, analysts, investors, and internal teams across BD, Finance, and Legal to support transactions and strategic initiatives"/>
    <m/>
    <m/>
    <m/>
    <m/>
    <m/>
    <x v="0"/>
    <x v="0"/>
    <s v="Included In Budget (Current FTE)"/>
    <s v="x"/>
    <s v="925 Business Development"/>
    <s v="OK"/>
    <s v="Matt Terwelp"/>
    <s v="06. Sr. Director"/>
    <s v="Senior Director, Corporate Strategy and Business Development"/>
    <d v="2024-08-02T00:00:00"/>
    <m/>
  </r>
  <r>
    <n v="1261"/>
    <x v="6"/>
    <x v="22"/>
    <x v="47"/>
    <x v="0"/>
    <x v="1"/>
    <s v="Executive Director, Commercial Assessment"/>
    <x v="2"/>
    <m/>
    <x v="3"/>
    <x v="2"/>
    <x v="1"/>
    <s v="Candidate: Jason Morhart"/>
    <m/>
    <s v="UA"/>
    <m/>
    <m/>
    <m/>
    <m/>
    <s v=" "/>
    <m/>
    <x v="1"/>
    <x v="3"/>
    <s v="Included In Budget (Open Role)"/>
    <s v="x"/>
    <s v="615 Commercial Analytics"/>
    <s v="OK"/>
    <s v="TBD"/>
    <s v="03. Sr. Manager / Sr. Scientist"/>
    <s v="Sr Manager, Market Research"/>
    <d v="2026-09-15T00:00:00"/>
    <m/>
  </r>
  <r>
    <n v="5382"/>
    <x v="6"/>
    <x v="22"/>
    <x v="47"/>
    <x v="0"/>
    <x v="1"/>
    <s v="Executive Director, Search and Evaluation"/>
    <x v="2"/>
    <m/>
    <x v="3"/>
    <x v="2"/>
    <x v="1"/>
    <s v="Candidate: Alex Turner"/>
    <m/>
    <s v="UA"/>
    <m/>
    <m/>
    <m/>
    <m/>
    <m/>
    <m/>
    <x v="1"/>
    <x v="1"/>
    <s v="Included In Budget (Open Role)"/>
    <s v="x"/>
    <s v="901 Executive G&amp;A"/>
    <s v="Confirm w/ P&amp;C"/>
    <s v="TBD"/>
    <s v="05. Director"/>
    <s v="Placeholder"/>
    <d v="2026-03-15T00:00:00"/>
    <m/>
  </r>
  <r>
    <n v="5383"/>
    <x v="6"/>
    <x v="22"/>
    <x v="47"/>
    <x v="0"/>
    <x v="4"/>
    <s v="Director, Transaction Support"/>
    <x v="2"/>
    <m/>
    <x v="3"/>
    <x v="2"/>
    <x v="1"/>
    <s v="Candidate: Steve Mais"/>
    <m/>
    <s v="UA"/>
    <m/>
    <m/>
    <m/>
    <m/>
    <m/>
    <m/>
    <x v="0"/>
    <x v="1"/>
    <s v="Included In Budget (Open Role)"/>
    <s v="x"/>
    <s v="901 Executive G&amp;A"/>
    <s v="Confirm w/ P&amp;C"/>
    <s v="TBD"/>
    <s v="05. Director"/>
    <s v="Placeholder"/>
    <d v="2026-03-15T00:00:00"/>
    <m/>
  </r>
  <r>
    <n v="1112"/>
    <x v="7"/>
    <x v="23"/>
    <x v="48"/>
    <x v="0"/>
    <x v="2"/>
    <s v="Senior Director, People &amp; Culture"/>
    <x v="0"/>
    <m/>
    <x v="4"/>
    <x v="0"/>
    <x v="0"/>
    <s v="HIRED: Phillip Wright"/>
    <n v="10006"/>
    <s v="UA"/>
    <s v="HRBP / Recruiting"/>
    <m/>
    <m/>
    <m/>
    <m/>
    <m/>
    <x v="0"/>
    <x v="0"/>
    <s v="Included In Budget (Current FTE)"/>
    <s v="x"/>
    <s v="910 People &amp; Culture"/>
    <s v="OK"/>
    <s v="Phillip Wright"/>
    <s v="06. Sr. Director"/>
    <s v="Senior Director, People &amp; Culture"/>
    <d v="2024-03-18T00:00:00"/>
    <m/>
  </r>
  <r>
    <n v="1111"/>
    <x v="7"/>
    <x v="23"/>
    <x v="49"/>
    <x v="0"/>
    <x v="6"/>
    <s v="Senior Manager, People and Culture Operations"/>
    <x v="0"/>
    <m/>
    <x v="4"/>
    <x v="0"/>
    <x v="0"/>
    <s v="HIRED: Ophelia Ng"/>
    <n v="10005"/>
    <s v="UA"/>
    <s v="HR Operations"/>
    <m/>
    <m/>
    <m/>
    <m/>
    <m/>
    <x v="1"/>
    <x v="0"/>
    <s v="Included In Budget (Current FTE)"/>
    <s v="x"/>
    <s v="910 People &amp; Culture"/>
    <s v="OK"/>
    <s v="Ophelia Ng"/>
    <s v="02. Manager / Scientist"/>
    <s v="Manager, People &amp; Culture Operations"/>
    <d v="2024-03-12T00:00:00"/>
    <m/>
  </r>
  <r>
    <n v="1113"/>
    <x v="7"/>
    <x v="23"/>
    <x v="0"/>
    <x v="0"/>
    <x v="0"/>
    <s v="Chief People Officer"/>
    <x v="0"/>
    <m/>
    <x v="10"/>
    <x v="0"/>
    <x v="0"/>
    <s v="HIRED: Liz Nguyen"/>
    <n v="10007"/>
    <s v="UA"/>
    <s v="People &amp; Culture Leader"/>
    <m/>
    <m/>
    <m/>
    <m/>
    <m/>
    <x v="0"/>
    <x v="0"/>
    <s v="Included In Budget (Current FTE)"/>
    <s v="x"/>
    <s v="910 People &amp; Culture"/>
    <s v="OK"/>
    <s v="Liz Nguyen"/>
    <s v="10. C-Suite"/>
    <s v="Chief People Officer"/>
    <d v="2024-05-01T00:00:00"/>
    <m/>
  </r>
  <r>
    <n v="1067"/>
    <x v="7"/>
    <x v="23"/>
    <x v="48"/>
    <x v="0"/>
    <x v="3"/>
    <s v="Senior Executive Assistant"/>
    <x v="0"/>
    <m/>
    <x v="0"/>
    <x v="0"/>
    <x v="0"/>
    <s v="HIRED: Terry O'Donnell"/>
    <n v="10071"/>
    <s v="UA"/>
    <s v="Executive assistant - Research and G&amp;A"/>
    <m/>
    <m/>
    <m/>
    <m/>
    <m/>
    <x v="0"/>
    <x v="0"/>
    <s v="Included In Budget (Current FTE)"/>
    <s v="x"/>
    <s v="910 People &amp; Culture"/>
    <s v="OK"/>
    <s v="Terry O'Donnell"/>
    <s v="01. IC / Coordinator"/>
    <s v="Executive Assistant"/>
    <d v="2024-09-30T00:00:00"/>
    <m/>
  </r>
  <r>
    <n v="1290"/>
    <x v="7"/>
    <x v="23"/>
    <x v="48"/>
    <x v="0"/>
    <x v="6"/>
    <s v="Senior Manager, People and Culture Partner"/>
    <x v="0"/>
    <m/>
    <x v="6"/>
    <x v="0"/>
    <x v="0"/>
    <s v="HIRED: Angelina Dwyer"/>
    <n v="10093"/>
    <s v="UA"/>
    <s v="People &amp; Culture Leader"/>
    <m/>
    <m/>
    <m/>
    <m/>
    <m/>
    <x v="0"/>
    <x v="0"/>
    <s v="Included In Budget (Current FTE)"/>
    <s v="x"/>
    <s v="910 People &amp; Culture"/>
    <s v="OK"/>
    <s v="Angelina Dwyer"/>
    <s v="03. Sr. Manager / Sr. Scientist"/>
    <s v="Sr Mgr P&amp;C Business Partner"/>
    <d v="2024-11-04T00:00:00"/>
    <m/>
  </r>
  <r>
    <n v="1289"/>
    <x v="7"/>
    <x v="23"/>
    <x v="50"/>
    <x v="0"/>
    <x v="3"/>
    <s v="People and Culture Operations Analyst"/>
    <x v="0"/>
    <m/>
    <x v="6"/>
    <x v="0"/>
    <x v="0"/>
    <s v="HIRED: Derrick Liang"/>
    <n v="10039"/>
    <s v="UA"/>
    <s v="People &amp; Culture Leader"/>
    <m/>
    <m/>
    <m/>
    <m/>
    <m/>
    <x v="0"/>
    <x v="0"/>
    <s v="Included In Budget (Current FTE)"/>
    <s v="x"/>
    <s v="910 People &amp; Culture"/>
    <s v="OK"/>
    <s v="Derrick Liang"/>
    <s v="01. IC / Coordinator"/>
    <s v="Sr P&amp;C Ops Analyst"/>
    <d v="2024-10-28T00:00:00"/>
    <m/>
  </r>
  <r>
    <n v="1363"/>
    <x v="7"/>
    <x v="23"/>
    <x v="48"/>
    <x v="0"/>
    <x v="5"/>
    <s v="Vice President, Talent &amp; Culture"/>
    <x v="2"/>
    <m/>
    <x v="9"/>
    <x v="0"/>
    <x v="0"/>
    <s v="HIRED: Nicole Skaluba"/>
    <n v="10186"/>
    <s v="UA"/>
    <s v="Prolaio"/>
    <m/>
    <m/>
    <m/>
    <m/>
    <m/>
    <x v="0"/>
    <x v="0"/>
    <s v="Included In Budget (Current FTE)"/>
    <s v="x"/>
    <s v="910 People &amp; Culture"/>
    <s v="OK"/>
    <s v="Nicole Skaluba"/>
    <s v="08. VP"/>
    <s v="Vice President, Talent &amp; Culture"/>
    <d v="2025-03-03T00:00:00"/>
    <m/>
  </r>
  <r>
    <n v="1364"/>
    <x v="7"/>
    <x v="23"/>
    <x v="51"/>
    <x v="0"/>
    <x v="4"/>
    <s v="Director, Talent Acquisition"/>
    <x v="2"/>
    <m/>
    <x v="9"/>
    <x v="0"/>
    <x v="0"/>
    <s v="HIRED: Steven Cha"/>
    <n v="10201"/>
    <s v="UA"/>
    <s v="Prolaio"/>
    <m/>
    <m/>
    <m/>
    <m/>
    <m/>
    <x v="0"/>
    <x v="0"/>
    <s v="Included In Budget (Current FTE)"/>
    <s v="x"/>
    <s v="910 People &amp; Culture"/>
    <s v="OK"/>
    <s v="Steven Cha"/>
    <s v="05. Director"/>
    <s v="Director, Talent Acquisition"/>
    <d v="2025-03-03T00:00:00"/>
    <m/>
  </r>
  <r>
    <n v="1365"/>
    <x v="7"/>
    <x v="23"/>
    <x v="52"/>
    <x v="0"/>
    <x v="6"/>
    <s v="Senior P&amp;C Generalist"/>
    <x v="2"/>
    <m/>
    <x v="9"/>
    <x v="0"/>
    <x v="0"/>
    <s v="HIRED: Kristin Fanning"/>
    <n v="10198"/>
    <s v="UA"/>
    <s v="Prolaio"/>
    <m/>
    <m/>
    <m/>
    <m/>
    <m/>
    <x v="0"/>
    <x v="0"/>
    <s v="Included In Budget (Current FTE)"/>
    <s v="x"/>
    <s v="910 People &amp; Culture"/>
    <s v="OK"/>
    <s v="Kristin Fanning"/>
    <s v="03. Sr. Manager / Sr. Scientist"/>
    <s v="Senior P&amp;C Generalist"/>
    <d v="2025-03-03T00:00:00"/>
    <m/>
  </r>
  <r>
    <n v="1110"/>
    <x v="7"/>
    <x v="23"/>
    <x v="51"/>
    <x v="0"/>
    <x v="6"/>
    <s v="Senior Talent Acquisition Partner"/>
    <x v="0"/>
    <m/>
    <x v="9"/>
    <x v="0"/>
    <x v="0"/>
    <s v="HIRED: Yen Do Lin"/>
    <n v="10082"/>
    <s v="UA"/>
    <s v="Recruiter to support projects, G&amp;A, etc."/>
    <m/>
    <m/>
    <m/>
    <m/>
    <m/>
    <x v="0"/>
    <x v="0"/>
    <s v="Included In Budget (Current FTE)"/>
    <s v="x"/>
    <s v="910 People &amp; Culture"/>
    <s v="OK"/>
    <s v="Yen Lin"/>
    <s v="03. Sr. Manager / Sr. Scientist"/>
    <s v="Sr. Talent Acquisition Partner"/>
    <d v="2025-03-03T00:00:00"/>
    <m/>
  </r>
  <r>
    <n v="1379"/>
    <x v="7"/>
    <x v="23"/>
    <x v="48"/>
    <x v="0"/>
    <x v="1"/>
    <s v="Executive Director, Head of Total Rewards &amp; Analytics"/>
    <x v="0"/>
    <m/>
    <x v="8"/>
    <x v="0"/>
    <x v="0"/>
    <s v="HIRED: Eric Turzak"/>
    <n v="10303"/>
    <s v="UA"/>
    <m/>
    <m/>
    <m/>
    <m/>
    <m/>
    <m/>
    <x v="0"/>
    <x v="0"/>
    <s v="Included In Budget (Current FTE)"/>
    <s v="x"/>
    <s v="910 People &amp; Culture"/>
    <s v="OK"/>
    <s v="Eric Turzak"/>
    <s v="07. Exec. Director"/>
    <s v="Head of Total Rewards &amp; Analytics"/>
    <d v="2025-11-17T00:00:00"/>
    <m/>
  </r>
  <r>
    <n v="1313"/>
    <x v="7"/>
    <x v="23"/>
    <x v="48"/>
    <x v="0"/>
    <x v="2"/>
    <s v="Senior Director, People &amp; Culture"/>
    <x v="1"/>
    <m/>
    <x v="2"/>
    <x v="2"/>
    <x v="3"/>
    <s v="Candidate: Grace Chung"/>
    <m/>
    <s v="UA"/>
    <m/>
    <m/>
    <m/>
    <m/>
    <m/>
    <m/>
    <x v="3"/>
    <x v="0"/>
    <s v="Included In Budget (Open Role)"/>
    <s v="x"/>
    <s v="910 People &amp; Culture"/>
    <s v="OK"/>
    <s v="Backfill: Alison Nowlan"/>
    <s v="07. Exec. Director"/>
    <s v="Executive Director, People &amp; Culture"/>
    <d v="2025-12-15T00:00:00"/>
    <m/>
  </r>
  <r>
    <n v="5215"/>
    <x v="7"/>
    <x v="23"/>
    <x v="48"/>
    <x v="1"/>
    <x v="2"/>
    <s v="Senior Director, People &amp; Culture Business Partner"/>
    <x v="0"/>
    <m/>
    <x v="5"/>
    <x v="2"/>
    <x v="3"/>
    <m/>
    <m/>
    <s v="UA"/>
    <s v="BP support for Commercial &amp; Medical"/>
    <m/>
    <m/>
    <m/>
    <m/>
    <m/>
    <x v="2"/>
    <x v="2"/>
    <s v="Included In Budget (Open Role)"/>
    <m/>
    <s v="910 People &amp; Culture"/>
    <s v="OK"/>
    <s v="TBD"/>
    <s v="06. Sr. Director"/>
    <s v="Senior Director, People &amp; Culture Business Partner"/>
    <d v="2027-03-15T00:00:00"/>
    <m/>
  </r>
  <r>
    <n v="5214"/>
    <x v="7"/>
    <x v="23"/>
    <x v="48"/>
    <x v="0"/>
    <x v="1"/>
    <s v="Executive Director, Head of OD/Learning"/>
    <x v="0"/>
    <m/>
    <x v="2"/>
    <x v="0"/>
    <x v="6"/>
    <s v="HIRED: Jonathan Becker"/>
    <n v="10343"/>
    <s v="UA"/>
    <s v="Leading OD and Training at Kardigan"/>
    <m/>
    <m/>
    <m/>
    <m/>
    <m/>
    <x v="0"/>
    <x v="0"/>
    <s v="Included In Budget (Current FTE)"/>
    <s v="x"/>
    <s v="910 People &amp; Culture"/>
    <s v="OK"/>
    <s v="Candidate: Jonathan Becker"/>
    <s v="07. Exec. Director"/>
    <s v="Head of OD/Learning"/>
    <d v="2026-03-15T00:00:00"/>
    <m/>
  </r>
  <r>
    <n v="5211"/>
    <x v="7"/>
    <x v="23"/>
    <x v="48"/>
    <x v="0"/>
    <x v="1"/>
    <s v="Head of Talent Acquisition"/>
    <x v="0"/>
    <m/>
    <x v="2"/>
    <x v="0"/>
    <x v="0"/>
    <s v="HIRED: Theresa O'Neill"/>
    <n v="10346"/>
    <s v="UA"/>
    <s v="Leading TA for Kardigan"/>
    <m/>
    <m/>
    <m/>
    <m/>
    <m/>
    <x v="0"/>
    <x v="3"/>
    <s v="Included In Budget (Current FTE)"/>
    <s v="x"/>
    <s v="910 People &amp; Culture"/>
    <s v="OK"/>
    <s v="TBD"/>
    <s v="07. Exec. Director"/>
    <s v="Head of Talent Acquisition"/>
    <d v="2026-06-15T00:00:00"/>
    <m/>
  </r>
  <r>
    <n v="1286"/>
    <x v="7"/>
    <x v="23"/>
    <x v="51"/>
    <x v="2"/>
    <x v="7"/>
    <s v="Recruiter - Tech Ops / Quality"/>
    <x v="3"/>
    <m/>
    <x v="6"/>
    <x v="3"/>
    <x v="0"/>
    <s v="CW: Kim Gutowski"/>
    <m/>
    <s v="UA"/>
    <s v="Recruiter to support Tech Ops / Quality"/>
    <m/>
    <m/>
    <m/>
    <m/>
    <m/>
    <x v="4"/>
    <x v="4"/>
    <s v="N/A (CW)"/>
    <m/>
    <e v="#N/A"/>
    <s v="N/A (CW)"/>
    <e v="#N/A"/>
    <e v="#N/A"/>
    <e v="#N/A"/>
    <e v="#N/A"/>
    <m/>
  </r>
  <r>
    <n v="5412"/>
    <x v="7"/>
    <x v="23"/>
    <x v="51"/>
    <x v="2"/>
    <x v="7"/>
    <s v="TA Sourcer / Recruiter"/>
    <x v="3"/>
    <m/>
    <x v="2"/>
    <x v="3"/>
    <x v="0"/>
    <s v="CW: Bob Lavin"/>
    <m/>
    <s v="UA"/>
    <m/>
    <m/>
    <m/>
    <m/>
    <m/>
    <m/>
    <x v="4"/>
    <x v="4"/>
    <s v="N/A (CW)"/>
    <m/>
    <e v="#N/A"/>
    <s v="N/A (CW)"/>
    <e v="#N/A"/>
    <e v="#N/A"/>
    <e v="#N/A"/>
    <e v="#N/A"/>
    <m/>
  </r>
  <r>
    <n v="5413"/>
    <x v="7"/>
    <x v="23"/>
    <x v="51"/>
    <x v="2"/>
    <x v="7"/>
    <s v="TA Sourcer"/>
    <x v="3"/>
    <m/>
    <x v="2"/>
    <x v="3"/>
    <x v="0"/>
    <s v="CW: Alyssa O'Neal"/>
    <m/>
    <s v="UA"/>
    <m/>
    <m/>
    <m/>
    <m/>
    <m/>
    <m/>
    <x v="4"/>
    <x v="4"/>
    <s v="N/A (CW)"/>
    <m/>
    <e v="#REF!"/>
    <s v="N/A (CW)"/>
    <e v="#REF!"/>
    <e v="#REF!"/>
    <e v="#REF!"/>
    <e v="#REF!"/>
    <m/>
  </r>
  <r>
    <n v="1288"/>
    <x v="7"/>
    <x v="23"/>
    <x v="51"/>
    <x v="2"/>
    <x v="3"/>
    <s v="Sr TA Operations coordinator"/>
    <x v="3"/>
    <m/>
    <x v="9"/>
    <x v="3"/>
    <x v="0"/>
    <s v="CW: Suzette Medina"/>
    <m/>
    <s v="UA"/>
    <s v="Support scheduling, GH, sourcing, etc."/>
    <m/>
    <m/>
    <m/>
    <m/>
    <m/>
    <x v="4"/>
    <x v="4"/>
    <s v="N/A (CW)"/>
    <m/>
    <e v="#N/A"/>
    <s v="N/A (CW)"/>
    <e v="#N/A"/>
    <e v="#N/A"/>
    <e v="#N/A"/>
    <e v="#N/A"/>
    <m/>
  </r>
  <r>
    <n v="1285"/>
    <x v="7"/>
    <x v="23"/>
    <x v="51"/>
    <x v="2"/>
    <x v="4"/>
    <s v="Recruiter - Dev Function"/>
    <x v="1"/>
    <m/>
    <x v="1"/>
    <x v="3"/>
    <x v="0"/>
    <s v="CW: Ashley Suncar"/>
    <m/>
    <s v="UA"/>
    <s v="Recruiter to support Development function"/>
    <m/>
    <m/>
    <m/>
    <m/>
    <m/>
    <x v="4"/>
    <x v="4"/>
    <s v="N/A (CW)"/>
    <m/>
    <e v="#N/A"/>
    <s v="N/A (CW)"/>
    <e v="#N/A"/>
    <e v="#N/A"/>
    <e v="#N/A"/>
    <e v="#N/A"/>
    <m/>
  </r>
  <r>
    <n v="1153"/>
    <x v="8"/>
    <x v="24"/>
    <x v="0"/>
    <x v="0"/>
    <x v="0"/>
    <s v="Chief Quality Officer"/>
    <x v="0"/>
    <m/>
    <x v="10"/>
    <x v="0"/>
    <x v="0"/>
    <s v="HIRED: Diane Hagerty"/>
    <n v="10008"/>
    <s v="UA"/>
    <s v="Quality Leader"/>
    <m/>
    <m/>
    <m/>
    <m/>
    <m/>
    <x v="0"/>
    <x v="0"/>
    <s v="Included In Budget (Current FTE)"/>
    <s v="x"/>
    <s v="305 Quality"/>
    <s v="OK"/>
    <s v="Diane Hagerty"/>
    <s v="10. C-Suite"/>
    <s v="Chief Quality Officer"/>
    <d v="2024-05-01T00:00:00"/>
    <m/>
  </r>
  <r>
    <n v="1122"/>
    <x v="8"/>
    <x v="24"/>
    <x v="53"/>
    <x v="0"/>
    <x v="5"/>
    <s v="Vice President, CMC Quality"/>
    <x v="0"/>
    <m/>
    <x v="0"/>
    <x v="0"/>
    <x v="0"/>
    <s v="HIRED: Kaoru Nishino"/>
    <n v="10017"/>
    <s v="UA"/>
    <s v="CMC Quality"/>
    <m/>
    <m/>
    <m/>
    <m/>
    <m/>
    <x v="0"/>
    <x v="0"/>
    <s v="Included In Budget (Current FTE)"/>
    <s v="x"/>
    <s v="305 Quality"/>
    <s v="OK"/>
    <s v="Kaoru Nishino"/>
    <s v="08. VP"/>
    <s v="Head of  CMC Quality"/>
    <d v="2024-07-08T00:00:00"/>
    <m/>
  </r>
  <r>
    <n v="1121"/>
    <x v="8"/>
    <x v="24"/>
    <x v="53"/>
    <x v="0"/>
    <x v="2"/>
    <s v="Senior Director, Clinical Quality Assurance"/>
    <x v="1"/>
    <m/>
    <x v="6"/>
    <x v="0"/>
    <x v="0"/>
    <s v="HIRED: Donna Walters"/>
    <n v="10094"/>
    <s v="TLA-Dani"/>
    <s v="Clinical Quality"/>
    <m/>
    <m/>
    <s v="Emerging Leader"/>
    <m/>
    <m/>
    <x v="0"/>
    <x v="0"/>
    <s v="Included In Budget (Current FTE)"/>
    <s v="x"/>
    <s v="305 Quality"/>
    <s v="OK"/>
    <s v="Donna Walters"/>
    <s v="06. Sr. Director"/>
    <s v="Head of Clinical Quality Assurance (EC)"/>
    <d v="2024-11-12T00:00:00"/>
    <m/>
  </r>
  <r>
    <n v="1124"/>
    <x v="8"/>
    <x v="24"/>
    <x v="53"/>
    <x v="0"/>
    <x v="2"/>
    <s v="Senior Director, GxP Quality Systems"/>
    <x v="0"/>
    <m/>
    <x v="9"/>
    <x v="0"/>
    <x v="0"/>
    <s v="HIRED: Theresa Friend"/>
    <n v="10041"/>
    <s v="UA"/>
    <s v="GxP Quality Systems"/>
    <m/>
    <m/>
    <s v="Emerging Leader"/>
    <m/>
    <m/>
    <x v="0"/>
    <x v="0"/>
    <s v="Included In Budget (Current FTE)"/>
    <s v="x"/>
    <s v="305 Quality"/>
    <s v="OK"/>
    <s v="Theresa Friend"/>
    <s v="06. Sr. Director"/>
    <s v="Head of GxP Quality Systems"/>
    <d v="2025-01-06T00:00:00"/>
    <m/>
  </r>
  <r>
    <n v="1148"/>
    <x v="8"/>
    <x v="24"/>
    <x v="54"/>
    <x v="0"/>
    <x v="2"/>
    <s v="Senior Director, Product Quality Lead"/>
    <x v="0"/>
    <m/>
    <x v="9"/>
    <x v="0"/>
    <x v="0"/>
    <s v="HIRED: Polly Mak Kwan"/>
    <n v="10141"/>
    <s v="ATA-TLA"/>
    <s v="CMC Quality"/>
    <n v="7"/>
    <m/>
    <s v="Emerging Leader"/>
    <m/>
    <m/>
    <x v="0"/>
    <x v="0"/>
    <s v="Included In Budget (Current FTE)"/>
    <s v="x"/>
    <s v="305 Quality"/>
    <s v="OK"/>
    <s v="Polly Mak Kwan"/>
    <s v="06. Sr. Director"/>
    <s v="Product Quality Lead TLA"/>
    <d v="2025-03-24T00:00:00"/>
    <m/>
  </r>
  <r>
    <n v="1132"/>
    <x v="8"/>
    <x v="24"/>
    <x v="55"/>
    <x v="0"/>
    <x v="4"/>
    <s v="Director, Clinical Quality Lead"/>
    <x v="1"/>
    <n v="3"/>
    <x v="3"/>
    <x v="2"/>
    <x v="3"/>
    <s v="BACKFILL: Shaun Gordon"/>
    <n v="10182"/>
    <s v="ATA"/>
    <s v="Clinical Quality"/>
    <m/>
    <m/>
    <m/>
    <m/>
    <m/>
    <x v="0"/>
    <x v="0"/>
    <s v="Included In Budget (Current FTE)"/>
    <s v="x"/>
    <s v="305 Quality"/>
    <s v="OK"/>
    <s v="Shaun Gordon"/>
    <s v="05. Director"/>
    <s v="ATA/KAR 141 Clinical Quality Lead"/>
    <d v="2025-03-24T00:00:00"/>
    <m/>
  </r>
  <r>
    <n v="1149"/>
    <x v="8"/>
    <x v="24"/>
    <x v="54"/>
    <x v="0"/>
    <x v="4"/>
    <s v="Director, Product Quality Lead"/>
    <x v="0"/>
    <m/>
    <x v="9"/>
    <x v="0"/>
    <x v="0"/>
    <s v="HIRED: Ming Lei"/>
    <n v="10161"/>
    <s v="ATA-Dani"/>
    <s v="CMC Quality"/>
    <n v="6"/>
    <m/>
    <s v="Emerging Leader"/>
    <m/>
    <m/>
    <x v="0"/>
    <x v="0"/>
    <s v="Included In Budget (Current FTE)"/>
    <s v="x"/>
    <s v="305 Quality"/>
    <s v="OK"/>
    <s v="Ming Lei"/>
    <s v="05. Director"/>
    <s v="Product Quality Lead ATA"/>
    <d v="2025-03-17T00:00:00"/>
    <m/>
  </r>
  <r>
    <n v="1146"/>
    <x v="8"/>
    <x v="24"/>
    <x v="54"/>
    <x v="0"/>
    <x v="7"/>
    <s v="Associate Director, QC and Stability Operations"/>
    <x v="0"/>
    <m/>
    <x v="9"/>
    <x v="0"/>
    <x v="0"/>
    <s v="HIRED: Justin Thompson"/>
    <n v="10132"/>
    <s v="ATA-TLA-Dani"/>
    <s v="CMC Quality"/>
    <n v="10"/>
    <m/>
    <s v="Emerging Leader"/>
    <m/>
    <m/>
    <x v="0"/>
    <x v="0"/>
    <s v="Included In Budget (Current FTE)"/>
    <s v="x"/>
    <s v="305 Quality"/>
    <s v="OK"/>
    <s v="Justin Thompson"/>
    <s v="04. AD / Staff Scientist"/>
    <s v="Head of QA/QC Operations"/>
    <d v="2025-01-13T00:00:00"/>
    <m/>
  </r>
  <r>
    <n v="1140"/>
    <x v="8"/>
    <x v="24"/>
    <x v="56"/>
    <x v="0"/>
    <x v="6"/>
    <s v="Senior Manager, Document and Knowledge Management"/>
    <x v="0"/>
    <m/>
    <x v="9"/>
    <x v="0"/>
    <x v="0"/>
    <s v="HIRED: Becky Nagel"/>
    <n v="10166"/>
    <s v="UA"/>
    <s v="GxP Quality Systems"/>
    <m/>
    <m/>
    <s v="Emerging talent"/>
    <m/>
    <m/>
    <x v="0"/>
    <x v="0"/>
    <s v="Included In Budget (Current FTE)"/>
    <s v="x"/>
    <s v="305 Quality"/>
    <s v="OK"/>
    <s v="Becky Nagel"/>
    <s v="03. Sr. Manager / Sr. Scientist"/>
    <s v="Document and Knowledge Mgmt"/>
    <d v="2025-03-03T00:00:00"/>
    <m/>
  </r>
  <r>
    <n v="1123"/>
    <x v="8"/>
    <x v="24"/>
    <x v="53"/>
    <x v="0"/>
    <x v="2"/>
    <s v="Senior Director, GxP Compliance"/>
    <x v="0"/>
    <m/>
    <x v="7"/>
    <x v="0"/>
    <x v="0"/>
    <s v="HIRED: Ndidi Rickert"/>
    <n v="10225"/>
    <s v="UA"/>
    <s v="GxP Compliance"/>
    <m/>
    <m/>
    <s v="Experienced Leader"/>
    <m/>
    <m/>
    <x v="0"/>
    <x v="0"/>
    <s v="Included In Budget (Current FTE)"/>
    <s v="x"/>
    <s v="305 Quality"/>
    <s v="OK"/>
    <s v="Ndidi Rickert"/>
    <s v="06. Sr. Director"/>
    <s v="Head of GxP Compliance"/>
    <d v="2025-06-16T00:00:00"/>
    <m/>
  </r>
  <r>
    <n v="1133"/>
    <x v="8"/>
    <x v="24"/>
    <x v="55"/>
    <x v="0"/>
    <x v="4"/>
    <s v="Director, Clinical Quality"/>
    <x v="0"/>
    <m/>
    <x v="1"/>
    <x v="0"/>
    <x v="0"/>
    <s v="HIRED: Christophe Renou-Adamore"/>
    <n v="10253"/>
    <s v="TLA-Dani"/>
    <s v="Clinical Quality"/>
    <s v="Increasing number of overall programs and programs entering late stage.  Highly outsourced and vendor oversight is resource draining."/>
    <s v="Partial CW starting Q1, Full time CW Q2. If TLA data + , convert to FTE Q4"/>
    <s v="Exerienced Leader"/>
    <m/>
    <m/>
    <x v="0"/>
    <x v="0"/>
    <s v="Included In Budget (Current FTE)"/>
    <s v="x"/>
    <s v="305 Quality"/>
    <s v="OK"/>
    <s v="Christophe Renou-Adamore"/>
    <s v="05. Director"/>
    <s v="DANI Clinical Quality Lead"/>
    <d v="2025-09-29T00:00:00"/>
    <m/>
  </r>
  <r>
    <n v="1139"/>
    <x v="8"/>
    <x v="24"/>
    <x v="56"/>
    <x v="0"/>
    <x v="4"/>
    <s v="Director, GxP Training"/>
    <x v="0"/>
    <m/>
    <x v="1"/>
    <x v="0"/>
    <x v="0"/>
    <s v="HIRED: Karmen Starks"/>
    <n v="10190"/>
    <s v="UA"/>
    <s v="GxP Quality Systems"/>
    <m/>
    <s v="Converted to Full Time Employee"/>
    <s v="Emerging talent"/>
    <m/>
    <m/>
    <x v="0"/>
    <x v="0"/>
    <s v="Included In Budget (Current FTE)"/>
    <s v="x"/>
    <s v="305 Quality"/>
    <s v="OK"/>
    <s v="Karmen Starks"/>
    <s v="05. Director"/>
    <s v="GxP Training"/>
    <d v="2025-09-02T00:00:00"/>
    <m/>
  </r>
  <r>
    <n v="5225"/>
    <x v="8"/>
    <x v="24"/>
    <x v="57"/>
    <x v="0"/>
    <x v="6"/>
    <s v="Senior Manager, GxP Compliance Operations"/>
    <x v="0"/>
    <n v="2"/>
    <x v="2"/>
    <x v="0"/>
    <x v="0"/>
    <s v="HIRED: Sabrina San Diego"/>
    <n v="10262"/>
    <s v="UA"/>
    <s v="GxP Compliance"/>
    <s v="Drive ramp up of inspection readiness in preperation of the NDA filings for all programs and the volume of back to back activities "/>
    <s v="Convert to FTE in 2026"/>
    <s v="Emerging talent"/>
    <m/>
    <m/>
    <x v="0"/>
    <x v="0"/>
    <s v="Included In Budget (Current FTE)"/>
    <s v="x"/>
    <s v="305 Quality"/>
    <s v="OK"/>
    <s v="CW: Sabrina Santiago"/>
    <s v="03. Sr. Manager / Sr. Scientist"/>
    <s v="GxP Compliance Operations"/>
    <d v="2026-03-15T00:00:00"/>
    <s v="Convert to FTE in Jan."/>
  </r>
  <r>
    <n v="1127"/>
    <x v="8"/>
    <x v="24"/>
    <x v="58"/>
    <x v="0"/>
    <x v="6"/>
    <s v="Quality Operations"/>
    <x v="0"/>
    <n v="2"/>
    <x v="3"/>
    <x v="3"/>
    <x v="3"/>
    <s v="CW: Susan Lin"/>
    <m/>
    <s v="UA"/>
    <s v="Quality Operations"/>
    <s v="Initial build out of quality operations to support the true volume of work to support existing programs"/>
    <s v="In 2025 currently a CW, Convert to FTE in January 2026"/>
    <m/>
    <m/>
    <m/>
    <x v="0"/>
    <x v="0"/>
    <s v="Included In Budget (Open Role)"/>
    <s v="x"/>
    <s v="305 Quality"/>
    <s v="OK"/>
    <s v="CW: Susan Lin"/>
    <s v="03. Sr. Manager / Sr. Scientist"/>
    <s v="Quality Operations"/>
    <d v="2026-06-15T00:00:00"/>
    <s v="Convert to FTE"/>
  </r>
  <r>
    <n v="1141"/>
    <x v="8"/>
    <x v="24"/>
    <x v="56"/>
    <x v="0"/>
    <x v="2"/>
    <s v="CSA/Data Integrity Head"/>
    <x v="0"/>
    <n v="1"/>
    <x v="3"/>
    <x v="1"/>
    <x v="3"/>
    <s v="CW: J. Dinh onboard. Partial CW in Q1. Full time CW Q2. If TLA data  +, convert to FTE Q4"/>
    <m/>
    <s v="UA"/>
    <s v="GxP Quality Systems; Prolaio interface"/>
    <s v="Increasing demand for computer systems needed to supportthe program and the quality system requires a strong Quality IT leader to drive decision making and ensuring data integrity.  Key business partner to map data flows and ensure integrity of the data.  IR need to ensure vendor computer systems are validated."/>
    <s v="This is becoming more apparent that having a strong Quality IT/CSV person in place is a critical GAP in resources given all of the systems being requested and brought onboard cross GxP.  Gewt consultant in ASAP.  Gated to Series B request"/>
    <s v="Experienced Leader"/>
    <m/>
    <m/>
    <x v="0"/>
    <x v="0"/>
    <s v="Included In Budget (Open Role)"/>
    <s v="x"/>
    <s v="305 Quality"/>
    <s v="OK"/>
    <s v="CW: J. Dinh onboard. Partial CW in Q1. Full time CW Q2. If TLA data  +, convert to FTE Q4"/>
    <s v="06. Sr. Director"/>
    <s v="CSA/Data Integrity Head"/>
    <d v="2026-06-15T00:00:00"/>
    <m/>
  </r>
  <r>
    <n v="5247"/>
    <x v="8"/>
    <x v="24"/>
    <x v="57"/>
    <x v="0"/>
    <x v="4"/>
    <s v="Inspection Readiness GMP Lead"/>
    <x v="0"/>
    <n v="4"/>
    <x v="5"/>
    <x v="2"/>
    <x v="3"/>
    <m/>
    <m/>
    <s v="UA"/>
    <s v="GxP Compliance"/>
    <s v="Drive ramp up of inspection readiness in preperation of the NDA filings for all programs and the volume of back to back activities "/>
    <m/>
    <s v="Experienced Leader"/>
    <m/>
    <m/>
    <x v="0"/>
    <x v="0"/>
    <s v="Included In Budget (Open Role)"/>
    <s v="x"/>
    <s v="305 Quality"/>
    <s v="OK"/>
    <s v="TBD"/>
    <s v="05. Director"/>
    <s v="Inspection Readiness GMP Lead"/>
    <d v="2026-09-15T00:00:00"/>
    <m/>
  </r>
  <r>
    <n v="5224"/>
    <x v="8"/>
    <x v="24"/>
    <x v="59"/>
    <x v="4"/>
    <x v="6"/>
    <s v="Technical Writer for QMS"/>
    <x v="0"/>
    <n v="2"/>
    <x v="7"/>
    <x v="3"/>
    <x v="0"/>
    <s v="CW: Alicia Woodfall Jones (CW Q2-Q4 will need in 2026-2028)"/>
    <m/>
    <s v="UA"/>
    <s v="GxP Quality Systems"/>
    <s v="Increasing demand for support in drafting the initial processes, SOPs and Policies needed to drive work across the product lifecycle"/>
    <s v="Critical role identified to help get SOPs launched to meet corporate goals. In 2025 20-25 hrs per week.  Role to continue through 2028 with potentially increased hours based on volume."/>
    <s v="Emerging talent"/>
    <m/>
    <m/>
    <x v="4"/>
    <x v="4"/>
    <s v="N/A (CW)"/>
    <m/>
    <e v="#N/A"/>
    <s v="N/A (CW)"/>
    <e v="#N/A"/>
    <e v="#N/A"/>
    <e v="#N/A"/>
    <e v="#N/A"/>
    <m/>
  </r>
  <r>
    <n v="1143"/>
    <x v="8"/>
    <x v="24"/>
    <x v="56"/>
    <x v="2"/>
    <x v="7"/>
    <s v="QMS Lead"/>
    <x v="0"/>
    <n v="2"/>
    <x v="2"/>
    <x v="3"/>
    <x v="0"/>
    <s v="CW: Lori Richter (CW with us Q3-Q4, will use Jason Dinh in role 2026"/>
    <m/>
    <s v="UA"/>
    <s v="GxP Quality Systems"/>
    <s v="Increased demand as programs ramp up to support the key QMS elements of TCC, DEV/CAPA, and Vendor Mgmt"/>
    <s v="convert to FTE in 2027"/>
    <s v="Emerging talent"/>
    <m/>
    <m/>
    <x v="4"/>
    <x v="4"/>
    <s v="N/A (CW) - 2027 conversion per budget"/>
    <m/>
    <s v="305 Quality"/>
    <s v="N/A (CW)"/>
    <s v="11/3: Convert in 2027; CW: Lori Richter (CW with us Q3-Q4)"/>
    <s v="04. AD / Staff Scientist"/>
    <s v="QMS Lead"/>
    <d v="2027-03-15T00:00:00"/>
    <m/>
  </r>
  <r>
    <n v="1135"/>
    <x v="8"/>
    <x v="24"/>
    <x v="55"/>
    <x v="2"/>
    <x v="4"/>
    <s v="TLA Clinical Quality Lead"/>
    <x v="1"/>
    <n v="2"/>
    <x v="2"/>
    <x v="2"/>
    <x v="0"/>
    <s v="CW to FTE"/>
    <m/>
    <s v="Dani"/>
    <s v="Clinical Quality"/>
    <s v="Increasing number of overall programs and programs entering late stage.  Highly outsourced and vendor oversight is resource draining."/>
    <s v="CW at 40 hrs in 2026, convert to a FTE in 2027"/>
    <s v="Exerienced Leader"/>
    <m/>
    <m/>
    <x v="4"/>
    <x v="4"/>
    <s v="N/A (CW) - 2027 conversion per budget"/>
    <m/>
    <s v="305 Quality"/>
    <s v="N/A (CW)"/>
    <s v="11/3: Convert in 2027"/>
    <s v="05. Director"/>
    <s v="TLA Clinical Quality Lead"/>
    <d v="2027-03-15T00:00:00"/>
    <m/>
  </r>
  <r>
    <n v="1150"/>
    <x v="8"/>
    <x v="24"/>
    <x v="54"/>
    <x v="2"/>
    <x v="4"/>
    <s v="Product Quality Lead Dani"/>
    <x v="0"/>
    <n v="2"/>
    <x v="2"/>
    <x v="2"/>
    <x v="0"/>
    <s v="CW to FTE"/>
    <m/>
    <s v="Dani"/>
    <s v="CMC Quality"/>
    <s v="Increasing number of overall programs and programs entering late stage"/>
    <s v="CW ro FTE in 2027"/>
    <s v="Emerging Leader"/>
    <m/>
    <m/>
    <x v="4"/>
    <x v="4"/>
    <s v="N/A (CW) - 2027 conversion per budget"/>
    <m/>
    <s v="305 Quality"/>
    <s v="N/A (CW)"/>
    <s v="11/3: Convert in 2027"/>
    <s v="05. Director"/>
    <s v="Product Quality Lead Dani"/>
    <d v="2027-03-15T00:00:00"/>
    <m/>
  </r>
  <r>
    <n v="5244"/>
    <x v="8"/>
    <x v="24"/>
    <x v="57"/>
    <x v="2"/>
    <x v="4"/>
    <s v="GCP Audit Lead"/>
    <x v="1"/>
    <n v="2"/>
    <x v="2"/>
    <x v="2"/>
    <x v="0"/>
    <s v="CW to FTE"/>
    <m/>
    <s v="UA"/>
    <s v="GxP Compliance"/>
    <s v="Drive ramp up of inspection readiness in preperation of the NDA filings for all programs and the volume of back to back activities "/>
    <s v="CW in 2026 and convert in 2027"/>
    <s v="Experienced Leader"/>
    <m/>
    <m/>
    <x v="4"/>
    <x v="4"/>
    <s v="N/A (CW) - 2027 conversion per budget"/>
    <m/>
    <s v="305 Quality"/>
    <s v="N/A (CW)"/>
    <s v="11/3: Convert in 2027"/>
    <s v="05. Director"/>
    <s v="GCP Audit Lead"/>
    <d v="2027-03-15T00:00:00"/>
    <m/>
  </r>
  <r>
    <n v="5226"/>
    <x v="8"/>
    <x v="24"/>
    <x v="56"/>
    <x v="2"/>
    <x v="6"/>
    <s v="Veeva Admin"/>
    <x v="0"/>
    <n v="2"/>
    <x v="2"/>
    <x v="2"/>
    <x v="0"/>
    <m/>
    <m/>
    <s v="UA"/>
    <s v="GxP Quality Systems"/>
    <s v="As employee number increase and as we get more vaults to support the business need a resource to maintain the system from an administrative perspective"/>
    <s v="Will provide training admin support in 2026 in addition to veeva admin work"/>
    <s v="Emerging talent"/>
    <m/>
    <m/>
    <x v="4"/>
    <x v="4"/>
    <s v="N/A (CW)"/>
    <m/>
    <e v="#N/A"/>
    <s v="N/A (CW)"/>
    <e v="#N/A"/>
    <e v="#N/A"/>
    <e v="#N/A"/>
    <e v="#N/A"/>
    <m/>
  </r>
  <r>
    <n v="5230"/>
    <x v="8"/>
    <x v="24"/>
    <x v="60"/>
    <x v="2"/>
    <x v="6"/>
    <s v="Training Coordinator"/>
    <x v="1"/>
    <n v="2"/>
    <x v="2"/>
    <x v="2"/>
    <x v="0"/>
    <s v="CW to FTE"/>
    <m/>
    <s v="UA"/>
    <s v="GxP Quality Systems"/>
    <s v="As we start to increase our work force as well as build out the QMS support of developing training plans and material will increase.  Will also help support increasing number of stakeholder groups both GxP and non-GxP"/>
    <s v="Convert to FTE in 2027"/>
    <s v="Emerging talent"/>
    <m/>
    <m/>
    <x v="4"/>
    <x v="4"/>
    <s v="N/A (CW) - 2027 conversion per budget"/>
    <m/>
    <s v="305 Quality"/>
    <s v="N/A (CW)"/>
    <s v="11/3: Convert in 2027"/>
    <s v="03. Sr. Manager / Sr. Scientist"/>
    <s v="Training Coordinator"/>
    <d v="2027-03-15T00:00:00"/>
    <m/>
  </r>
  <r>
    <n v="5234"/>
    <x v="8"/>
    <x v="24"/>
    <x v="56"/>
    <x v="2"/>
    <x v="7"/>
    <s v="QRM Lead"/>
    <x v="1"/>
    <n v="2"/>
    <x v="3"/>
    <x v="2"/>
    <x v="0"/>
    <s v="CW to FTE"/>
    <m/>
    <s v="UA"/>
    <s v="GxP Quality Systems"/>
    <s v="Need a skilled coach to help drive quality risk management activities across the programs and product lifecycle and build capability withing the organization.  Drive coordination across GxP"/>
    <s v="convert to FTE in 2027"/>
    <s v="Experienced Leader"/>
    <m/>
    <m/>
    <x v="4"/>
    <x v="4"/>
    <s v="N/A (CW) - 2027 conversion per budget"/>
    <m/>
    <s v="305 Quality"/>
    <s v="N/A (CW)"/>
    <s v="11/3: Convert in 2027"/>
    <s v="04. AD / Staff Scientist"/>
    <s v="QRM Lead"/>
    <d v="2027-03-15T00:00:00"/>
    <m/>
  </r>
  <r>
    <n v="1138"/>
    <x v="8"/>
    <x v="24"/>
    <x v="57"/>
    <x v="2"/>
    <x v="4"/>
    <s v="Inspection readiness GCP Lead"/>
    <x v="0"/>
    <n v="2"/>
    <x v="5"/>
    <x v="2"/>
    <x v="0"/>
    <s v="CW to FTE"/>
    <m/>
    <s v="UA"/>
    <s v="GxP Compliance"/>
    <s v="Clear that this may need to be in place before 2026 as IR activities will kickoff at the start of the year to support NDA filing: Drive ramp up of inspection readiness in preperation of the NDA filings for all programs"/>
    <s v="CW in 2026, Convert to FTE in 2027"/>
    <s v="Experienced Leader"/>
    <m/>
    <m/>
    <x v="4"/>
    <x v="4"/>
    <s v="N/A (CW) - 2027 conversion per budget"/>
    <m/>
    <s v="305 Quality"/>
    <s v="N/A (CW)"/>
    <s v="11/3: Convert in 2027"/>
    <s v="05. Director"/>
    <s v="Inspection readiness GCP Lead"/>
    <d v="2027-03-15T00:00:00"/>
    <m/>
  </r>
  <r>
    <n v="1168"/>
    <x v="9"/>
    <x v="25"/>
    <x v="0"/>
    <x v="0"/>
    <x v="5"/>
    <s v="Vice President, Discovery Research"/>
    <x v="0"/>
    <m/>
    <x v="0"/>
    <x v="0"/>
    <x v="0"/>
    <s v="HIRED: Johan David Oslob"/>
    <n v="10023"/>
    <s v="UA"/>
    <s v="Discovery Research Leader"/>
    <m/>
    <m/>
    <m/>
    <m/>
    <m/>
    <x v="0"/>
    <x v="0"/>
    <s v="Included In Budget (Current FTE)"/>
    <s v="x"/>
    <s v="110 Discovery"/>
    <s v="OK"/>
    <s v="Johan Oslob"/>
    <s v="08. VP"/>
    <s v="Vice President, Discovery Research"/>
    <d v="2024-08-12T00:00:00"/>
    <m/>
  </r>
  <r>
    <n v="1167"/>
    <x v="9"/>
    <x v="25"/>
    <x v="61"/>
    <x v="0"/>
    <x v="6"/>
    <s v="Principal Scientist, Research Informatics"/>
    <x v="0"/>
    <m/>
    <x v="6"/>
    <x v="0"/>
    <x v="0"/>
    <s v="HIRED: Peipei Li"/>
    <n v="10092"/>
    <s v="ATA-TLA-Dani"/>
    <s v="Research Informatics"/>
    <m/>
    <m/>
    <m/>
    <m/>
    <m/>
    <x v="0"/>
    <x v="0"/>
    <s v="Included In Budget (Current FTE)"/>
    <s v="x"/>
    <s v="110 Discovery"/>
    <s v="OK"/>
    <s v="Peipei Li"/>
    <s v="03. Sr. Manager / Sr. Scientist"/>
    <s v="Principal Scientist, Research Informatics"/>
    <d v="2024-10-28T00:00:00"/>
    <m/>
  </r>
  <r>
    <n v="1165"/>
    <x v="9"/>
    <x v="25"/>
    <x v="61"/>
    <x v="0"/>
    <x v="4"/>
    <s v="Director, DMPK"/>
    <x v="0"/>
    <m/>
    <x v="9"/>
    <x v="0"/>
    <x v="1"/>
    <s v="HIRED: Ron Aoyama"/>
    <n v="10160"/>
    <s v="UA"/>
    <s v="DMPK"/>
    <m/>
    <m/>
    <s v="Emerging Leader"/>
    <m/>
    <m/>
    <x v="0"/>
    <x v="0"/>
    <s v="Included In Budget (Current FTE)"/>
    <s v="x"/>
    <s v="110 Discovery"/>
    <s v="OK"/>
    <s v="Ron Aoyama"/>
    <s v="05. Director"/>
    <s v="Director, DMPK"/>
    <d v="2025-03-03T00:00:00"/>
    <m/>
  </r>
  <r>
    <n v="1166"/>
    <x v="9"/>
    <x v="25"/>
    <x v="61"/>
    <x v="0"/>
    <x v="4"/>
    <s v="Director, Medicinal Chemistry"/>
    <x v="0"/>
    <m/>
    <x v="9"/>
    <x v="0"/>
    <x v="1"/>
    <s v="HIRED: Steve McKerrall"/>
    <n v="10183"/>
    <s v="UA"/>
    <s v="Medicinal chemistry"/>
    <m/>
    <m/>
    <s v="Emerging Leader"/>
    <m/>
    <m/>
    <x v="0"/>
    <x v="0"/>
    <s v="Included In Budget (Current FTE)"/>
    <s v="x"/>
    <s v="110 Discovery"/>
    <s v="OK"/>
    <s v="Steve McKerrall"/>
    <s v="05. Director"/>
    <s v="Director, Medicinal Chemistry"/>
    <d v="2025-03-31T00:00:00"/>
    <m/>
  </r>
  <r>
    <n v="1162"/>
    <x v="9"/>
    <x v="25"/>
    <x v="61"/>
    <x v="0"/>
    <x v="8"/>
    <s v="Manager, Compound Management"/>
    <x v="0"/>
    <m/>
    <x v="9"/>
    <x v="0"/>
    <x v="1"/>
    <s v="HIRED: Daniel Gross"/>
    <n v="10163"/>
    <s v="UA"/>
    <s v="Compound Management"/>
    <m/>
    <m/>
    <m/>
    <m/>
    <m/>
    <x v="0"/>
    <x v="0"/>
    <s v="Included In Budget (Current FTE)"/>
    <s v="x"/>
    <s v="110 Discovery"/>
    <s v="OK"/>
    <s v="Daniel Paul Geddes Gross"/>
    <s v="02. Manager / Scientist"/>
    <s v="Manager, Compound Management"/>
    <d v="2025-03-17T00:00:00"/>
    <m/>
  </r>
  <r>
    <n v="1157"/>
    <x v="9"/>
    <x v="25"/>
    <x v="62"/>
    <x v="0"/>
    <x v="7"/>
    <s v="Principal Scientist, DMPK"/>
    <x v="0"/>
    <m/>
    <x v="7"/>
    <x v="0"/>
    <x v="1"/>
    <s v="HIRED: Jim Driscoll"/>
    <n v="10236"/>
    <s v="Dani"/>
    <s v="DMPK"/>
    <m/>
    <m/>
    <m/>
    <m/>
    <m/>
    <x v="1"/>
    <x v="0"/>
    <s v="Included In Budget (Current FTE)"/>
    <s v="x"/>
    <s v="110 Discovery"/>
    <s v="OK"/>
    <s v="Jim Driscoll"/>
    <s v="03. Sr. Manager / Sr. Scientist"/>
    <s v="Principal Scientist, DMPK"/>
    <d v="2025-06-16T00:00:00"/>
    <m/>
  </r>
  <r>
    <n v="1158"/>
    <x v="9"/>
    <x v="25"/>
    <x v="62"/>
    <x v="0"/>
    <x v="8"/>
    <s v="Scientist, DMPK"/>
    <x v="0"/>
    <m/>
    <x v="7"/>
    <x v="0"/>
    <x v="1"/>
    <s v="HIRED: Bhargavi Ramisetty"/>
    <n v="10227"/>
    <s v="UA"/>
    <s v="DMPK"/>
    <m/>
    <m/>
    <m/>
    <m/>
    <m/>
    <x v="0"/>
    <x v="0"/>
    <s v="Included In Budget (Current FTE)"/>
    <s v="x"/>
    <s v="110 Discovery"/>
    <s v="OK"/>
    <s v="Srija Ramisetty"/>
    <s v="02. Manager / Scientist"/>
    <s v="Scientist, DMPK"/>
    <d v="2025-06-16T00:00:00"/>
    <m/>
  </r>
  <r>
    <n v="1159"/>
    <x v="9"/>
    <x v="25"/>
    <x v="63"/>
    <x v="0"/>
    <x v="7"/>
    <s v="Principal Sci./Assoc.Dir., MedChem"/>
    <x v="0"/>
    <n v="2"/>
    <x v="3"/>
    <x v="2"/>
    <x v="4"/>
    <m/>
    <m/>
    <s v="UA"/>
    <s v="Medicinal chemistry"/>
    <m/>
    <s v="≥2 H2L/LO/SA efforts"/>
    <m/>
    <s v="check timing"/>
    <m/>
    <x v="0"/>
    <x v="1"/>
    <s v="Included In Budget (Open Role)"/>
    <s v="x"/>
    <s v="110 Discovery"/>
    <s v="OK"/>
    <s v="TBD"/>
    <s v="04. AD / Staff Scientist"/>
    <s v="Principal Sci./Assoc.Dir., MedChem"/>
    <d v="2026-03-15T00:00:00"/>
    <s v="2 Discovery projects; High throughput screen readout"/>
  </r>
  <r>
    <n v="5261"/>
    <x v="9"/>
    <x v="25"/>
    <x v="64"/>
    <x v="0"/>
    <x v="3"/>
    <s v="Senior Scientist, DMPK"/>
    <x v="0"/>
    <n v="3"/>
    <x v="3"/>
    <x v="2"/>
    <x v="4"/>
    <m/>
    <m/>
    <s v="UA"/>
    <s v="DMPK"/>
    <m/>
    <s v="≥2 H2L/LO/SA efforts"/>
    <m/>
    <s v="check timing"/>
    <m/>
    <x v="0"/>
    <x v="1"/>
    <s v="Included In Budget (Open Role)"/>
    <s v="x"/>
    <s v="110 Discovery"/>
    <s v="OK"/>
    <s v="TBD"/>
    <s v="01. IC / Coordinator"/>
    <s v="Senior Scientist, DMPK"/>
    <d v="2026-03-15T00:00:00"/>
    <s v="2 Discovery projects; High throughput screen readout"/>
  </r>
  <r>
    <n v="1175"/>
    <x v="5"/>
    <x v="18"/>
    <x v="65"/>
    <x v="0"/>
    <x v="3"/>
    <s v="RA, Biology"/>
    <x v="0"/>
    <n v="4"/>
    <x v="5"/>
    <x v="2"/>
    <x v="0"/>
    <m/>
    <m/>
    <s v="UA"/>
    <s v="Valvular biochemistry"/>
    <s v="In vitro Combo Studies - Support for PAR4 program"/>
    <s v="Bandwidth for AS - Combos"/>
    <m/>
    <m/>
    <s v="Potential Tradeoff"/>
    <x v="0"/>
    <x v="0"/>
    <s v="Included In Budget (Open Role)"/>
    <s v="x"/>
    <s v="105 Research and Translational Science"/>
    <s v="OK"/>
    <s v="TBD"/>
    <s v="01. IC / Coordinator"/>
    <s v="RA, Biology"/>
    <d v="2026-09-15T00:00:00"/>
    <m/>
  </r>
  <r>
    <n v="1177"/>
    <x v="5"/>
    <x v="18"/>
    <x v="66"/>
    <x v="0"/>
    <x v="8"/>
    <s v="Bioinformatics Scientist"/>
    <x v="0"/>
    <s v="Counted for 2025"/>
    <x v="2"/>
    <x v="0"/>
    <x v="1"/>
    <s v="HIRED: Michael Sikora"/>
    <m/>
    <s v="UA"/>
    <s v="Omic analyses (transcriptomic - including single cell and proteomic)"/>
    <s v="Data available now"/>
    <s v="NOW"/>
    <m/>
    <m/>
    <m/>
    <x v="0"/>
    <x v="0"/>
    <s v="Included In Budget (Open Role)"/>
    <s v="x"/>
    <s v="105 Research and Translational Science"/>
    <s v="OK"/>
    <s v="TBD"/>
    <s v="02. Manager / Scientist"/>
    <s v="Scientist, TM (Computational Biologist) - Omics (transcriptomics)"/>
    <d v="2026-03-15T00:00:00"/>
    <s v="needs review"/>
  </r>
  <r>
    <n v="1183"/>
    <x v="5"/>
    <x v="18"/>
    <x v="67"/>
    <x v="5"/>
    <x v="3"/>
    <s v="Postdoctoral Fellow"/>
    <x v="0"/>
    <m/>
    <x v="2"/>
    <x v="1"/>
    <x v="1"/>
    <m/>
    <m/>
    <s v="UA"/>
    <s v="EHT platform engineering"/>
    <m/>
    <m/>
    <m/>
    <m/>
    <m/>
    <x v="2"/>
    <x v="2"/>
    <s v="Confirm w/ P&amp;C"/>
    <m/>
    <e v="#N/A"/>
    <s v="Confirm w/ P&amp;C"/>
    <e v="#N/A"/>
    <e v="#N/A"/>
    <e v="#N/A"/>
    <e v="#N/A"/>
    <s v="needs review"/>
  </r>
  <r>
    <n v="5271"/>
    <x v="5"/>
    <x v="18"/>
    <x v="68"/>
    <x v="5"/>
    <x v="3"/>
    <s v="Postdoctoral Fellow / Visiting Scholar (veterinarian)"/>
    <x v="0"/>
    <m/>
    <x v="3"/>
    <x v="1"/>
    <x v="1"/>
    <m/>
    <m/>
    <s v="UA"/>
    <s v="Expansion of large-animal in vivo capabilities and to support USDA in vivarium"/>
    <s v="NOW - NG ATA in vivo telemetry screening"/>
    <s v="Vivarium operational for rabbits"/>
    <s v="DE moving to ML scientist role"/>
    <m/>
    <m/>
    <x v="2"/>
    <x v="2"/>
    <s v="Confirm w/ P&amp;C"/>
    <m/>
    <s v="105 Research and Translational Science"/>
    <s v="OK"/>
    <s v="TBD"/>
    <s v="01. IC / Coordinator"/>
    <s v="Postdoctoral Fellow / Visiting Scholar (veterinarian)"/>
    <d v="2027-03-15T00:00:00"/>
    <s v="needs review"/>
  </r>
  <r>
    <n v="1189"/>
    <x v="5"/>
    <x v="18"/>
    <x v="69"/>
    <x v="2"/>
    <x v="3"/>
    <s v="Animal Care, vivarium"/>
    <x v="0"/>
    <m/>
    <x v="3"/>
    <x v="2"/>
    <x v="0"/>
    <m/>
    <m/>
    <s v="UA"/>
    <s v="vivarium - support for USDA species (Rabbit)"/>
    <m/>
    <s v="USDA species"/>
    <m/>
    <m/>
    <m/>
    <x v="4"/>
    <x v="4"/>
    <s v="N/A (CW) - 2027 conversion per budget"/>
    <m/>
    <s v="105 Research and Translational Science"/>
    <s v="N/A (CW)"/>
    <s v="TBD"/>
    <s v="01. IC / Coordinator"/>
    <s v="Animal Care, vivarium"/>
    <d v="2027-03-15T00:00:00"/>
    <s v="needs review"/>
  </r>
  <r>
    <n v="1356"/>
    <x v="5"/>
    <x v="18"/>
    <x v="66"/>
    <x v="5"/>
    <x v="3"/>
    <s v="Postdoctoral Fellow"/>
    <x v="0"/>
    <s v="Include"/>
    <x v="2"/>
    <x v="0"/>
    <x v="1"/>
    <s v="HIRED: Xiang Wang"/>
    <m/>
    <s v="UA"/>
    <s v="Build tools for estimating valve leaflet thickness and compliance from 2D echo data"/>
    <m/>
    <m/>
    <m/>
    <m/>
    <m/>
    <x v="2"/>
    <x v="2"/>
    <s v="Confirm w/ P&amp;C"/>
    <m/>
    <e v="#N/A"/>
    <s v="Confirm w/ P&amp;C"/>
    <e v="#N/A"/>
    <e v="#N/A"/>
    <e v="#N/A"/>
    <e v="#N/A"/>
    <m/>
  </r>
  <r>
    <n v="5274"/>
    <x v="5"/>
    <x v="18"/>
    <x v="70"/>
    <x v="2"/>
    <x v="6"/>
    <s v="Senior/PI, Tox"/>
    <x v="0"/>
    <m/>
    <x v="5"/>
    <x v="2"/>
    <x v="0"/>
    <s v="CW: Jennifer Woo"/>
    <m/>
    <s v="UA"/>
    <s v="Non-Clinical Dev"/>
    <s v="Existence of multiple programs with NC neeeds"/>
    <s v="NOW, NDA readyness"/>
    <s v="CW in the meantime"/>
    <m/>
    <m/>
    <x v="4"/>
    <x v="4"/>
    <s v="N/A (CW) - 2027 conversion per budget"/>
    <m/>
    <s v="105 Research and Translational Science"/>
    <s v="N/A (CW)"/>
    <s v="TBD"/>
    <s v="03. Sr. Manager / Sr. Scientist"/>
    <s v="Senior/PI, Tox"/>
    <d v="2027-09-15T00:00:00"/>
    <s v="needs review"/>
  </r>
  <r>
    <n v="1382"/>
    <x v="5"/>
    <x v="18"/>
    <x v="70"/>
    <x v="2"/>
    <x v="3"/>
    <s v="Lab Manager / Research Admin for legal and procurement (repurpose for lab manager)"/>
    <x v="0"/>
    <m/>
    <x v="3"/>
    <x v="2"/>
    <x v="0"/>
    <m/>
    <m/>
    <s v="UA"/>
    <m/>
    <m/>
    <s v="Need to assess this role given our conversation about the contract process"/>
    <m/>
    <m/>
    <m/>
    <x v="4"/>
    <x v="4"/>
    <s v="N/A (CW) - 2027 conversion per budget"/>
    <m/>
    <s v="105 Research and Translational Science"/>
    <s v="N/A (CW)"/>
    <s v="TBD"/>
    <s v="01. IC / Coordinator"/>
    <s v="Lab Manager / Research Admin for legal and procurement (repurpose for lab manager)"/>
    <d v="2027-03-15T00:00:00"/>
    <s v="needs review"/>
  </r>
  <r>
    <n v="1195"/>
    <x v="5"/>
    <x v="18"/>
    <x v="61"/>
    <x v="0"/>
    <x v="5"/>
    <s v="Vice President, Research and Translational Sciences"/>
    <x v="0"/>
    <s v="Counted for 2025"/>
    <x v="4"/>
    <x v="0"/>
    <x v="0"/>
    <s v="HIRED: Carlos Luis del Rio"/>
    <n v="10003"/>
    <s v="UA"/>
    <s v="Translational Research Leader"/>
    <m/>
    <m/>
    <m/>
    <m/>
    <m/>
    <x v="0"/>
    <x v="0"/>
    <s v="Included In Budget (Current FTE)"/>
    <s v="x"/>
    <s v="105 Research and Translational Science"/>
    <s v="OK"/>
    <s v="Carlos del Rio"/>
    <s v="08. VP"/>
    <s v="Vice President, Research and Translational Sciences"/>
    <d v="2024-01-01T00:00:00"/>
    <m/>
  </r>
  <r>
    <n v="1169"/>
    <x v="5"/>
    <x v="18"/>
    <x v="70"/>
    <x v="0"/>
    <x v="7"/>
    <s v="Staff Scientist, Director, Sarcomere Biology"/>
    <x v="0"/>
    <s v="Counted for 2025"/>
    <x v="0"/>
    <x v="0"/>
    <x v="0"/>
    <s v="HIRED: Na Sa"/>
    <n v="10027"/>
    <s v="ATA-Dani"/>
    <s v="Biochem/biophys"/>
    <m/>
    <m/>
    <m/>
    <m/>
    <m/>
    <x v="0"/>
    <x v="0"/>
    <s v="Included In Budget (Current FTE)"/>
    <s v="x"/>
    <s v="105 Research and Translational Science"/>
    <s v="OK"/>
    <s v="Na Sa"/>
    <s v="04. AD / Staff Scientist"/>
    <s v="Staff Scientist, Director, Sarcomere Biology"/>
    <d v="2024-08-19T00:00:00"/>
    <m/>
  </r>
  <r>
    <n v="1192"/>
    <x v="5"/>
    <x v="18"/>
    <x v="70"/>
    <x v="0"/>
    <x v="6"/>
    <s v="Principal Scientist, Biology"/>
    <x v="0"/>
    <s v="Counted for 2025"/>
    <x v="0"/>
    <x v="0"/>
    <x v="0"/>
    <s v="HIRED: Rafael Shimkunas"/>
    <n v="10021"/>
    <s v="ATA-TLA-Dani"/>
    <s v="Myocyte"/>
    <m/>
    <m/>
    <m/>
    <m/>
    <m/>
    <x v="0"/>
    <x v="0"/>
    <s v="Included In Budget (Current FTE)"/>
    <s v="x"/>
    <s v="105 Research and Translational Science"/>
    <s v="OK"/>
    <s v="Rafael Shimkunas"/>
    <s v="03. Sr. Manager / Sr. Scientist"/>
    <s v="Principal Scientist, Biology"/>
    <d v="2024-07-15T00:00:00"/>
    <m/>
  </r>
  <r>
    <n v="1182"/>
    <x v="5"/>
    <x v="18"/>
    <x v="70"/>
    <x v="0"/>
    <x v="6"/>
    <s v="Principal Scientist, In Vitro Pharmacology"/>
    <x v="0"/>
    <s v="Counted for 2025"/>
    <x v="0"/>
    <x v="0"/>
    <x v="0"/>
    <s v="HIRED: Mary Papadaki"/>
    <n v="10057"/>
    <s v="ATA-Dani"/>
    <s v="In vitro pharm"/>
    <m/>
    <m/>
    <m/>
    <m/>
    <m/>
    <x v="0"/>
    <x v="0"/>
    <s v="Included In Budget (Current FTE)"/>
    <s v="x"/>
    <s v="105 Research and Translational Science"/>
    <s v="OK"/>
    <s v="Mary Papadaki"/>
    <s v="03. Sr. Manager / Sr. Scientist"/>
    <s v="Principal Scientist, In Vitro Pharmacology"/>
    <d v="2024-09-16T00:00:00"/>
    <m/>
  </r>
  <r>
    <n v="1172"/>
    <x v="5"/>
    <x v="18"/>
    <x v="70"/>
    <x v="0"/>
    <x v="6"/>
    <s v="Senior Scientist, Biology"/>
    <x v="0"/>
    <s v="Counted for 2025"/>
    <x v="0"/>
    <x v="0"/>
    <x v="0"/>
    <s v="HIRED: Jani Saksi"/>
    <n v="10028"/>
    <s v="ATA-TLA-Dani"/>
    <s v="Biochem/biophys"/>
    <m/>
    <m/>
    <m/>
    <m/>
    <m/>
    <x v="0"/>
    <x v="0"/>
    <s v="Included In Budget (Current FTE)"/>
    <s v="x"/>
    <s v="105 Research and Translational Science"/>
    <s v="OK"/>
    <s v="Jani Saksi"/>
    <s v="03. Sr. Manager / Sr. Scientist"/>
    <s v="Senior Scientist, Biology"/>
    <d v="2024-09-16T00:00:00"/>
    <m/>
  </r>
  <r>
    <n v="1176"/>
    <x v="5"/>
    <x v="18"/>
    <x v="71"/>
    <x v="0"/>
    <x v="8"/>
    <s v="Scientist, Biology"/>
    <x v="0"/>
    <s v="Counted for 2025"/>
    <x v="0"/>
    <x v="0"/>
    <x v="0"/>
    <s v="HIRED: Dilara Batan"/>
    <n v="10022"/>
    <s v="ATA"/>
    <s v="Valvular biochemistry"/>
    <m/>
    <m/>
    <m/>
    <m/>
    <m/>
    <x v="0"/>
    <x v="0"/>
    <s v="Included In Budget (Current FTE)"/>
    <s v="x"/>
    <s v="105 Research and Translational Science"/>
    <s v="OK"/>
    <s v="Dilara Batan"/>
    <s v="02. Manager / Scientist"/>
    <s v="Scientist, Biology"/>
    <d v="2024-08-05T00:00:00"/>
    <m/>
  </r>
  <r>
    <n v="1174"/>
    <x v="5"/>
    <x v="18"/>
    <x v="71"/>
    <x v="0"/>
    <x v="8"/>
    <s v="Scientist, Biology"/>
    <x v="0"/>
    <s v="Counted for 2025"/>
    <x v="0"/>
    <x v="0"/>
    <x v="0"/>
    <s v="HIRED: Anu Rose Anto"/>
    <n v="10024"/>
    <s v="ATA-Dani"/>
    <s v="Sarcomere biochemisty"/>
    <m/>
    <m/>
    <m/>
    <m/>
    <m/>
    <x v="0"/>
    <x v="0"/>
    <s v="Included In Budget (Current FTE)"/>
    <s v="x"/>
    <s v="105 Research and Translational Science"/>
    <s v="OK"/>
    <s v="Anu Anto"/>
    <s v="02. Manager / Scientist"/>
    <s v="Scientist, Biology"/>
    <d v="2024-08-19T00:00:00"/>
    <m/>
  </r>
  <r>
    <n v="1187"/>
    <x v="5"/>
    <x v="18"/>
    <x v="70"/>
    <x v="0"/>
    <x v="8"/>
    <s v="Scientist, In Vitro Pharmacology"/>
    <x v="0"/>
    <s v="Counted for 2025"/>
    <x v="0"/>
    <x v="0"/>
    <x v="0"/>
    <s v="HIRED: Saffie Mohran"/>
    <n v="10053"/>
    <s v="Dani"/>
    <s v="In vitro pharm"/>
    <m/>
    <m/>
    <m/>
    <m/>
    <m/>
    <x v="0"/>
    <x v="0"/>
    <s v="Included In Budget (Current FTE)"/>
    <s v="x"/>
    <s v="105 Research and Translational Science"/>
    <s v="OK"/>
    <s v="Saffie Mohran"/>
    <s v="02. Manager / Scientist"/>
    <s v="Scientist, In Vitro Pharmacology"/>
    <d v="2024-09-16T00:00:00"/>
    <m/>
  </r>
  <r>
    <n v="1154"/>
    <x v="5"/>
    <x v="18"/>
    <x v="61"/>
    <x v="0"/>
    <x v="5"/>
    <s v="Vice President, New Targets"/>
    <x v="0"/>
    <s v="Counted for 2025"/>
    <x v="9"/>
    <x v="0"/>
    <x v="0"/>
    <s v="HIRED: Hector Rodriguez"/>
    <n v="10143"/>
    <s v="UA"/>
    <s v="Cardiac biology"/>
    <m/>
    <m/>
    <s v="Experienced Leader"/>
    <m/>
    <m/>
    <x v="0"/>
    <x v="0"/>
    <s v="Included In Budget (Current FTE)"/>
    <s v="x"/>
    <s v="105 Research and Translational Science"/>
    <s v="OK"/>
    <s v="Hector Manuel Rodriguez"/>
    <s v="08. VP"/>
    <s v="Vice President, New Targets"/>
    <d v="2025-02-18T00:00:00"/>
    <m/>
  </r>
  <r>
    <n v="1173"/>
    <x v="5"/>
    <x v="18"/>
    <x v="72"/>
    <x v="0"/>
    <x v="3"/>
    <s v="Associate Scientist, Biochemistry"/>
    <x v="0"/>
    <s v="Counted for 2025"/>
    <x v="1"/>
    <x v="0"/>
    <x v="1"/>
    <s v="HIRED: Christina Rivera"/>
    <n v="10259"/>
    <s v="Dani"/>
    <s v="Sarcomere biochemisty"/>
    <m/>
    <m/>
    <m/>
    <m/>
    <m/>
    <x v="3"/>
    <x v="0"/>
    <s v="Included In Budget (Current FTE)"/>
    <s v="x"/>
    <s v="105 Research and Translational Science"/>
    <s v="OK"/>
    <s v="Christine Rivera"/>
    <s v="02. Manager / Scientist"/>
    <s v="Associate Scientist, Biochemistry"/>
    <d v="2025-08-11T00:00:00"/>
    <m/>
  </r>
  <r>
    <n v="1155"/>
    <x v="5"/>
    <x v="18"/>
    <x v="42"/>
    <x v="0"/>
    <x v="7"/>
    <s v="Associate Director, New Targets"/>
    <x v="0"/>
    <s v="Include"/>
    <x v="2"/>
    <x v="0"/>
    <x v="1"/>
    <s v="HIRED: Thula Ranjasingham"/>
    <n v="10334"/>
    <s v="UA"/>
    <s v="Cardiac biology"/>
    <m/>
    <s v="Support for new target role"/>
    <m/>
    <m/>
    <m/>
    <x v="1"/>
    <x v="0"/>
    <s v="Included In Budget (Current FTE)"/>
    <s v="x"/>
    <s v="105 Research and Translational Science"/>
    <s v="OK"/>
    <s v="TBD"/>
    <s v="02. Manager / Scientist"/>
    <s v="Scientist, Biology"/>
    <d v="2026-03-15T00:00:00"/>
    <s v="Recruit now"/>
  </r>
  <r>
    <n v="1170"/>
    <x v="5"/>
    <x v="18"/>
    <x v="73"/>
    <x v="0"/>
    <x v="3"/>
    <s v="Associate Scientist, Molecular Biology"/>
    <x v="0"/>
    <s v="#2"/>
    <x v="2"/>
    <x v="0"/>
    <x v="1"/>
    <s v="HIRED: Hannah Kleppe"/>
    <n v="10255"/>
    <s v="ATA-TLA"/>
    <s v="Biochem/biophys - TLA in vitro assays"/>
    <s v="Mechanism(s) for TLA AND in vitro PoC for mRNA (CORIN/ANP) or FABP4 program"/>
    <s v="AGT Assays - Molelcular Biology - In house experiments for TLA mechanism and differentiation"/>
    <m/>
    <m/>
    <m/>
    <x v="0"/>
    <x v="0"/>
    <s v="Included In Budget (Current FTE)"/>
    <s v="x"/>
    <s v="105 Research and Translational Science"/>
    <s v="OK"/>
    <s v="CW: Hannah Kleppe"/>
    <s v="01. IC / Coordinator"/>
    <s v="SRA, Biology"/>
    <d v="2026-03-15T00:00:00"/>
    <s v="Convert to FTE in Jan."/>
  </r>
  <r>
    <n v="5284"/>
    <x v="5"/>
    <x v="18"/>
    <x v="70"/>
    <x v="0"/>
    <x v="7"/>
    <s v="Staff Scientist, Associate Director, Comp. Biology"/>
    <x v="0"/>
    <n v="1"/>
    <x v="3"/>
    <x v="2"/>
    <x v="0"/>
    <m/>
    <m/>
    <s v="UA"/>
    <s v="Expansion of Computational Biology / Informatics"/>
    <s v="Need for a group leader"/>
    <m/>
    <m/>
    <m/>
    <m/>
    <x v="0"/>
    <x v="3"/>
    <s v="Included In Budget (Open Role)"/>
    <s v="x"/>
    <s v="105 Research and Translational Science"/>
    <s v="OK"/>
    <s v="TBD"/>
    <s v="04. AD / Staff Scientist"/>
    <s v="Staff Scientist, Associate Director, Comp. Biology"/>
    <d v="2026-12-15T00:00:00"/>
    <m/>
  </r>
  <r>
    <n v="1194"/>
    <x v="5"/>
    <x v="26"/>
    <x v="53"/>
    <x v="0"/>
    <x v="7"/>
    <s v="Staff Scientist, Director, In Vivo Pharmacology &amp; Attending Vet"/>
    <x v="0"/>
    <s v="Counted for 2025"/>
    <x v="0"/>
    <x v="0"/>
    <x v="0"/>
    <s v="HIRED: Beth Geist"/>
    <n v="10025"/>
    <s v="ATA-TLA-Dani"/>
    <s v="In vivo pharmacology"/>
    <m/>
    <m/>
    <m/>
    <m/>
    <m/>
    <x v="0"/>
    <x v="0"/>
    <s v="Included In Budget (Current FTE)"/>
    <s v="x"/>
    <s v="115 In Vivo Research"/>
    <s v="OK"/>
    <s v="Beth Geist"/>
    <s v="04. AD / Staff Scientist"/>
    <s v="Staff Scientist, Director, In Vivo Pharmacology &amp; Attending Vet"/>
    <d v="2024-08-12T00:00:00"/>
    <m/>
  </r>
  <r>
    <n v="1191"/>
    <x v="5"/>
    <x v="26"/>
    <x v="68"/>
    <x v="0"/>
    <x v="6"/>
    <s v="Senior Scientist, In Vivo Pharmacology"/>
    <x v="0"/>
    <s v="Counted for 2025"/>
    <x v="0"/>
    <x v="0"/>
    <x v="0"/>
    <s v="HIRED: Chris Zambataro"/>
    <n v="10026"/>
    <s v="ATA-TLA-Dani"/>
    <s v="In vivo pharmacology"/>
    <m/>
    <m/>
    <m/>
    <m/>
    <m/>
    <x v="0"/>
    <x v="0"/>
    <s v="Included In Budget (Current FTE)"/>
    <s v="x"/>
    <s v="115 In Vivo Research"/>
    <s v="OK"/>
    <s v="Chris Zambataro"/>
    <s v="03. Sr. Manager / Sr. Scientist"/>
    <s v="Senior Scientist, In Vivo Pharmacology"/>
    <d v="2024-08-12T00:00:00"/>
    <m/>
  </r>
  <r>
    <n v="1193"/>
    <x v="5"/>
    <x v="26"/>
    <x v="68"/>
    <x v="0"/>
    <x v="8"/>
    <s v="Vivarium Manager"/>
    <x v="0"/>
    <s v="Counted for 2025"/>
    <x v="9"/>
    <x v="0"/>
    <x v="1"/>
    <s v="HIRED: Brooke Cobb"/>
    <n v="10189"/>
    <s v="UA"/>
    <s v="Vivarium Manager"/>
    <m/>
    <m/>
    <m/>
    <m/>
    <m/>
    <x v="0"/>
    <x v="0"/>
    <s v="Included In Budget (Current FTE)"/>
    <s v="x"/>
    <s v="115 In Vivo Research"/>
    <s v="OK"/>
    <s v="Brooke Cobb"/>
    <s v="02. Manager / Scientist"/>
    <s v="Vivarium Manager"/>
    <d v="2025-03-31T00:00:00"/>
    <m/>
  </r>
  <r>
    <n v="1179"/>
    <x v="5"/>
    <x v="26"/>
    <x v="74"/>
    <x v="0"/>
    <x v="3"/>
    <s v="Research Assistant, In Vivo Pharmacology"/>
    <x v="0"/>
    <s v="Counted for 2025"/>
    <x v="1"/>
    <x v="0"/>
    <x v="1"/>
    <s v="HIRED: Enkhjin Bat-Erdene"/>
    <n v="10260"/>
    <s v="ATA-TLA-Dani"/>
    <s v="Modeling/Visualization (DATA)"/>
    <m/>
    <m/>
    <m/>
    <m/>
    <m/>
    <x v="3"/>
    <x v="0"/>
    <s v="Included In Budget (Current FTE)"/>
    <s v="x"/>
    <s v="115 In Vivo Research"/>
    <s v="OK"/>
    <s v="Enkhjin Bat-Erdene"/>
    <s v="02. Manager / Scientist"/>
    <s v="Research Assistant, In Vivo Pharmacology"/>
    <d v="2025-08-11T00:00:00"/>
    <m/>
  </r>
  <r>
    <n v="1178"/>
    <x v="5"/>
    <x v="26"/>
    <x v="70"/>
    <x v="0"/>
    <x v="8"/>
    <s v="Applied Machine Learning Scientist"/>
    <x v="1"/>
    <s v="#4 - Counted for 2025"/>
    <x v="2"/>
    <x v="0"/>
    <x v="1"/>
    <s v="HIRED: Daniel Edelberg"/>
    <n v="10176"/>
    <s v="UA"/>
    <s v="ML/AI"/>
    <s v="Need for AI/ML Analysis"/>
    <s v="NOW, availability of ECG data and in-house multi-omic data to process"/>
    <m/>
    <m/>
    <m/>
    <x v="0"/>
    <x v="0"/>
    <s v="Included In Budget (Current FTE)"/>
    <s v="x"/>
    <s v="105 Research and Translational Science"/>
    <s v="Confirm w/ P&amp;C"/>
    <s v="Daniel Edelberg"/>
    <s v="02. Manager / Scientist"/>
    <s v="Scientist, TM"/>
    <d v="2026-03-15T00:00:00"/>
    <s v="Convert to FTE in Jan."/>
  </r>
  <r>
    <n v="5337"/>
    <x v="10"/>
    <x v="27"/>
    <x v="75"/>
    <x v="0"/>
    <x v="4"/>
    <s v="Director, Supply Chain Planning"/>
    <x v="1"/>
    <s v="Business Critical"/>
    <x v="11"/>
    <x v="2"/>
    <x v="3"/>
    <s v=""/>
    <m/>
    <s v="ATA-TLA-Dani"/>
    <s v="Planning for multiple assets, future growth and a large CMO network"/>
    <s v="Multiple assets "/>
    <s v="Increasing CMO Network; SC complexity"/>
    <s v="Technical Expert"/>
    <s v=" "/>
    <m/>
    <x v="0"/>
    <x v="0"/>
    <s v="Included In Budget (Open Role)"/>
    <s v="x"/>
    <s v="410 Manufacturing"/>
    <s v="Confirm w/ P&amp;C"/>
    <s v="TBD"/>
    <s v="05. Director"/>
    <s v="Director, Supply Chain Planning"/>
    <d v="2026-12-15T00:00:00"/>
    <m/>
  </r>
  <r>
    <n v="1199"/>
    <x v="10"/>
    <x v="27"/>
    <x v="76"/>
    <x v="2"/>
    <x v="6"/>
    <s v="Sr. Manager, Clinical Supply Chain"/>
    <x v="0"/>
    <s v=""/>
    <x v="9"/>
    <x v="3"/>
    <x v="0"/>
    <s v="CW: Carlos Castro"/>
    <m/>
    <s v="ATA-TLA-Dani"/>
    <s v="Clinical Supply Chain &amp; distribution and logistics for DS &amp; DP (~ 15-20 hrs / week)"/>
    <s v=""/>
    <s v=""/>
    <s v=""/>
    <s v=" "/>
    <m/>
    <x v="4"/>
    <x v="4"/>
    <s v="N/A (CW)"/>
    <m/>
    <e v="#N/A"/>
    <s v="N/A (CW)"/>
    <e v="#N/A"/>
    <e v="#N/A"/>
    <e v="#N/A"/>
    <e v="#N/A"/>
    <m/>
  </r>
  <r>
    <n v="1209"/>
    <x v="10"/>
    <x v="27"/>
    <x v="77"/>
    <x v="2"/>
    <x v="6"/>
    <s v="External Manufacturing"/>
    <x v="0"/>
    <s v=""/>
    <x v="9"/>
    <x v="3"/>
    <x v="0"/>
    <s v="CW: Frosina Kanova"/>
    <m/>
    <s v="ATA-TLA-Dani"/>
    <s v="Contracts &amp; POs coordination for Tech Ops (~35-40 hrs per week)"/>
    <s v=""/>
    <s v=""/>
    <s v=""/>
    <s v=" "/>
    <m/>
    <x v="4"/>
    <x v="4"/>
    <s v="N/A (CW)"/>
    <m/>
    <e v="#N/A"/>
    <s v="N/A (CW)"/>
    <e v="#N/A"/>
    <e v="#N/A"/>
    <e v="#N/A"/>
    <e v="#N/A"/>
    <m/>
  </r>
  <r>
    <n v="1045"/>
    <x v="10"/>
    <x v="28"/>
    <x v="76"/>
    <x v="0"/>
    <x v="6"/>
    <s v="Senior Manager, Clinical Supply Chain"/>
    <x v="0"/>
    <s v=""/>
    <x v="0"/>
    <x v="0"/>
    <x v="0"/>
    <s v="HIRED: Jennifer Banh"/>
    <n v="10063"/>
    <s v="ATA"/>
    <s v="Clinical Supply Chain: Forecasting, inventory management, label/pack, IRT, study oversight"/>
    <s v="ATA-301"/>
    <s v=""/>
    <s v=""/>
    <m/>
    <m/>
    <x v="0"/>
    <x v="0"/>
    <s v="Included In Budget (Current FTE)"/>
    <s v="x"/>
    <s v="410 Manufacturing"/>
    <s v="OK"/>
    <s v="Jennifer Banh"/>
    <s v="03. Sr. Manager / Sr. Scientist"/>
    <s v="Senior Manager, Clinical Supply Chain"/>
    <d v="2024-08-26T00:00:00"/>
    <m/>
  </r>
  <r>
    <n v="1222"/>
    <x v="10"/>
    <x v="28"/>
    <x v="0"/>
    <x v="0"/>
    <x v="0"/>
    <s v="Chief Technical Operations Officer"/>
    <x v="1"/>
    <m/>
    <x v="6"/>
    <x v="0"/>
    <x v="0"/>
    <s v="HIRED: Donald Mackenzie"/>
    <n v="10088"/>
    <s v="ATA-TLA-Dani"/>
    <s v="Tech Ops Leader"/>
    <m/>
    <m/>
    <s v="Experienced Leader"/>
    <m/>
    <m/>
    <x v="0"/>
    <x v="0"/>
    <s v="Included In Budget (Current FTE)"/>
    <s v="x"/>
    <s v="410 Manufacturing"/>
    <s v="OK"/>
    <s v="Donald Mackenzie"/>
    <s v="10. C-Suite"/>
    <s v="Chief Technical Operations Officer"/>
    <d v="2024-10-28T00:00:00"/>
    <m/>
  </r>
  <r>
    <n v="1220"/>
    <x v="10"/>
    <x v="28"/>
    <x v="78"/>
    <x v="0"/>
    <x v="5"/>
    <s v="Vice President, Drug Product Development"/>
    <x v="1"/>
    <s v="Business Critical"/>
    <x v="9"/>
    <x v="0"/>
    <x v="0"/>
    <s v="HIRED: Rennan Pan"/>
    <n v="10140"/>
    <s v="ATA-TLA-Dani"/>
    <s v="Product Development"/>
    <s v="Lead DP dev for TLA; Manage DPD for all other projects"/>
    <s v="CTOO hired"/>
    <s v="Experienced Leader"/>
    <m/>
    <m/>
    <x v="0"/>
    <x v="0"/>
    <s v="Included In Budget (Current FTE)"/>
    <s v="x"/>
    <s v="410 Manufacturing"/>
    <s v="OK"/>
    <s v="Rennan Pan"/>
    <s v="08. VP"/>
    <s v="Head of DP Development"/>
    <d v="2025-01-13T00:00:00"/>
    <m/>
  </r>
  <r>
    <n v="1218"/>
    <x v="10"/>
    <x v="28"/>
    <x v="78"/>
    <x v="0"/>
    <x v="5"/>
    <s v="Vice President, Head of Analytical Development"/>
    <x v="1"/>
    <s v=""/>
    <x v="9"/>
    <x v="0"/>
    <x v="0"/>
    <s v="HIRED: Leon Zhou"/>
    <n v="10173"/>
    <s v="ATA-TLA-Dani"/>
    <s v="Analytical Science"/>
    <s v=""/>
    <s v=""/>
    <s v="Experienced Leader"/>
    <m/>
    <m/>
    <x v="0"/>
    <x v="0"/>
    <s v="Included In Budget (Current FTE)"/>
    <s v="x"/>
    <s v="410 Manufacturing"/>
    <s v="OK"/>
    <s v="Leon Zhou"/>
    <s v="08. VP"/>
    <s v="Head of Analytical Development"/>
    <d v="2025-03-17T00:00:00"/>
    <m/>
  </r>
  <r>
    <n v="1206"/>
    <x v="10"/>
    <x v="28"/>
    <x v="78"/>
    <x v="0"/>
    <x v="5"/>
    <s v="Vice President, Head of External Manufacturing and Supply Chain"/>
    <x v="0"/>
    <s v=""/>
    <x v="9"/>
    <x v="0"/>
    <x v="0"/>
    <s v="HIRED: Amelia Milani"/>
    <n v="10174"/>
    <s v="ATA-TLA-Dani"/>
    <s v="External Manufacturing and Supply Chain"/>
    <s v=""/>
    <s v=""/>
    <s v="Experienced Leader"/>
    <m/>
    <m/>
    <x v="0"/>
    <x v="0"/>
    <s v="Included In Budget (Current FTE)"/>
    <s v="x"/>
    <s v="410 Manufacturing"/>
    <s v="OK"/>
    <s v="Amelia Milani"/>
    <s v="08. VP"/>
    <s v="Head of External Manufacturing and Supply Chain"/>
    <d v="2025-03-31T00:00:00"/>
    <m/>
  </r>
  <r>
    <n v="1200"/>
    <x v="10"/>
    <x v="28"/>
    <x v="79"/>
    <x v="0"/>
    <x v="2"/>
    <s v="Senior Director, Analytical Development"/>
    <x v="1"/>
    <s v=""/>
    <x v="9"/>
    <x v="0"/>
    <x v="0"/>
    <s v="HIRED: Esteban Bornancini"/>
    <n v="10109"/>
    <s v="ATA-TLA-Dani"/>
    <s v="Analytical Science"/>
    <s v=""/>
    <s v=""/>
    <s v="Technical Expert"/>
    <m/>
    <m/>
    <x v="0"/>
    <x v="0"/>
    <s v="Included In Budget (Current FTE)"/>
    <s v="x"/>
    <s v="410 Manufacturing"/>
    <s v="OK"/>
    <s v="Esteban Bornancini"/>
    <s v="06. Sr. Director"/>
    <s v="Sr Director, Analytical Development"/>
    <d v="2025-02-18T00:00:00"/>
    <m/>
  </r>
  <r>
    <n v="1221"/>
    <x v="10"/>
    <x v="28"/>
    <x v="78"/>
    <x v="0"/>
    <x v="2"/>
    <s v="Senior Director, CMC Strategy &amp; Chief of Staff"/>
    <x v="0"/>
    <s v=""/>
    <x v="9"/>
    <x v="0"/>
    <x v="0"/>
    <s v="HIRED: William Walker"/>
    <n v="10149"/>
    <s v="ATA-TLA-Dani"/>
    <s v="CMC leadership, planning and strategy, chief-of-staff"/>
    <s v=""/>
    <s v=""/>
    <s v="Emerging Leader"/>
    <m/>
    <m/>
    <x v="0"/>
    <x v="0"/>
    <s v="Included In Budget (Current FTE)"/>
    <s v="x"/>
    <s v="410 Manufacturing"/>
    <s v="OK"/>
    <s v="William Walker"/>
    <s v="06. Sr. Director"/>
    <s v="CMC Strategy and Chief of Staff"/>
    <d v="2025-02-24T00:00:00"/>
    <m/>
  </r>
  <r>
    <n v="1196"/>
    <x v="10"/>
    <x v="28"/>
    <x v="80"/>
    <x v="0"/>
    <x v="2"/>
    <s v="Senior Director, Clinical Supply Chain"/>
    <x v="0"/>
    <s v=""/>
    <x v="7"/>
    <x v="0"/>
    <x v="0"/>
    <s v="HIRED: Taylor Elkington"/>
    <n v="10221"/>
    <s v="ATA-TLA-Dani"/>
    <s v="Clinical Supply Chain leadership and forecasting, inventory management, label/pack, IRT, study oversight"/>
    <s v="Multiple assets "/>
    <s v=""/>
    <s v=""/>
    <m/>
    <m/>
    <x v="0"/>
    <x v="0"/>
    <s v="Included In Budget (Current FTE)"/>
    <s v="x"/>
    <s v="410 Manufacturing"/>
    <s v="OK"/>
    <s v="Taylor Elkington"/>
    <s v="06. Sr. Director"/>
    <s v="Senior Director, Clinical Supply Chain"/>
    <d v="2025-05-27T00:00:00"/>
    <m/>
  </r>
  <r>
    <n v="1214"/>
    <x v="10"/>
    <x v="28"/>
    <x v="81"/>
    <x v="0"/>
    <x v="2"/>
    <s v="Senior Director, Drug Product Development"/>
    <x v="1"/>
    <s v="Business Critical"/>
    <x v="7"/>
    <x v="0"/>
    <x v="0"/>
    <s v="HIRED: Gang Yang"/>
    <n v="10192"/>
    <s v="Dani"/>
    <s v="Product Development"/>
    <s v="Lead DP dev for Dani"/>
    <s v="Plan endorsed for Dani clinical studies"/>
    <s v="Technical Expert"/>
    <m/>
    <m/>
    <x v="0"/>
    <x v="0"/>
    <s v="Included In Budget (Current FTE)"/>
    <s v="x"/>
    <s v="410 Manufacturing"/>
    <s v="OK"/>
    <s v="Gang Yang"/>
    <s v="06. Sr. Director"/>
    <s v="Sr Director, DP Development"/>
    <d v="2025-04-07T00:00:00"/>
    <m/>
  </r>
  <r>
    <n v="1207"/>
    <x v="10"/>
    <x v="28"/>
    <x v="80"/>
    <x v="0"/>
    <x v="2"/>
    <s v="Senior Director, External Manufacturing"/>
    <x v="0"/>
    <s v=""/>
    <x v="7"/>
    <x v="0"/>
    <x v="0"/>
    <s v="HIRED: Erika Riffel"/>
    <n v="10240"/>
    <s v="ATA-TLA-Dani"/>
    <s v="External mfg oversight: contracts, procure to pay, BD relationship mgmt &amp; CMO performance oversight"/>
    <s v="Multiple assets "/>
    <s v=""/>
    <s v=""/>
    <m/>
    <m/>
    <x v="0"/>
    <x v="0"/>
    <s v="Included In Budget (Current FTE)"/>
    <s v="x"/>
    <s v="410 Manufacturing"/>
    <s v="OK"/>
    <s v="Erika Riffel"/>
    <s v="06. Sr. Director"/>
    <s v="Senior Director, External Manufacturing"/>
    <d v="2025-06-30T00:00:00"/>
    <m/>
  </r>
  <r>
    <n v="1197"/>
    <x v="10"/>
    <x v="28"/>
    <x v="80"/>
    <x v="0"/>
    <x v="2"/>
    <s v="Senior Director, Head of Planning"/>
    <x v="0"/>
    <s v=""/>
    <x v="7"/>
    <x v="0"/>
    <x v="0"/>
    <s v="HIRED: Aaron Misrack"/>
    <n v="10229"/>
    <s v="ATA-TLA-Dani"/>
    <s v="Clinical and commercial planning, current and future assets, S&amp;OP and SC resilience"/>
    <s v="Multiple assets "/>
    <s v=""/>
    <s v=""/>
    <m/>
    <m/>
    <x v="0"/>
    <x v="0"/>
    <s v="Included In Budget (Current FTE)"/>
    <s v="x"/>
    <s v="410 Manufacturing"/>
    <s v="OK"/>
    <s v="Aaron Misrack"/>
    <s v="06. Sr. Director"/>
    <s v="Sr Director, Demand Planning"/>
    <d v="2025-06-16T00:00:00"/>
    <m/>
  </r>
  <r>
    <n v="1215"/>
    <x v="10"/>
    <x v="28"/>
    <x v="81"/>
    <x v="0"/>
    <x v="2"/>
    <s v="Senior Director, Drug Product Development"/>
    <x v="1"/>
    <s v="Business Critical"/>
    <x v="1"/>
    <x v="0"/>
    <x v="0"/>
    <s v="HIRED: Deepak Mundhra"/>
    <n v="10104"/>
    <s v="ATA"/>
    <s v="Product Development"/>
    <s v="To lead DP development for ATA"/>
    <s v="IND submission for ATA-301 study"/>
    <s v="Technical Expert"/>
    <m/>
    <m/>
    <x v="0"/>
    <x v="0"/>
    <s v="Included In Budget (Current FTE)"/>
    <s v="x"/>
    <s v="410 Manufacturing"/>
    <s v="OK"/>
    <s v="Deepak Mundhra"/>
    <s v="06. Sr. Director"/>
    <s v="Sr Dir (ATA) - DP"/>
    <d v="2025-09-29T00:00:00"/>
    <m/>
  </r>
  <r>
    <n v="1201"/>
    <x v="10"/>
    <x v="28"/>
    <x v="79"/>
    <x v="0"/>
    <x v="4"/>
    <s v="Director, Analytical Development"/>
    <x v="1"/>
    <s v="Business Critical"/>
    <x v="8"/>
    <x v="0"/>
    <x v="0"/>
    <s v="HIRED: Qin Xiang"/>
    <n v="10311"/>
    <s v="ATA-TLA-Dani"/>
    <s v="Analytical Science"/>
    <s v=""/>
    <s v=""/>
    <s v="Technical Expert"/>
    <s v=" "/>
    <m/>
    <x v="0"/>
    <x v="0"/>
    <s v="Included In Budget (Current FTE)"/>
    <s v="x"/>
    <s v="410 Manufacturing"/>
    <s v="OK"/>
    <s v="Qin Xiang"/>
    <s v="05. Director"/>
    <s v="Director, Analytical Development"/>
    <d v="2025-12-15T00:00:00"/>
    <m/>
  </r>
  <r>
    <n v="5318"/>
    <x v="10"/>
    <x v="28"/>
    <x v="76"/>
    <x v="0"/>
    <x v="6"/>
    <s v="Senior Manager, Clinical Supply Chain"/>
    <x v="0"/>
    <s v="Business Critical"/>
    <x v="8"/>
    <x v="0"/>
    <x v="0"/>
    <s v="HIRED: Norris Ng"/>
    <n v="10296"/>
    <s v="Dani"/>
    <s v="Clinical Supply Chain"/>
    <s v="DAN-301"/>
    <s v="DAN-301"/>
    <s v="Technical Expert"/>
    <m/>
    <m/>
    <x v="0"/>
    <x v="0"/>
    <s v="Included In Budget (Current FTE)"/>
    <s v="x"/>
    <s v="410 Manufacturing"/>
    <s v="OK"/>
    <s v="Norris Ng"/>
    <s v="03. Sr. Manager / Sr. Scientist"/>
    <s v="Senior Manager, Clinical Supply Chain"/>
    <d v="2025-11-17T00:00:00"/>
    <m/>
  </r>
  <r>
    <n v="1216"/>
    <x v="10"/>
    <x v="28"/>
    <x v="82"/>
    <x v="0"/>
    <x v="2"/>
    <s v="Sr Director/Director, API / Drug Substance"/>
    <x v="1"/>
    <s v=""/>
    <x v="2"/>
    <x v="1"/>
    <x v="3"/>
    <s v="BACKFILL: Vijaya Gondi"/>
    <m/>
    <s v="ATA-TLA-Dani"/>
    <s v="Product Development"/>
    <s v=""/>
    <s v=""/>
    <s v="Technical Expert"/>
    <m/>
    <m/>
    <x v="0"/>
    <x v="0"/>
    <s v="Included In Budget (Open Role)"/>
    <s v="x"/>
    <s v="410 Manufacturing"/>
    <s v="OK"/>
    <s v="Backfill: Vijaya Bhasker Gondi"/>
    <s v="06. Sr. Director"/>
    <s v="Sr Director/Director, API / Drug Substance"/>
    <d v="2026-03-15T00:00:00"/>
    <m/>
  </r>
  <r>
    <n v="1217"/>
    <x v="10"/>
    <x v="28"/>
    <x v="82"/>
    <x v="0"/>
    <x v="4"/>
    <s v="Director/Assoc Director DS "/>
    <x v="0"/>
    <s v="Business Critical"/>
    <x v="2"/>
    <x v="1"/>
    <x v="3"/>
    <s v=""/>
    <m/>
    <s v="TLA"/>
    <s v="TLA and ATA Program Development "/>
    <s v=""/>
    <s v="TLA Process Characterization Pre PPQ  and NDA Authoring  TLA 301 Study "/>
    <s v="Technical Expert"/>
    <s v=" "/>
    <m/>
    <x v="0"/>
    <x v="0"/>
    <s v="Included In Budget (Open Role)"/>
    <s v="x"/>
    <s v="410 Manufacturing"/>
    <s v="OK"/>
    <s v="TBD"/>
    <s v="05. Director"/>
    <s v="Director/Assoc Director DS "/>
    <d v="2025-12-15T00:00:00"/>
    <m/>
  </r>
  <r>
    <n v="1219"/>
    <x v="10"/>
    <x v="28"/>
    <x v="78"/>
    <x v="0"/>
    <x v="5"/>
    <s v="Head of API / Drug Substance"/>
    <x v="1"/>
    <s v=""/>
    <x v="2"/>
    <x v="1"/>
    <x v="3"/>
    <s v="BACKFILL: Gus Kodersha"/>
    <m/>
    <s v="ATA-TLA-Dani"/>
    <s v="Drug Substance Development"/>
    <s v=""/>
    <s v=""/>
    <s v="Experienced Leader"/>
    <m/>
    <m/>
    <x v="0"/>
    <x v="0"/>
    <s v="Included In Budget (Open Role)"/>
    <s v="x"/>
    <s v="410 Manufacturing"/>
    <s v="OK"/>
    <s v="Gus Kodersha"/>
    <s v="08. VP"/>
    <s v="Head of API / Drug Substance"/>
    <d v="2025-03-24T00:00:00"/>
    <m/>
  </r>
  <r>
    <n v="1391"/>
    <x v="10"/>
    <x v="28"/>
    <x v="77"/>
    <x v="0"/>
    <x v="7"/>
    <s v="Associate Director, External Mfg."/>
    <x v="1"/>
    <s v="Business Critical"/>
    <x v="2"/>
    <x v="0"/>
    <x v="3"/>
    <s v="HIRED: Nrupa Patel"/>
    <n v="10353"/>
    <s v="ATA-Dani"/>
    <s v="CMO mgmt &amp; oversight"/>
    <s v="Multiple assets "/>
    <s v="Needed since June 2025"/>
    <s v="Emerging Leader"/>
    <s v=" "/>
    <m/>
    <x v="0"/>
    <x v="0"/>
    <s v="Included In Budget (Current FTE)"/>
    <s v="x"/>
    <s v="410 Manufacturing"/>
    <s v="OK"/>
    <s v="TBD"/>
    <s v="04. AD / Staff Scientist"/>
    <s v="Associate Director, External Mfg."/>
    <d v="2025-12-15T00:00:00"/>
    <m/>
  </r>
  <r>
    <n v="1393"/>
    <x v="10"/>
    <x v="28"/>
    <x v="76"/>
    <x v="0"/>
    <x v="7"/>
    <s v="Associate Director, Clinical Supply Chain"/>
    <x v="0"/>
    <s v="Business Critical"/>
    <x v="2"/>
    <x v="0"/>
    <x v="0"/>
    <s v="HIRED: Abe Nagi"/>
    <n v="10300"/>
    <s v="ATA"/>
    <s v="Clinical Supply Chain"/>
    <s v="TLA-301"/>
    <s v="TLA-301"/>
    <s v="Technical Expert"/>
    <m/>
    <m/>
    <x v="0"/>
    <x v="0"/>
    <s v="Included In Budget (Current FTE)"/>
    <s v="x"/>
    <s v="410 Manufacturing"/>
    <s v="OK"/>
    <s v="Abe Nagi"/>
    <s v="04. AD / Staff Scientist"/>
    <s v="Associate Director, Clinical Supply Chain"/>
    <d v="2026-01-05T00:00:00"/>
    <m/>
  </r>
  <r>
    <n v="5305"/>
    <x v="10"/>
    <x v="28"/>
    <x v="79"/>
    <x v="0"/>
    <x v="4"/>
    <s v="Director, Analytical Development"/>
    <x v="0"/>
    <s v="Business Critical"/>
    <x v="2"/>
    <x v="1"/>
    <x v="3"/>
    <s v=""/>
    <m/>
    <s v="ATA-TLA-Dani"/>
    <s v="Analytical Science"/>
    <s v="TLA/ATA PPQ"/>
    <s v="TLA/ATA PPQ"/>
    <s v="Technical Expert"/>
    <s v=" "/>
    <m/>
    <x v="1"/>
    <x v="0"/>
    <s v="Included In Budget (Open Role)"/>
    <s v="x"/>
    <s v="410 Manufacturing"/>
    <s v="OK"/>
    <s v="TBD"/>
    <s v="04. AD / Staff Scientist"/>
    <s v="Associate Director, Analytical Development"/>
    <d v="2026-03-15T00:00:00"/>
    <m/>
  </r>
  <r>
    <n v="5328"/>
    <x v="10"/>
    <x v="28"/>
    <x v="83"/>
    <x v="0"/>
    <x v="6"/>
    <s v="Senior Manager, Technical Operations Program Manager"/>
    <x v="0"/>
    <s v="Business Critical"/>
    <x v="2"/>
    <x v="0"/>
    <x v="3"/>
    <s v="HIRED: Roshan Yoganathan"/>
    <n v="10335"/>
    <s v="ATA-TLA"/>
    <s v="Project management within CMC / Tech Ops, owning timelines, RAID, meetings, and cross-fcungional coordination across Tech Ops"/>
    <s v="Enable execution of Tech Ops operating model (meetings, timeline, actions, RAID, etc.) driven by increasing complexity of deliverables"/>
    <s v="ATA program in late-stage development"/>
    <s v="Experienced Leader"/>
    <s v=" "/>
    <m/>
    <x v="0"/>
    <x v="0"/>
    <s v="Included In Budget (Current FTE)"/>
    <s v="x"/>
    <s v="410 Manufacturing"/>
    <s v="OK"/>
    <s v="TBD"/>
    <s v="03. Sr. Manager / Sr. Scientist"/>
    <s v="Tech Ops Program Manager"/>
    <d v="2026-03-15T00:00:00"/>
    <m/>
  </r>
  <r>
    <n v="5327"/>
    <x v="10"/>
    <x v="28"/>
    <x v="83"/>
    <x v="0"/>
    <x v="6"/>
    <s v="Tech Ops Program Lead (TOPL)"/>
    <x v="0"/>
    <s v="Business Critical"/>
    <x v="3"/>
    <x v="1"/>
    <x v="3"/>
    <s v=""/>
    <m/>
    <s v="ATA"/>
    <s v="Strategic, cross-functional leadership of Tech Ops program, accountable for development, NDA readiness, risks mgmt, and EC / GPT interface"/>
    <s v="Multiple and concurrent early to late stage programs requiring dedicated strategic leadership to manage cross-functional Tech Ops activities"/>
    <s v="ATA program in late-stage development"/>
    <s v="Experienced Leader"/>
    <s v=" "/>
    <m/>
    <x v="3"/>
    <x v="0"/>
    <s v="Included In Budget (Open Role)"/>
    <s v="x"/>
    <s v="410 Manufacturing"/>
    <s v="OK"/>
    <s v="TBD"/>
    <s v="06. Sr. Director"/>
    <s v="Tech Ops Program Lead (TOPL)"/>
    <d v="2026-06-15T00:00:00"/>
    <m/>
  </r>
  <r>
    <n v="5329"/>
    <x v="10"/>
    <x v="28"/>
    <x v="83"/>
    <x v="0"/>
    <x v="2"/>
    <s v="Tech Ops Program Lead (TOPL)"/>
    <x v="0"/>
    <s v="Business Critical"/>
    <x v="3"/>
    <x v="2"/>
    <x v="3"/>
    <s v=""/>
    <m/>
    <s v="TLA-Dani"/>
    <s v="Strategic, cross-functional leadership of Tech Ops program, accountable for development, NDA readiness, risks mgmt, and EC / GPT interface"/>
    <s v="Multiple and concurrent early to late stage programs requiring dedicated strategic leadership to manage cross-functional Tech Ops activities"/>
    <s v="TLA Program in late-stage development"/>
    <s v="Experienced Leader"/>
    <s v=" "/>
    <m/>
    <x v="0"/>
    <x v="0"/>
    <s v="Included In Budget (Open Role)"/>
    <s v="x"/>
    <s v="410 Manufacturing"/>
    <s v="OK"/>
    <s v="TBD"/>
    <s v="06. Sr. Director"/>
    <s v="Tech Ops Program Lead (TOPL)"/>
    <d v="2026-06-15T00:00:00"/>
    <m/>
  </r>
  <r>
    <n v="5291"/>
    <x v="10"/>
    <x v="28"/>
    <x v="82"/>
    <x v="0"/>
    <x v="6"/>
    <s v="Assoc Director /Sr. Manager"/>
    <x v="1"/>
    <s v="Business Critical"/>
    <x v="3"/>
    <x v="2"/>
    <x v="3"/>
    <s v=""/>
    <m/>
    <s v="Dani"/>
    <s v="DANI Program Development "/>
    <s v=""/>
    <s v="DANI Proc Char and Pre PPQ and NDA Authoring "/>
    <s v="Technical Expert"/>
    <s v=" "/>
    <m/>
    <x v="0"/>
    <x v="1"/>
    <s v="Included In Budget (Open Role)"/>
    <s v="x"/>
    <s v="410 Manufacturing"/>
    <s v="OK"/>
    <s v="TBD"/>
    <s v="03. Sr. Manager / Sr. Scientist"/>
    <s v="Assoc Director /Sr. Manager"/>
    <d v="2026-03-15T00:00:00"/>
    <m/>
  </r>
  <r>
    <n v="1392"/>
    <x v="10"/>
    <x v="28"/>
    <x v="77"/>
    <x v="0"/>
    <x v="4"/>
    <s v="Director, External Mfg."/>
    <x v="1"/>
    <s v="Business Critical"/>
    <x v="5"/>
    <x v="2"/>
    <x v="3"/>
    <s v=""/>
    <m/>
    <s v="TLA-Dani"/>
    <s v="New CDMO selections, mgmt &amp; oversight, tech transfers, preparations for PPQ batches"/>
    <s v="Multiple assets "/>
    <s v="Programs advancing"/>
    <s v="Experienced Leader"/>
    <s v=" "/>
    <m/>
    <x v="0"/>
    <x v="0"/>
    <s v="Included In Budget (Open Role)"/>
    <s v="x"/>
    <s v="410 Manufacturing"/>
    <s v="OK"/>
    <s v="TBD"/>
    <s v="05. Director"/>
    <s v="Director, External Mfg."/>
    <d v="2026-09-15T00:00:00"/>
    <m/>
  </r>
  <r>
    <n v="5298"/>
    <x v="10"/>
    <x v="28"/>
    <x v="81"/>
    <x v="0"/>
    <x v="4"/>
    <s v="Dir/Associate Director - DP"/>
    <x v="1"/>
    <s v="Business Critical"/>
    <x v="5"/>
    <x v="2"/>
    <x v="3"/>
    <s v=""/>
    <m/>
    <s v="ATA"/>
    <s v="Product Development"/>
    <s v="To support NDA prep for ATA, ATA reformulation"/>
    <s v="FPI for ATA-301 study"/>
    <s v="Technical Expert"/>
    <s v=" "/>
    <m/>
    <x v="0"/>
    <x v="0"/>
    <s v="Included In Budget (Open Role)"/>
    <s v="x"/>
    <s v="410 Manufacturing"/>
    <s v="OK"/>
    <s v="TBD"/>
    <s v="05. Director"/>
    <s v="Dir/Associate Director - DP"/>
    <d v="2026-09-15T00:00:00"/>
    <m/>
  </r>
  <r>
    <n v="5292"/>
    <x v="10"/>
    <x v="28"/>
    <x v="82"/>
    <x v="0"/>
    <x v="7"/>
    <s v="Assoc Director /Sr. Manager"/>
    <x v="1"/>
    <s v="Business Critical"/>
    <x v="5"/>
    <x v="2"/>
    <x v="3"/>
    <s v=""/>
    <m/>
    <s v="ATA"/>
    <s v="ATA Program Development "/>
    <s v=""/>
    <s v="ATA 301 Patient recuiting ATA Proc Char and Pre PPQ and NDA Authoring "/>
    <s v="Technical Expert"/>
    <s v=" "/>
    <m/>
    <x v="0"/>
    <x v="0"/>
    <s v="Included In Budget (Open Role)"/>
    <s v="x"/>
    <s v="410 Manufacturing"/>
    <s v="OK"/>
    <s v="TBD"/>
    <s v="04. AD / Staff Scientist"/>
    <s v="Assoc Director /Sr. Manager"/>
    <d v="2026-09-15T00:00:00"/>
    <m/>
  </r>
  <r>
    <n v="5306"/>
    <x v="10"/>
    <x v="28"/>
    <x v="79"/>
    <x v="0"/>
    <x v="7"/>
    <s v="Associate Director, Analytical Development"/>
    <x v="0"/>
    <s v="Business Critical"/>
    <x v="5"/>
    <x v="2"/>
    <x v="3"/>
    <s v=""/>
    <m/>
    <s v="ATA-TLA-Dani"/>
    <s v="Analytical Science"/>
    <s v="TLA/ATA PPQ"/>
    <s v="TLA/ATA PPQ"/>
    <s v="Technical Expert"/>
    <s v=" "/>
    <m/>
    <x v="0"/>
    <x v="0"/>
    <s v="Included In Budget (Open Role)"/>
    <s v="x"/>
    <s v="410 Manufacturing"/>
    <s v="OK"/>
    <s v="TBD"/>
    <s v="04. AD / Staff Scientist"/>
    <s v="Associate Director, Analytical Development"/>
    <d v="2026-09-15T00:00:00"/>
    <m/>
  </r>
  <r>
    <n v="5308"/>
    <x v="10"/>
    <x v="28"/>
    <x v="79"/>
    <x v="0"/>
    <x v="7"/>
    <s v="Associate Director, Analytical Development"/>
    <x v="1"/>
    <s v="Business Critical"/>
    <x v="5"/>
    <x v="2"/>
    <x v="3"/>
    <s v=""/>
    <m/>
    <s v="TLA"/>
    <s v="Analytical Science/Technical Writer"/>
    <s v="TLA/ATA NDAs"/>
    <s v="TLA/ATA NDAs"/>
    <s v="Technical Expert"/>
    <s v=" "/>
    <m/>
    <x v="0"/>
    <x v="0"/>
    <s v="Included In Budget (Open Role)"/>
    <s v="x"/>
    <s v="410 Manufacturing"/>
    <s v="OK"/>
    <s v="TBD"/>
    <s v="04. AD / Staff Scientist"/>
    <s v="Associate Director, Analytical Development"/>
    <d v="2026-09-15T00:00:00"/>
    <m/>
  </r>
  <r>
    <n v="5299"/>
    <x v="10"/>
    <x v="28"/>
    <x v="81"/>
    <x v="0"/>
    <x v="4"/>
    <s v="Dir/Associate Director - DP"/>
    <x v="0"/>
    <s v="Business Critical"/>
    <x v="11"/>
    <x v="2"/>
    <x v="3"/>
    <s v=""/>
    <m/>
    <s v="TLA"/>
    <s v="Product Development"/>
    <s v="To support NDA prep for TLA and PFS development"/>
    <s v="INDa for TLA-301 study"/>
    <s v="Technical Expert"/>
    <s v=" "/>
    <m/>
    <x v="0"/>
    <x v="0"/>
    <s v="Included In Budget (Open Role)"/>
    <s v="x"/>
    <s v="410 Manufacturing"/>
    <s v="OK"/>
    <s v="TBD"/>
    <s v="05. Director"/>
    <s v="Dir/Associate Director - DP"/>
    <d v="2026-12-15T00:00:00"/>
    <m/>
  </r>
  <r>
    <n v="9001"/>
    <x v="11"/>
    <x v="29"/>
    <x v="84"/>
    <x v="6"/>
    <x v="10"/>
    <m/>
    <x v="7"/>
    <m/>
    <x v="12"/>
    <x v="2"/>
    <x v="0"/>
    <m/>
    <m/>
    <m/>
    <m/>
    <m/>
    <m/>
    <m/>
    <s v=" "/>
    <m/>
    <x v="6"/>
    <x v="6"/>
    <s v="N/A - Extra Row"/>
    <m/>
    <s v="N/A - Extra Row"/>
    <s v="N/A - Extra Row"/>
    <s v="N/A - Extra Row"/>
    <s v="N/A - Extra Row"/>
    <s v="N/A - Extra Row"/>
    <s v="N/A - Extra Row"/>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4B7E0-FA38-C648-B89F-2DC1356362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60:G73" firstHeaderRow="1" firstDataRow="2" firstDataCol="1" rowPageCount="1" colPageCount="1"/>
  <pivotFields count="32">
    <pivotField dataField="1" showAll="0"/>
    <pivotField axis="axisRow" showAll="0" sortType="ascending">
      <items count="13">
        <item x="0"/>
        <item x="1"/>
        <item x="2"/>
        <item x="3"/>
        <item x="4"/>
        <item x="6"/>
        <item x="7"/>
        <item x="8"/>
        <item x="9"/>
        <item x="5"/>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Col" showAll="0">
      <items count="9">
        <item x="2"/>
        <item x="4"/>
        <item x="1"/>
        <item x="0"/>
        <item x="6"/>
        <item x="5"/>
        <item x="7"/>
        <item x="3"/>
        <item t="default"/>
      </items>
    </pivotField>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7"/>
  </colFields>
  <colItems count="6">
    <i>
      <x/>
    </i>
    <i>
      <x v="2"/>
    </i>
    <i>
      <x v="3"/>
    </i>
    <i>
      <x v="4"/>
    </i>
    <i>
      <x v="7"/>
    </i>
    <i t="grand">
      <x/>
    </i>
  </colItems>
  <pageFields count="1">
    <pageField fld="4" hier="-1"/>
  </pageFields>
  <dataFields count="1">
    <dataField name="Count of Temp Job ID" fld="0" subtotal="count" baseField="0" baseItem="0"/>
  </dataFields>
  <formats count="18">
    <format dxfId="182">
      <pivotArea dataOnly="0" labelOnly="1" grandCol="1" outline="0" fieldPosition="0"/>
    </format>
    <format dxfId="181">
      <pivotArea field="4" type="button" dataOnly="0" labelOnly="1" outline="0" axis="axisPage" fieldPosition="0"/>
    </format>
    <format dxfId="180">
      <pivotArea outline="0" collapsedLevelsAreSubtotals="1" fieldPosition="0"/>
    </format>
    <format dxfId="179">
      <pivotArea dataOnly="0" labelOnly="1" fieldPosition="0">
        <references count="1">
          <reference field="7" count="0"/>
        </references>
      </pivotArea>
    </format>
    <format dxfId="178">
      <pivotArea dataOnly="0" labelOnly="1" grandCol="1" outline="0" fieldPosition="0"/>
    </format>
    <format dxfId="177">
      <pivotArea outline="0" collapsedLevelsAreSubtotals="1" fieldPosition="0"/>
    </format>
    <format dxfId="176">
      <pivotArea field="1" type="button" dataOnly="0" labelOnly="1" outline="0" axis="axisRow" fieldPosition="0"/>
    </format>
    <format dxfId="175">
      <pivotArea dataOnly="0" labelOnly="1" fieldPosition="0">
        <references count="1">
          <reference field="1" count="0"/>
        </references>
      </pivotArea>
    </format>
    <format dxfId="174">
      <pivotArea dataOnly="0" labelOnly="1" grandRow="1" outline="0" fieldPosition="0"/>
    </format>
    <format dxfId="173">
      <pivotArea dataOnly="0" labelOnly="1" fieldPosition="0">
        <references count="1">
          <reference field="7" count="6">
            <x v="0"/>
            <x v="1"/>
            <x v="2"/>
            <x v="3"/>
            <x v="4"/>
            <x v="5"/>
          </reference>
        </references>
      </pivotArea>
    </format>
    <format dxfId="172">
      <pivotArea dataOnly="0" labelOnly="1" grandCol="1" outline="0" fieldPosition="0"/>
    </format>
    <format dxfId="171">
      <pivotArea dataOnly="0" labelOnly="1" fieldPosition="0">
        <references count="1">
          <reference field="7" count="6">
            <x v="0"/>
            <x v="1"/>
            <x v="2"/>
            <x v="3"/>
            <x v="4"/>
            <x v="5"/>
          </reference>
        </references>
      </pivotArea>
    </format>
    <format dxfId="170">
      <pivotArea outline="0" collapsedLevelsAreSubtotals="1" fieldPosition="0"/>
    </format>
    <format dxfId="169">
      <pivotArea dataOnly="0" labelOnly="1" outline="0" fieldPosition="0">
        <references count="1">
          <reference field="4" count="0"/>
        </references>
      </pivotArea>
    </format>
    <format dxfId="168">
      <pivotArea field="7" type="button" dataOnly="0" labelOnly="1" outline="0" axis="axisCol" fieldPosition="0"/>
    </format>
    <format dxfId="167">
      <pivotArea type="topRight" dataOnly="0" labelOnly="1" outline="0" fieldPosition="0"/>
    </format>
    <format dxfId="166">
      <pivotArea dataOnly="0" labelOnly="1" fieldPosition="0">
        <references count="1">
          <reference field="7" count="5">
            <x v="0"/>
            <x v="2"/>
            <x v="3"/>
            <x v="4"/>
            <x v="5"/>
          </reference>
        </references>
      </pivotArea>
    </format>
    <format dxfId="16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67A8C0-AA6A-354B-907F-710E37BD13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81:K94" firstHeaderRow="1" firstDataRow="2" firstDataCol="1" rowPageCount="2" colPageCount="1"/>
  <pivotFields count="32">
    <pivotField dataField="1" showAll="0"/>
    <pivotField axis="axisRow" showAll="0" sortType="ascending">
      <items count="13">
        <item x="0"/>
        <item x="1"/>
        <item x="2"/>
        <item x="3"/>
        <item x="4"/>
        <item x="6"/>
        <item x="7"/>
        <item x="8"/>
        <item x="9"/>
        <item x="5"/>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Col" showAll="0" sortType="descending">
      <items count="12">
        <item x="10"/>
        <item x="9"/>
        <item x="0"/>
        <item x="5"/>
        <item x="1"/>
        <item x="2"/>
        <item x="4"/>
        <item x="7"/>
        <item x="6"/>
        <item x="8"/>
        <item x="3"/>
        <item t="default"/>
      </items>
    </pivotField>
    <pivotField showAll="0"/>
    <pivotField showAll="0">
      <items count="9">
        <item x="2"/>
        <item x="4"/>
        <item x="1"/>
        <item x="0"/>
        <item x="6"/>
        <item x="5"/>
        <item x="7"/>
        <item x="3"/>
        <item t="default"/>
      </items>
    </pivotField>
    <pivotField showAll="0"/>
    <pivotField multipleItemSelectionAllowed="1" showAll="0"/>
    <pivotField axis="axisPage" multipleItemSelectionAllowed="1" showAll="0">
      <items count="7">
        <item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5"/>
  </colFields>
  <colItems count="10">
    <i>
      <x v="2"/>
    </i>
    <i>
      <x v="3"/>
    </i>
    <i>
      <x v="4"/>
    </i>
    <i>
      <x v="5"/>
    </i>
    <i>
      <x v="6"/>
    </i>
    <i>
      <x v="7"/>
    </i>
    <i>
      <x v="8"/>
    </i>
    <i>
      <x v="9"/>
    </i>
    <i>
      <x v="10"/>
    </i>
    <i t="grand">
      <x/>
    </i>
  </colItems>
  <pageFields count="2">
    <pageField fld="4" hier="-1"/>
    <pageField fld="10" hier="-1"/>
  </pageFields>
  <dataFields count="1">
    <dataField name="Count of Temp Job ID" fld="0" subtotal="count" baseField="0" baseItem="0"/>
  </dataFields>
  <formats count="26">
    <format dxfId="208">
      <pivotArea dataOnly="0" labelOnly="1" grandCol="1" outline="0" fieldPosition="0"/>
    </format>
    <format dxfId="207">
      <pivotArea field="4" type="button" dataOnly="0" labelOnly="1" outline="0" axis="axisPage" fieldPosition="0"/>
    </format>
    <format dxfId="206">
      <pivotArea outline="0" collapsedLevelsAreSubtotals="1" fieldPosition="0"/>
    </format>
    <format dxfId="205">
      <pivotArea field="7" type="button" dataOnly="0" labelOnly="1" outline="0"/>
    </format>
    <format dxfId="204">
      <pivotArea dataOnly="0" labelOnly="1" grandCol="1" outline="0" fieldPosition="0"/>
    </format>
    <format dxfId="203">
      <pivotArea outline="0" collapsedLevelsAreSubtotals="1" fieldPosition="0"/>
    </format>
    <format dxfId="202">
      <pivotArea field="1" type="button" dataOnly="0" labelOnly="1" outline="0" axis="axisRow" fieldPosition="0"/>
    </format>
    <format dxfId="201">
      <pivotArea dataOnly="0" labelOnly="1" fieldPosition="0">
        <references count="1">
          <reference field="1" count="0"/>
        </references>
      </pivotArea>
    </format>
    <format dxfId="200">
      <pivotArea dataOnly="0" labelOnly="1" grandRow="1" outline="0" fieldPosition="0"/>
    </format>
    <format dxfId="199">
      <pivotArea dataOnly="0" labelOnly="1" grandCol="1" outline="0" fieldPosition="0"/>
    </format>
    <format dxfId="198">
      <pivotArea field="5" type="button" dataOnly="0" labelOnly="1" outline="0" axis="axisCol" fieldPosition="0"/>
    </format>
    <format dxfId="197">
      <pivotArea dataOnly="0" labelOnly="1" fieldPosition="0">
        <references count="1">
          <reference field="1" count="0"/>
        </references>
      </pivotArea>
    </format>
    <format dxfId="196">
      <pivotArea dataOnly="0" labelOnly="1" grandCol="1" outline="0" fieldPosition="0"/>
    </format>
    <format dxfId="195">
      <pivotArea field="5" type="button" dataOnly="0" labelOnly="1" outline="0" axis="axisCol" fieldPosition="0"/>
    </format>
    <format dxfId="194">
      <pivotArea dataOnly="0" labelOnly="1" fieldPosition="0">
        <references count="1">
          <reference field="5" count="9">
            <x v="2"/>
            <x v="3"/>
            <x v="4"/>
            <x v="5"/>
            <x v="6"/>
            <x v="7"/>
            <x v="8"/>
            <x v="9"/>
            <x v="10"/>
          </reference>
        </references>
      </pivotArea>
    </format>
    <format dxfId="193">
      <pivotArea dataOnly="0" labelOnly="1" grandRow="1" outline="0" fieldPosition="0"/>
    </format>
    <format dxfId="192">
      <pivotArea outline="0" collapsedLevelsAreSubtotals="1" fieldPosition="0"/>
    </format>
    <format dxfId="191">
      <pivotArea dataOnly="0" labelOnly="1" outline="0" fieldPosition="0">
        <references count="1">
          <reference field="4" count="0"/>
        </references>
      </pivotArea>
    </format>
    <format dxfId="190">
      <pivotArea outline="0" collapsedLevelsAreSubtotals="1" fieldPosition="0">
        <references count="1">
          <reference field="1" count="8" selected="0">
            <x v="1"/>
            <x v="2"/>
            <x v="5"/>
            <x v="6"/>
            <x v="7"/>
            <x v="8"/>
            <x v="9"/>
            <x v="10"/>
          </reference>
        </references>
      </pivotArea>
    </format>
    <format dxfId="189">
      <pivotArea field="1" type="button" dataOnly="0" labelOnly="1" outline="0" axis="axisRow" fieldPosition="0"/>
    </format>
    <format dxfId="188">
      <pivotArea type="topRight" dataOnly="0" labelOnly="1" outline="0" fieldPosition="0"/>
    </format>
    <format dxfId="187">
      <pivotArea dataOnly="0" labelOnly="1" fieldPosition="0">
        <references count="1">
          <reference field="1" count="0"/>
        </references>
      </pivotArea>
    </format>
    <format dxfId="186">
      <pivotArea dataOnly="0" labelOnly="1" fieldPosition="0">
        <references count="1">
          <reference field="5" count="9">
            <x v="2"/>
            <x v="3"/>
            <x v="4"/>
            <x v="5"/>
            <x v="6"/>
            <x v="7"/>
            <x v="8"/>
            <x v="9"/>
            <x v="10"/>
          </reference>
        </references>
      </pivotArea>
    </format>
    <format dxfId="185">
      <pivotArea collapsedLevelsAreSubtotals="1" fieldPosition="0">
        <references count="1">
          <reference field="1" count="0"/>
        </references>
      </pivotArea>
    </format>
    <format dxfId="184">
      <pivotArea dataOnly="0" labelOnly="1" fieldPosition="0">
        <references count="1">
          <reference field="5" count="9">
            <x v="2"/>
            <x v="3"/>
            <x v="4"/>
            <x v="5"/>
            <x v="6"/>
            <x v="7"/>
            <x v="8"/>
            <x v="9"/>
            <x v="10"/>
          </reference>
        </references>
      </pivotArea>
    </format>
    <format dxfId="18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58D31-252B-CE4D-B71A-423D91DF2B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121:F133" firstHeaderRow="1" firstDataRow="2" firstDataCol="1" rowPageCount="2" colPageCount="1"/>
  <pivotFields count="32">
    <pivotField dataField="1" showAll="0"/>
    <pivotField axis="axisRow" showAll="0" sortType="ascending">
      <items count="13">
        <item sd="0" x="0"/>
        <item sd="0" x="1"/>
        <item sd="0" x="2"/>
        <item sd="0" x="3"/>
        <item sd="0" x="4"/>
        <item sd="0" x="6"/>
        <item sd="0" x="7"/>
        <item sd="0" x="8"/>
        <item sd="0" x="9"/>
        <item sd="0" x="5"/>
        <item sd="0" x="10"/>
        <item h="1" x="11"/>
        <item t="default"/>
      </items>
    </pivotField>
    <pivotField axis="axisRow" showAll="0">
      <items count="31">
        <item x="18"/>
        <item x="25"/>
        <item x="3"/>
        <item x="5"/>
        <item x="7"/>
        <item x="9"/>
        <item x="10"/>
        <item x="24"/>
        <item x="27"/>
        <item x="28"/>
        <item x="4"/>
        <item x="19"/>
        <item x="20"/>
        <item x="23"/>
        <item x="12"/>
        <item x="22"/>
        <item x="0"/>
        <item x="15"/>
        <item x="16"/>
        <item x="29"/>
        <item x="2"/>
        <item x="1"/>
        <item x="6"/>
        <item x="8"/>
        <item x="11"/>
        <item x="13"/>
        <item x="14"/>
        <item x="21"/>
        <item x="17"/>
        <item x="26"/>
        <item t="default"/>
      </items>
    </pivotField>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items count="9">
        <item x="2"/>
        <item x="4"/>
        <item x="1"/>
        <item x="0"/>
        <item x="6"/>
        <item x="5"/>
        <item x="7"/>
        <item x="3"/>
        <item t="default"/>
      </items>
    </pivotField>
    <pivotField showAll="0"/>
    <pivotField axis="axisCol" multipleItemSelectionAllowed="1" showAll="0">
      <items count="14">
        <item h="1" x="4"/>
        <item h="1" x="10"/>
        <item h="1" x="0"/>
        <item h="1" x="6"/>
        <item h="1" x="9"/>
        <item h="1" x="7"/>
        <item h="1" x="1"/>
        <item h="1" x="8"/>
        <item x="2"/>
        <item x="3"/>
        <item x="5"/>
        <item x="11"/>
        <item h="1" x="12"/>
        <item t="default"/>
      </items>
    </pivotField>
    <pivotField axis="axisPage" multipleItemSelectionAllowed="1" showAll="0">
      <items count="7">
        <item h="1"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1">
    <i>
      <x/>
    </i>
    <i>
      <x v="1"/>
    </i>
    <i>
      <x v="3"/>
    </i>
    <i>
      <x v="4"/>
    </i>
    <i>
      <x v="5"/>
    </i>
    <i>
      <x v="6"/>
    </i>
    <i>
      <x v="7"/>
    </i>
    <i>
      <x v="8"/>
    </i>
    <i>
      <x v="9"/>
    </i>
    <i>
      <x v="10"/>
    </i>
    <i t="grand">
      <x/>
    </i>
  </rowItems>
  <colFields count="1">
    <field x="9"/>
  </colFields>
  <colItems count="5">
    <i>
      <x v="8"/>
    </i>
    <i>
      <x v="9"/>
    </i>
    <i>
      <x v="10"/>
    </i>
    <i>
      <x v="11"/>
    </i>
    <i t="grand">
      <x/>
    </i>
  </colItems>
  <pageFields count="2">
    <pageField fld="4" hier="-1"/>
    <pageField fld="10" hier="-1"/>
  </pageFields>
  <dataFields count="1">
    <dataField name="Count of Temp Job ID" fld="0" subtotal="count" baseField="0" baseItem="0"/>
  </dataFields>
  <formats count="18">
    <format dxfId="226">
      <pivotArea dataOnly="0" labelOnly="1" grandCol="1" outline="0" fieldPosition="0"/>
    </format>
    <format dxfId="225">
      <pivotArea field="4" type="button" dataOnly="0" labelOnly="1" outline="0" axis="axisPage" fieldPosition="0"/>
    </format>
    <format dxfId="224">
      <pivotArea outline="0" collapsedLevelsAreSubtotals="1" fieldPosition="0"/>
    </format>
    <format dxfId="223">
      <pivotArea dataOnly="0" labelOnly="1" grandCol="1" outline="0" fieldPosition="0"/>
    </format>
    <format dxfId="222">
      <pivotArea outline="0" collapsedLevelsAreSubtotals="1" fieldPosition="0"/>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grandRow="1" outline="0" fieldPosition="0"/>
    </format>
    <format dxfId="218">
      <pivotArea dataOnly="0" labelOnly="1" grandCol="1" outline="0" fieldPosition="0"/>
    </format>
    <format dxfId="217">
      <pivotArea field="7" type="button" dataOnly="0" labelOnly="1" outline="0"/>
    </format>
    <format dxfId="216">
      <pivotArea outline="0" collapsedLevelsAreSubtotals="1" fieldPosition="0"/>
    </format>
    <format dxfId="215">
      <pivotArea dataOnly="0" labelOnly="1" outline="0" fieldPosition="0">
        <references count="1">
          <reference field="4" count="0"/>
        </references>
      </pivotArea>
    </format>
    <format dxfId="214">
      <pivotArea field="9" type="button" dataOnly="0" labelOnly="1" outline="0" axis="axisCol" fieldPosition="0"/>
    </format>
    <format dxfId="213">
      <pivotArea field="10" type="button" dataOnly="0" labelOnly="1" outline="0" axis="axisPage" fieldPosition="1"/>
    </format>
    <format dxfId="212">
      <pivotArea type="topRight" dataOnly="0" labelOnly="1" outline="0" fieldPosition="0"/>
    </format>
    <format dxfId="211">
      <pivotArea dataOnly="0" labelOnly="1" fieldPosition="0">
        <references count="1">
          <reference field="9" count="0"/>
        </references>
      </pivotArea>
    </format>
    <format dxfId="210">
      <pivotArea dataOnly="0" labelOnly="1" fieldPosition="0">
        <references count="1">
          <reference field="9" count="0" defaultSubtotal="1"/>
        </references>
      </pivotArea>
    </format>
    <format dxfId="20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9C5B0-EDD2-6540-900F-FAD1469408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3:G46" firstHeaderRow="1" firstDataRow="2" firstDataCol="1"/>
  <pivotFields count="32">
    <pivotField dataField="1" showAll="0"/>
    <pivotField axis="axisRow" showAll="0" sortType="ascending">
      <items count="13">
        <item x="0"/>
        <item x="1"/>
        <item x="2"/>
        <item x="3"/>
        <item x="4"/>
        <item x="6"/>
        <item x="7"/>
        <item x="8"/>
        <item x="9"/>
        <item x="5"/>
        <item x="10"/>
        <item x="11"/>
        <item t="default"/>
      </items>
    </pivotField>
    <pivotField axis="axisRow" showAll="0">
      <items count="31">
        <item x="24"/>
        <item x="22"/>
        <item x="0"/>
        <item x="29"/>
        <item x="19"/>
        <item x="20"/>
        <item x="27"/>
        <item x="28"/>
        <item x="15"/>
        <item x="23"/>
        <item x="3"/>
        <item x="5"/>
        <item x="7"/>
        <item x="10"/>
        <item x="9"/>
        <item x="4"/>
        <item x="16"/>
        <item x="12"/>
        <item x="25"/>
        <item x="18"/>
        <item x="2"/>
        <item x="1"/>
        <item x="6"/>
        <item x="8"/>
        <item x="11"/>
        <item x="13"/>
        <item x="14"/>
        <item x="21"/>
        <item x="17"/>
        <item x="26"/>
        <item t="default"/>
      </items>
    </pivotField>
    <pivotField showAll="0"/>
    <pivotField axis="axisCol" multipleItemSelectionAllowed="1" showAll="0" sortType="ascending">
      <items count="8">
        <item x="2"/>
        <item x="4"/>
        <item x="3"/>
        <item x="0"/>
        <item x="5"/>
        <item h="1" x="1"/>
        <item h="1" x="6"/>
        <item t="default"/>
      </items>
    </pivotField>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42">
    <i>
      <x/>
    </i>
    <i r="1">
      <x v="2"/>
    </i>
    <i>
      <x v="1"/>
    </i>
    <i r="1">
      <x v="10"/>
    </i>
    <i r="1">
      <x v="11"/>
    </i>
    <i r="1">
      <x v="12"/>
    </i>
    <i r="1">
      <x v="13"/>
    </i>
    <i r="1">
      <x v="14"/>
    </i>
    <i r="1">
      <x v="15"/>
    </i>
    <i r="1">
      <x v="20"/>
    </i>
    <i r="1">
      <x v="21"/>
    </i>
    <i r="1">
      <x v="23"/>
    </i>
    <i>
      <x v="2"/>
    </i>
    <i r="1">
      <x v="22"/>
    </i>
    <i r="1">
      <x v="24"/>
    </i>
    <i r="1">
      <x v="28"/>
    </i>
    <i>
      <x v="3"/>
    </i>
    <i r="1">
      <x v="17"/>
    </i>
    <i>
      <x v="4"/>
    </i>
    <i r="1">
      <x v="8"/>
    </i>
    <i r="1">
      <x v="16"/>
    </i>
    <i r="1">
      <x v="25"/>
    </i>
    <i r="1">
      <x v="26"/>
    </i>
    <i>
      <x v="5"/>
    </i>
    <i r="1">
      <x v="1"/>
    </i>
    <i r="1">
      <x v="4"/>
    </i>
    <i r="1">
      <x v="5"/>
    </i>
    <i r="1">
      <x v="27"/>
    </i>
    <i r="1">
      <x v="28"/>
    </i>
    <i>
      <x v="6"/>
    </i>
    <i r="1">
      <x v="9"/>
    </i>
    <i>
      <x v="7"/>
    </i>
    <i r="1">
      <x/>
    </i>
    <i>
      <x v="8"/>
    </i>
    <i r="1">
      <x v="18"/>
    </i>
    <i>
      <x v="9"/>
    </i>
    <i r="1">
      <x v="19"/>
    </i>
    <i r="1">
      <x v="29"/>
    </i>
    <i>
      <x v="10"/>
    </i>
    <i r="1">
      <x v="6"/>
    </i>
    <i r="1">
      <x v="7"/>
    </i>
    <i t="grand">
      <x/>
    </i>
  </rowItems>
  <colFields count="1">
    <field x="4"/>
  </colFields>
  <colItems count="6">
    <i>
      <x/>
    </i>
    <i>
      <x v="1"/>
    </i>
    <i>
      <x v="2"/>
    </i>
    <i>
      <x v="3"/>
    </i>
    <i>
      <x v="4"/>
    </i>
    <i t="grand">
      <x/>
    </i>
  </colItems>
  <dataFields count="1">
    <dataField name="Count of Temp Job ID" fld="0" subtotal="count" baseField="0" baseItem="0"/>
  </dataFields>
  <formats count="8">
    <format dxfId="234">
      <pivotArea dataOnly="0" labelOnly="1" fieldPosition="0">
        <references count="1">
          <reference field="4" count="0"/>
        </references>
      </pivotArea>
    </format>
    <format dxfId="233">
      <pivotArea dataOnly="0" labelOnly="1" grandCol="1" outline="0" fieldPosition="0"/>
    </format>
    <format dxfId="232">
      <pivotArea collapsedLevelsAreSubtotals="1" fieldPosition="0">
        <references count="3">
          <reference field="1" count="1" selected="0">
            <x v="1"/>
          </reference>
          <reference field="2" count="1">
            <x v="15"/>
          </reference>
          <reference field="4" count="1" selected="0">
            <x v="3"/>
          </reference>
        </references>
      </pivotArea>
    </format>
    <format dxfId="231">
      <pivotArea outline="0" collapsedLevelsAreSubtotals="1" fieldPosition="0"/>
    </format>
    <format dxfId="230">
      <pivotArea field="4" type="button" dataOnly="0" labelOnly="1" outline="0" axis="axisCol" fieldPosition="0"/>
    </format>
    <format dxfId="229">
      <pivotArea type="topRight" dataOnly="0" labelOnly="1" outline="0" fieldPosition="0"/>
    </format>
    <format dxfId="228">
      <pivotArea dataOnly="0" labelOnly="1" fieldPosition="0">
        <references count="1">
          <reference field="4" count="0"/>
        </references>
      </pivotArea>
    </format>
    <format dxfId="2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02992-DDE3-024B-B7AD-2B3BBB4D42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100:H113" firstHeaderRow="1" firstDataRow="3" firstDataCol="1" rowPageCount="1" colPageCount="1"/>
  <pivotFields count="32">
    <pivotField dataField="1" showAll="0"/>
    <pivotField axis="axisRow" showAll="0" sortType="ascending">
      <items count="13">
        <item sd="0" x="0"/>
        <item sd="0" x="1"/>
        <item sd="0" x="2"/>
        <item sd="0" x="3"/>
        <item sd="0" x="4"/>
        <item sd="0" x="6"/>
        <item sd="0" x="7"/>
        <item sd="0" x="8"/>
        <item sd="0" x="9"/>
        <item sd="0" x="5"/>
        <item sd="0" x="10"/>
        <item h="1" x="11"/>
        <item t="default"/>
      </items>
    </pivotField>
    <pivotField axis="axisRow" showAll="0">
      <items count="31">
        <item x="18"/>
        <item x="25"/>
        <item x="3"/>
        <item x="5"/>
        <item x="7"/>
        <item x="9"/>
        <item x="10"/>
        <item x="24"/>
        <item x="27"/>
        <item x="28"/>
        <item x="4"/>
        <item x="19"/>
        <item x="20"/>
        <item x="23"/>
        <item x="12"/>
        <item x="22"/>
        <item x="0"/>
        <item x="15"/>
        <item x="16"/>
        <item x="29"/>
        <item x="2"/>
        <item x="1"/>
        <item x="6"/>
        <item x="8"/>
        <item x="11"/>
        <item x="13"/>
        <item x="14"/>
        <item x="21"/>
        <item x="17"/>
        <item x="26"/>
        <item t="default"/>
      </items>
    </pivotField>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items count="9">
        <item x="2"/>
        <item x="4"/>
        <item x="1"/>
        <item x="0"/>
        <item x="6"/>
        <item x="5"/>
        <item x="7"/>
        <item x="3"/>
        <item t="default"/>
      </items>
    </pivotField>
    <pivotField showAll="0"/>
    <pivotField axis="axisCol" multipleItemSelectionAllowed="1" showAll="0">
      <items count="14">
        <item h="1" x="4"/>
        <item h="1" x="10"/>
        <item h="1" x="0"/>
        <item h="1" x="6"/>
        <item h="1" x="9"/>
        <item h="1" x="7"/>
        <item h="1" x="1"/>
        <item h="1" x="8"/>
        <item x="2"/>
        <item h="1" x="3"/>
        <item h="1" x="5"/>
        <item h="1" x="11"/>
        <item h="1" x="12"/>
        <item t="default"/>
      </items>
    </pivotField>
    <pivotField axis="axisCol" multipleItemSelectionAllowed="1" showAll="0">
      <items count="7">
        <item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1">
    <i>
      <x/>
    </i>
    <i>
      <x v="1"/>
    </i>
    <i>
      <x v="2"/>
    </i>
    <i>
      <x v="3"/>
    </i>
    <i>
      <x v="4"/>
    </i>
    <i>
      <x v="5"/>
    </i>
    <i>
      <x v="6"/>
    </i>
    <i>
      <x v="7"/>
    </i>
    <i>
      <x v="9"/>
    </i>
    <i>
      <x v="10"/>
    </i>
    <i t="grand">
      <x/>
    </i>
  </rowItems>
  <colFields count="2">
    <field x="9"/>
    <field x="10"/>
  </colFields>
  <colItems count="7">
    <i>
      <x v="8"/>
      <x/>
    </i>
    <i r="1">
      <x v="2"/>
    </i>
    <i r="1">
      <x v="3"/>
    </i>
    <i r="1">
      <x v="4"/>
    </i>
    <i r="1">
      <x v="5"/>
    </i>
    <i t="default">
      <x v="8"/>
    </i>
    <i t="grand">
      <x/>
    </i>
  </colItems>
  <pageFields count="1">
    <pageField fld="4" hier="-1"/>
  </pageFields>
  <dataFields count="1">
    <dataField name="Count of Temp Job ID" fld="0" subtotal="count" baseField="0" baseItem="0"/>
  </dataFields>
  <formats count="22">
    <format dxfId="256">
      <pivotArea dataOnly="0" labelOnly="1" grandCol="1" outline="0" fieldPosition="0"/>
    </format>
    <format dxfId="255">
      <pivotArea field="4" type="button" dataOnly="0" labelOnly="1" outline="0" axis="axisPage" fieldPosition="0"/>
    </format>
    <format dxfId="254">
      <pivotArea outline="0" collapsedLevelsAreSubtotals="1" fieldPosition="0"/>
    </format>
    <format dxfId="253">
      <pivotArea dataOnly="0" labelOnly="1" grandCol="1" outline="0" fieldPosition="0"/>
    </format>
    <format dxfId="252">
      <pivotArea outline="0" collapsedLevelsAreSubtotals="1" fieldPosition="0"/>
    </format>
    <format dxfId="251">
      <pivotArea field="1" type="button" dataOnly="0" labelOnly="1" outline="0" axis="axisRow" fieldPosition="0"/>
    </format>
    <format dxfId="250">
      <pivotArea dataOnly="0" labelOnly="1" fieldPosition="0">
        <references count="1">
          <reference field="1" count="0"/>
        </references>
      </pivotArea>
    </format>
    <format dxfId="249">
      <pivotArea dataOnly="0" labelOnly="1" grandRow="1" outline="0" fieldPosition="0"/>
    </format>
    <format dxfId="248">
      <pivotArea dataOnly="0" labelOnly="1" grandCol="1" outline="0" fieldPosition="0"/>
    </format>
    <format dxfId="247">
      <pivotArea field="7" type="button" dataOnly="0" labelOnly="1" outline="0"/>
    </format>
    <format dxfId="246">
      <pivotArea dataOnly="0" outline="0" fieldPosition="0">
        <references count="2">
          <reference field="9" count="0" selected="0"/>
          <reference field="10" count="2">
            <x v="2"/>
            <x v="3"/>
          </reference>
        </references>
      </pivotArea>
    </format>
    <format dxfId="245">
      <pivotArea outline="0" collapsedLevelsAreSubtotals="1" fieldPosition="0"/>
    </format>
    <format dxfId="244">
      <pivotArea dataOnly="0" labelOnly="1" outline="0" fieldPosition="0">
        <references count="1">
          <reference field="4" count="0"/>
        </references>
      </pivotArea>
    </format>
    <format dxfId="243">
      <pivotArea field="9" type="button" dataOnly="0" labelOnly="1" outline="0" axis="axisCol" fieldPosition="0"/>
    </format>
    <format dxfId="242">
      <pivotArea field="10" type="button" dataOnly="0" labelOnly="1" outline="0" axis="axisCol" fieldPosition="1"/>
    </format>
    <format dxfId="241">
      <pivotArea type="topRight" dataOnly="0" labelOnly="1" outline="0" fieldPosition="0"/>
    </format>
    <format dxfId="240">
      <pivotArea dataOnly="0" labelOnly="1" fieldPosition="0">
        <references count="1">
          <reference field="9" count="0"/>
        </references>
      </pivotArea>
    </format>
    <format dxfId="239">
      <pivotArea dataOnly="0" labelOnly="1" fieldPosition="0">
        <references count="1">
          <reference field="9" count="0" defaultSubtotal="1"/>
        </references>
      </pivotArea>
    </format>
    <format dxfId="238">
      <pivotArea dataOnly="0" labelOnly="1" grandCol="1" outline="0" fieldPosition="0"/>
    </format>
    <format dxfId="237">
      <pivotArea dataOnly="0" labelOnly="1" fieldPosition="0">
        <references count="2">
          <reference field="9" count="0" selected="0"/>
          <reference field="10" count="3">
            <x v="2"/>
            <x v="3"/>
            <x v="4"/>
          </reference>
        </references>
      </pivotArea>
    </format>
    <format dxfId="236">
      <pivotArea outline="0" collapsedLevelsAreSubtotals="1" fieldPosition="0">
        <references count="2">
          <reference field="9" count="0" selected="0"/>
          <reference field="10" count="1" selected="0">
            <x v="0"/>
          </reference>
        </references>
      </pivotArea>
    </format>
    <format dxfId="235">
      <pivotArea dataOnly="0" labelOnly="1" fieldPosition="0">
        <references count="2">
          <reference field="9" count="0" selected="0"/>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EA5A60-8EB4-6C43-A31E-5E4723EF29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29:L40" firstHeaderRow="1" firstDataRow="2" firstDataCol="1" rowPageCount="2" colPageCount="1"/>
  <pivotFields count="32">
    <pivotField dataField="1" showAll="0"/>
    <pivotField axis="axisCol" showAll="0" sortType="ascending">
      <items count="13">
        <item n="CFO" x="4"/>
        <item n="Comms" x="0"/>
        <item n="CSO" x="6"/>
        <item n="Dev" x="1"/>
        <item n="Exec" x="2"/>
        <item x="3"/>
        <item x="7"/>
        <item x="8"/>
        <item x="9"/>
        <item x="5"/>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6"/>
        <item x="5"/>
        <item x="7"/>
        <item x="3"/>
        <item t="default"/>
      </items>
    </pivotField>
    <pivotField showAll="0"/>
    <pivotField multipleItemSelectionAllowed="1" showAll="0"/>
    <pivotField axis="axisPage" multipleItemSelectionAllowed="1" showAll="0">
      <items count="7">
        <item h="1"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Fields count="1">
    <field x="1"/>
  </colFields>
  <colItems count="11">
    <i>
      <x/>
    </i>
    <i>
      <x v="1"/>
    </i>
    <i>
      <x v="2"/>
    </i>
    <i>
      <x v="3"/>
    </i>
    <i>
      <x v="5"/>
    </i>
    <i>
      <x v="6"/>
    </i>
    <i>
      <x v="7"/>
    </i>
    <i>
      <x v="8"/>
    </i>
    <i>
      <x v="9"/>
    </i>
    <i>
      <x v="10"/>
    </i>
    <i t="grand">
      <x/>
    </i>
  </colItems>
  <pageFields count="2">
    <pageField fld="4" hier="-1"/>
    <pageField fld="10" hier="-1"/>
  </pageFields>
  <dataFields count="1">
    <dataField name="Count of Temp Job ID" fld="0" subtotal="count" baseField="0" baseItem="0"/>
  </dataFields>
  <formats count="19">
    <format dxfId="145">
      <pivotArea dataOnly="0" labelOnly="1" grandCol="1" outline="0" fieldPosition="0"/>
    </format>
    <format dxfId="144">
      <pivotArea field="4" type="button" dataOnly="0" labelOnly="1" outline="0" axis="axisPage" fieldPosition="0"/>
    </format>
    <format dxfId="143">
      <pivotArea outline="0" collapsedLevelsAreSubtotals="1" fieldPosition="0"/>
    </format>
    <format dxfId="142">
      <pivotArea field="7" type="button" dataOnly="0" labelOnly="1" outline="0"/>
    </format>
    <format dxfId="141">
      <pivotArea dataOnly="0" labelOnly="1" grandCol="1" outline="0" fieldPosition="0"/>
    </format>
    <format dxfId="140">
      <pivotArea outline="0" collapsedLevelsAreSubtotals="1" fieldPosition="0"/>
    </format>
    <format dxfId="139">
      <pivotArea field="1" type="button" dataOnly="0" labelOnly="1" outline="0" axis="axisCol" fieldPosition="0"/>
    </format>
    <format dxfId="138">
      <pivotArea dataOnly="0" labelOnly="1" grandRow="1" outline="0" fieldPosition="0"/>
    </format>
    <format dxfId="137">
      <pivotArea dataOnly="0" labelOnly="1" grandCol="1" outline="0" fieldPosition="0"/>
    </format>
    <format dxfId="136">
      <pivotArea field="5" type="button" dataOnly="0" labelOnly="1" outline="0" axis="axisRow" fieldPosition="0"/>
    </format>
    <format dxfId="135">
      <pivotArea dataOnly="0" labelOnly="1" grandCol="1" outline="0" fieldPosition="0"/>
    </format>
    <format dxfId="134">
      <pivotArea field="5" type="button" dataOnly="0" labelOnly="1" outline="0" axis="axisRow" fieldPosition="0"/>
    </format>
    <format dxfId="133">
      <pivotArea dataOnly="0" labelOnly="1" grandRow="1" outline="0" fieldPosition="0"/>
    </format>
    <format dxfId="132">
      <pivotArea dataOnly="0" labelOnly="1" outline="0" fieldPosition="0">
        <references count="1">
          <reference field="4" count="0"/>
        </references>
      </pivotArea>
    </format>
    <format dxfId="131">
      <pivotArea field="1" type="button" dataOnly="0" labelOnly="1" outline="0" axis="axisCol" fieldPosition="0"/>
    </format>
    <format dxfId="130">
      <pivotArea type="topRight" dataOnly="0" labelOnly="1" outline="0" fieldPosition="0"/>
    </format>
    <format dxfId="129">
      <pivotArea outline="0" collapsedLevelsAreSubtotals="1" fieldPosition="0"/>
    </format>
    <format dxfId="128">
      <pivotArea dataOnly="0" labelOnly="1" fieldPosition="0">
        <references count="1">
          <reference field="1" count="0"/>
        </references>
      </pivotArea>
    </format>
    <format dxfId="1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65A98F-2C8D-1A48-BEE5-EB1C2FE7B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8:M19" firstHeaderRow="1" firstDataRow="2" firstDataCol="1" rowPageCount="2" colPageCount="1"/>
  <pivotFields count="32">
    <pivotField dataField="1" showAll="0"/>
    <pivotField axis="axisCol" showAll="0" sortType="ascending">
      <items count="13">
        <item n="CFO" x="4"/>
        <item n="Comms" x="0"/>
        <item n="CSO" x="6"/>
        <item n="Dev" x="1"/>
        <item n="Exec" x="2"/>
        <item x="3"/>
        <item x="7"/>
        <item x="8"/>
        <item x="9"/>
        <item x="5"/>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6"/>
        <item x="5"/>
        <item x="7"/>
        <item x="3"/>
        <item t="default"/>
      </items>
    </pivotField>
    <pivotField showAll="0"/>
    <pivotField multipleItemSelectionAllowed="1" showAll="0"/>
    <pivotField axis="axisPage" showAll="0">
      <items count="7">
        <item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Fields count="1">
    <field x="1"/>
  </colFields>
  <colItems count="12">
    <i>
      <x/>
    </i>
    <i>
      <x v="1"/>
    </i>
    <i>
      <x v="2"/>
    </i>
    <i>
      <x v="3"/>
    </i>
    <i>
      <x v="4"/>
    </i>
    <i>
      <x v="5"/>
    </i>
    <i>
      <x v="6"/>
    </i>
    <i>
      <x v="7"/>
    </i>
    <i>
      <x v="8"/>
    </i>
    <i>
      <x v="9"/>
    </i>
    <i>
      <x v="10"/>
    </i>
    <i t="grand">
      <x/>
    </i>
  </colItems>
  <pageFields count="2">
    <pageField fld="4" hier="-1"/>
    <pageField fld="10" hier="-1"/>
  </pageFields>
  <dataFields count="1">
    <dataField name="Count of Temp Job ID" fld="0" subtotal="count" baseField="0" baseItem="0"/>
  </dataFields>
  <formats count="19">
    <format dxfId="164">
      <pivotArea dataOnly="0" labelOnly="1" grandCol="1" outline="0" fieldPosition="0"/>
    </format>
    <format dxfId="163">
      <pivotArea field="4" type="button" dataOnly="0" labelOnly="1" outline="0" axis="axisPage" fieldPosition="0"/>
    </format>
    <format dxfId="162">
      <pivotArea outline="0" collapsedLevelsAreSubtotals="1" fieldPosition="0"/>
    </format>
    <format dxfId="161">
      <pivotArea field="7" type="button" dataOnly="0" labelOnly="1" outline="0"/>
    </format>
    <format dxfId="160">
      <pivotArea dataOnly="0" labelOnly="1" grandCol="1" outline="0" fieldPosition="0"/>
    </format>
    <format dxfId="159">
      <pivotArea outline="0" collapsedLevelsAreSubtotals="1" fieldPosition="0"/>
    </format>
    <format dxfId="158">
      <pivotArea field="1" type="button" dataOnly="0" labelOnly="1" outline="0" axis="axisCol" fieldPosition="0"/>
    </format>
    <format dxfId="157">
      <pivotArea dataOnly="0" labelOnly="1" grandRow="1" outline="0" fieldPosition="0"/>
    </format>
    <format dxfId="156">
      <pivotArea dataOnly="0" labelOnly="1" grandCol="1" outline="0" fieldPosition="0"/>
    </format>
    <format dxfId="155">
      <pivotArea field="5" type="button" dataOnly="0" labelOnly="1" outline="0" axis="axisRow" fieldPosition="0"/>
    </format>
    <format dxfId="154">
      <pivotArea dataOnly="0" labelOnly="1" grandCol="1" outline="0" fieldPosition="0"/>
    </format>
    <format dxfId="153">
      <pivotArea field="5" type="button" dataOnly="0" labelOnly="1" outline="0" axis="axisRow" fieldPosition="0"/>
    </format>
    <format dxfId="152">
      <pivotArea dataOnly="0" labelOnly="1" grandRow="1" outline="0" fieldPosition="0"/>
    </format>
    <format dxfId="151">
      <pivotArea dataOnly="0" labelOnly="1" outline="0" fieldPosition="0">
        <references count="1">
          <reference field="4" count="0"/>
        </references>
      </pivotArea>
    </format>
    <format dxfId="150">
      <pivotArea field="1" type="button" dataOnly="0" labelOnly="1" outline="0" axis="axisCol" fieldPosition="0"/>
    </format>
    <format dxfId="149">
      <pivotArea type="topRight" dataOnly="0" labelOnly="1" outline="0" fieldPosition="0"/>
    </format>
    <format dxfId="148">
      <pivotArea outline="0" collapsedLevelsAreSubtotals="1" fieldPosition="0"/>
    </format>
    <format dxfId="147">
      <pivotArea dataOnly="0" labelOnly="1" fieldPosition="0">
        <references count="1">
          <reference field="1" count="0"/>
        </references>
      </pivotArea>
    </format>
    <format dxfId="14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272869-FE88-5E44-AF79-20881AFA8D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20:H28" firstHeaderRow="1" firstDataRow="3" firstDataCol="1" rowPageCount="1" colPageCount="1"/>
  <pivotFields count="32">
    <pivotField dataField="1" showAll="0"/>
    <pivotField showAll="0">
      <items count="13">
        <item sd="0" x="8"/>
        <item h="1" x="11"/>
        <item sd="0" x="10"/>
        <item sd="0" x="1"/>
        <item sd="0" x="9"/>
        <item sd="0" x="5"/>
        <item sd="0" x="6"/>
        <item sd="0" x="2"/>
        <item sd="0" x="7"/>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Row" showAll="0">
      <items count="9">
        <item x="2"/>
        <item x="4"/>
        <item x="1"/>
        <item x="0"/>
        <item x="6"/>
        <item x="5"/>
        <item x="7"/>
        <item x="3"/>
        <item t="default"/>
      </items>
    </pivotField>
    <pivotField showAll="0"/>
    <pivotField axis="axisCol" multipleItemSelectionAllowed="1" showAll="0">
      <items count="14">
        <item h="1" x="4"/>
        <item h="1" x="10"/>
        <item h="1" x="0"/>
        <item h="1" x="6"/>
        <item h="1" x="9"/>
        <item h="1" x="7"/>
        <item h="1" x="1"/>
        <item h="1" x="8"/>
        <item x="2"/>
        <item h="1" x="3"/>
        <item h="1" x="5"/>
        <item h="1" x="11"/>
        <item h="1" x="12"/>
        <item t="default"/>
      </items>
    </pivotField>
    <pivotField axis="axisCol" multipleItemSelectionAllowed="1" showAll="0">
      <items count="7">
        <item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2"/>
    </i>
    <i>
      <x v="3"/>
    </i>
    <i>
      <x v="4"/>
    </i>
    <i>
      <x v="7"/>
    </i>
    <i t="grand">
      <x/>
    </i>
  </rowItems>
  <colFields count="2">
    <field x="9"/>
    <field x="10"/>
  </colFields>
  <colItems count="7">
    <i>
      <x v="8"/>
      <x/>
    </i>
    <i r="1">
      <x v="2"/>
    </i>
    <i r="1">
      <x v="3"/>
    </i>
    <i r="1">
      <x v="4"/>
    </i>
    <i r="1">
      <x v="5"/>
    </i>
    <i t="default">
      <x v="8"/>
    </i>
    <i t="grand">
      <x/>
    </i>
  </colItems>
  <pageFields count="1">
    <pageField fld="4" hier="-1"/>
  </pageFields>
  <dataFields count="1">
    <dataField name="Count of Temp Job ID" fld="0" subtotal="count" baseField="0" baseItem="0"/>
  </dataFields>
  <formats count="21">
    <format dxfId="77">
      <pivotArea dataOnly="0" labelOnly="1" grandCol="1" outline="0" fieldPosition="0"/>
    </format>
    <format dxfId="76">
      <pivotArea field="4" type="button" dataOnly="0" labelOnly="1" outline="0" axis="axisPage" fieldPosition="0"/>
    </format>
    <format dxfId="75">
      <pivotArea outline="0" collapsedLevelsAreSubtotals="1" fieldPosition="0"/>
    </format>
    <format dxfId="74">
      <pivotArea dataOnly="0" labelOnly="1" grandCol="1" outline="0" fieldPosition="0"/>
    </format>
    <format dxfId="73">
      <pivotArea outline="0" collapsedLevelsAreSubtotals="1" fieldPosition="0"/>
    </format>
    <format dxfId="72">
      <pivotArea field="1" type="button" dataOnly="0" labelOnly="1" outline="0"/>
    </format>
    <format dxfId="71">
      <pivotArea dataOnly="0" labelOnly="1" grandRow="1" outline="0" fieldPosition="0"/>
    </format>
    <format dxfId="70">
      <pivotArea dataOnly="0" labelOnly="1" grandCol="1" outline="0" fieldPosition="0"/>
    </format>
    <format dxfId="69">
      <pivotArea field="7" type="button" dataOnly="0" labelOnly="1" outline="0" axis="axisRow" fieldPosition="0"/>
    </format>
    <format dxfId="68">
      <pivotArea dataOnly="0" outline="0" fieldPosition="0">
        <references count="2">
          <reference field="9" count="0" selected="0"/>
          <reference field="10" count="2">
            <x v="2"/>
            <x v="3"/>
          </reference>
        </references>
      </pivotArea>
    </format>
    <format dxfId="67">
      <pivotArea outline="0" collapsedLevelsAreSubtotals="1" fieldPosition="0"/>
    </format>
    <format dxfId="66">
      <pivotArea dataOnly="0" labelOnly="1" outline="0" fieldPosition="0">
        <references count="1">
          <reference field="4" count="0"/>
        </references>
      </pivotArea>
    </format>
    <format dxfId="65">
      <pivotArea field="9" type="button" dataOnly="0" labelOnly="1" outline="0" axis="axisCol" fieldPosition="0"/>
    </format>
    <format dxfId="64">
      <pivotArea field="10" type="button" dataOnly="0" labelOnly="1" outline="0" axis="axisCol" fieldPosition="1"/>
    </format>
    <format dxfId="63">
      <pivotArea type="topRight" dataOnly="0" labelOnly="1" outline="0" fieldPosition="0"/>
    </format>
    <format dxfId="62">
      <pivotArea dataOnly="0" labelOnly="1" fieldPosition="0">
        <references count="1">
          <reference field="9" count="0"/>
        </references>
      </pivotArea>
    </format>
    <format dxfId="61">
      <pivotArea dataOnly="0" labelOnly="1" fieldPosition="0">
        <references count="1">
          <reference field="9" count="0" defaultSubtotal="1"/>
        </references>
      </pivotArea>
    </format>
    <format dxfId="60">
      <pivotArea dataOnly="0" labelOnly="1" grandCol="1" outline="0" fieldPosition="0"/>
    </format>
    <format dxfId="59">
      <pivotArea dataOnly="0" labelOnly="1" fieldPosition="0">
        <references count="2">
          <reference field="9" count="0" selected="0"/>
          <reference field="10" count="3">
            <x v="2"/>
            <x v="3"/>
            <x v="4"/>
          </reference>
        </references>
      </pivotArea>
    </format>
    <format dxfId="58">
      <pivotArea outline="0" collapsedLevelsAreSubtotals="1" fieldPosition="0">
        <references count="2">
          <reference field="9" count="0" selected="0"/>
          <reference field="10" count="1" selected="0">
            <x v="0"/>
          </reference>
        </references>
      </pivotArea>
    </format>
    <format dxfId="57">
      <pivotArea dataOnly="0" labelOnly="1" fieldPosition="0">
        <references count="2">
          <reference field="9" count="0" selected="0"/>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CA6151-0BF9-0C4C-9A9D-0BA2CA64E0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6:F13" firstHeaderRow="1" firstDataRow="2" firstDataCol="1" rowPageCount="2" colPageCount="1"/>
  <pivotFields count="32">
    <pivotField dataField="1" showAll="0"/>
    <pivotField showAll="0">
      <items count="13">
        <item sd="0" x="8"/>
        <item h="1" x="11"/>
        <item sd="0" x="10"/>
        <item sd="0" x="1"/>
        <item sd="0" x="9"/>
        <item sd="0" x="5"/>
        <item sd="0" x="6"/>
        <item sd="0" x="2"/>
        <item sd="0" x="7"/>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Row" showAll="0">
      <items count="9">
        <item x="2"/>
        <item x="4"/>
        <item x="1"/>
        <item x="0"/>
        <item x="6"/>
        <item x="5"/>
        <item x="7"/>
        <item x="3"/>
        <item t="default"/>
      </items>
    </pivotField>
    <pivotField showAll="0"/>
    <pivotField axis="axisCol" multipleItemSelectionAllowed="1" showAll="0">
      <items count="14">
        <item x="4"/>
        <item x="10"/>
        <item x="0"/>
        <item x="6"/>
        <item x="9"/>
        <item x="7"/>
        <item x="1"/>
        <item x="8"/>
        <item x="2"/>
        <item x="3"/>
        <item x="5"/>
        <item x="11"/>
        <item x="12"/>
        <item t="default"/>
      </items>
    </pivotField>
    <pivotField axis="axisPage" multipleItemSelectionAllowed="1" showAll="0">
      <items count="7">
        <item h="1" x="0"/>
        <item x="3"/>
        <item x="1"/>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2"/>
    </i>
    <i>
      <x v="3"/>
    </i>
    <i>
      <x v="4"/>
    </i>
    <i>
      <x v="7"/>
    </i>
    <i t="grand">
      <x/>
    </i>
  </rowItems>
  <colFields count="1">
    <field x="9"/>
  </colFields>
  <colItems count="5">
    <i>
      <x v="8"/>
    </i>
    <i>
      <x v="9"/>
    </i>
    <i>
      <x v="10"/>
    </i>
    <i>
      <x v="11"/>
    </i>
    <i t="grand">
      <x/>
    </i>
  </colItems>
  <pageFields count="2">
    <pageField fld="4" hier="-1"/>
    <pageField fld="10" hier="-1"/>
  </pageFields>
  <dataFields count="1">
    <dataField name="Count of Temp Job ID" fld="0" subtotal="count" baseField="0" baseItem="0"/>
  </dataFields>
  <formats count="17">
    <format dxfId="94">
      <pivotArea dataOnly="0" labelOnly="1" grandCol="1" outline="0" fieldPosition="0"/>
    </format>
    <format dxfId="93">
      <pivotArea field="4" type="button" dataOnly="0" labelOnly="1" outline="0" axis="axisPage" fieldPosition="0"/>
    </format>
    <format dxfId="92">
      <pivotArea outline="0" collapsedLevelsAreSubtotals="1" fieldPosition="0"/>
    </format>
    <format dxfId="91">
      <pivotArea dataOnly="0" labelOnly="1" grandCol="1" outline="0" fieldPosition="0"/>
    </format>
    <format dxfId="90">
      <pivotArea outline="0" collapsedLevelsAreSubtotals="1" fieldPosition="0"/>
    </format>
    <format dxfId="89">
      <pivotArea field="1" type="button" dataOnly="0" labelOnly="1" outline="0"/>
    </format>
    <format dxfId="88">
      <pivotArea dataOnly="0" labelOnly="1" grandRow="1" outline="0" fieldPosition="0"/>
    </format>
    <format dxfId="87">
      <pivotArea dataOnly="0" labelOnly="1" grandCol="1" outline="0" fieldPosition="0"/>
    </format>
    <format dxfId="86">
      <pivotArea field="7" type="button" dataOnly="0" labelOnly="1" outline="0" axis="axisRow" fieldPosition="0"/>
    </format>
    <format dxfId="85">
      <pivotArea outline="0" collapsedLevelsAreSubtotals="1" fieldPosition="0"/>
    </format>
    <format dxfId="84">
      <pivotArea dataOnly="0" labelOnly="1" outline="0" fieldPosition="0">
        <references count="1">
          <reference field="4" count="0"/>
        </references>
      </pivotArea>
    </format>
    <format dxfId="83">
      <pivotArea field="9" type="button" dataOnly="0" labelOnly="1" outline="0" axis="axisCol" fieldPosition="0"/>
    </format>
    <format dxfId="82">
      <pivotArea field="10" type="button" dataOnly="0" labelOnly="1" outline="0" axis="axisPage" fieldPosition="1"/>
    </format>
    <format dxfId="81">
      <pivotArea type="topRight" dataOnly="0" labelOnly="1" outline="0" fieldPosition="0"/>
    </format>
    <format dxfId="80">
      <pivotArea dataOnly="0" labelOnly="1" fieldPosition="0">
        <references count="1">
          <reference field="9" count="0"/>
        </references>
      </pivotArea>
    </format>
    <format dxfId="79">
      <pivotArea dataOnly="0" labelOnly="1" fieldPosition="0">
        <references count="1">
          <reference field="9" count="0" defaultSubtotal="1"/>
        </references>
      </pivotArea>
    </format>
    <format dxfId="7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21FEDB-64DC-0F4D-8C4E-ADBC30242F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K36:Q46" firstHeaderRow="1" firstDataRow="2" firstDataCol="1" rowPageCount="2" colPageCount="1"/>
  <pivotFields count="32">
    <pivotField dataField="1" showAll="0"/>
    <pivotField showAll="0">
      <items count="13">
        <item sd="0" x="8"/>
        <item h="1" x="11"/>
        <item sd="0" x="10"/>
        <item sd="0" x="1"/>
        <item sd="0" x="9"/>
        <item sd="0" x="5"/>
        <item sd="0" x="6"/>
        <item sd="0" x="2"/>
        <item sd="0" x="7"/>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items count="12">
        <item x="3"/>
        <item x="8"/>
        <item x="6"/>
        <item x="7"/>
        <item x="4"/>
        <item x="2"/>
        <item x="1"/>
        <item x="5"/>
        <item x="0"/>
        <item x="9"/>
        <item x="10"/>
        <item t="default"/>
      </items>
    </pivotField>
    <pivotField showAll="0"/>
    <pivotField axis="axisCol" showAll="0">
      <items count="9">
        <item x="2"/>
        <item x="4"/>
        <item x="1"/>
        <item x="0"/>
        <item x="6"/>
        <item x="5"/>
        <item x="7"/>
        <item x="3"/>
        <item t="default"/>
      </items>
    </pivotField>
    <pivotField showAll="0"/>
    <pivotField multipleItemSelectionAllowed="1" showAll="0">
      <items count="14">
        <item x="4"/>
        <item x="10"/>
        <item x="0"/>
        <item x="6"/>
        <item x="9"/>
        <item x="7"/>
        <item x="1"/>
        <item x="8"/>
        <item x="2"/>
        <item x="3"/>
        <item x="5"/>
        <item x="11"/>
        <item x="12"/>
        <item t="default"/>
      </items>
    </pivotField>
    <pivotField axis="axisPage" multipleItemSelectionAllowed="1" showAll="0">
      <items count="7">
        <item h="1" x="0"/>
        <item x="3"/>
        <item x="1"/>
        <item x="2"/>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Fields count="1">
    <field x="7"/>
  </colFields>
  <colItems count="6">
    <i>
      <x/>
    </i>
    <i>
      <x v="2"/>
    </i>
    <i>
      <x v="3"/>
    </i>
    <i>
      <x v="4"/>
    </i>
    <i>
      <x v="7"/>
    </i>
    <i t="grand">
      <x/>
    </i>
  </colItems>
  <pageFields count="2">
    <pageField fld="4" hier="-1"/>
    <pageField fld="10" hier="-1"/>
  </pageFields>
  <dataFields count="1">
    <dataField name="Count of Temp Job ID" fld="0" subtotal="count" baseField="0" baseItem="0"/>
  </dataFields>
  <formats count="16">
    <format dxfId="110">
      <pivotArea dataOnly="0" labelOnly="1" grandCol="1" outline="0" fieldPosition="0"/>
    </format>
    <format dxfId="109">
      <pivotArea field="4" type="button" dataOnly="0" labelOnly="1" outline="0" axis="axisPage" fieldPosition="0"/>
    </format>
    <format dxfId="108">
      <pivotArea outline="0" collapsedLevelsAreSubtotals="1" fieldPosition="0"/>
    </format>
    <format dxfId="107">
      <pivotArea dataOnly="0" labelOnly="1" grandCol="1" outline="0" fieldPosition="0"/>
    </format>
    <format dxfId="106">
      <pivotArea outline="0" collapsedLevelsAreSubtotals="1" fieldPosition="0"/>
    </format>
    <format dxfId="105">
      <pivotArea field="1" type="button" dataOnly="0" labelOnly="1" outline="0"/>
    </format>
    <format dxfId="104">
      <pivotArea dataOnly="0" labelOnly="1" grandRow="1" outline="0" fieldPosition="0"/>
    </format>
    <format dxfId="103">
      <pivotArea dataOnly="0" labelOnly="1" grandCol="1" outline="0" fieldPosition="0"/>
    </format>
    <format dxfId="102">
      <pivotArea field="7" type="button" dataOnly="0" labelOnly="1" outline="0" axis="axisCol" fieldPosition="0"/>
    </format>
    <format dxfId="101">
      <pivotArea dataOnly="0" labelOnly="1" outline="0" fieldPosition="0">
        <references count="1">
          <reference field="4" count="0"/>
        </references>
      </pivotArea>
    </format>
    <format dxfId="100">
      <pivotArea field="9" type="button" dataOnly="0" labelOnly="1" outline="0"/>
    </format>
    <format dxfId="99">
      <pivotArea field="10" type="button" dataOnly="0" labelOnly="1" outline="0" axis="axisPage" fieldPosition="1"/>
    </format>
    <format dxfId="98">
      <pivotArea type="topRight" dataOnly="0" labelOnly="1" outline="0" fieldPosition="0"/>
    </format>
    <format dxfId="97">
      <pivotArea outline="0" collapsedLevelsAreSubtotals="1" fieldPosition="0"/>
    </format>
    <format dxfId="96">
      <pivotArea dataOnly="0" labelOnly="1" fieldPosition="0">
        <references count="1">
          <reference field="7" count="5">
            <x v="0"/>
            <x v="2"/>
            <x v="3"/>
            <x v="4"/>
            <x v="7"/>
          </reference>
        </references>
      </pivotArea>
    </format>
    <format dxfId="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7BB611-31C3-4A4D-9728-C3B1BA6D32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36:G47" firstHeaderRow="1" firstDataRow="2" firstDataCol="1" rowPageCount="2" colPageCount="1"/>
  <pivotFields count="32">
    <pivotField dataField="1" showAll="0"/>
    <pivotField showAll="0">
      <items count="13">
        <item sd="0" x="8"/>
        <item h="1" x="11"/>
        <item sd="0" x="10"/>
        <item sd="0" x="1"/>
        <item sd="0" x="9"/>
        <item sd="0" x="5"/>
        <item sd="0" x="6"/>
        <item sd="0" x="2"/>
        <item sd="0" x="7"/>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items count="12">
        <item x="3"/>
        <item x="8"/>
        <item x="6"/>
        <item x="7"/>
        <item x="4"/>
        <item x="2"/>
        <item x="1"/>
        <item x="5"/>
        <item x="0"/>
        <item x="9"/>
        <item x="10"/>
        <item t="default"/>
      </items>
    </pivotField>
    <pivotField showAll="0"/>
    <pivotField axis="axisCol" showAll="0">
      <items count="9">
        <item x="2"/>
        <item x="4"/>
        <item x="1"/>
        <item x="0"/>
        <item x="6"/>
        <item x="5"/>
        <item x="7"/>
        <item x="3"/>
        <item t="default"/>
      </items>
    </pivotField>
    <pivotField showAll="0"/>
    <pivotField multipleItemSelectionAllowed="1" showAll="0">
      <items count="14">
        <item x="4"/>
        <item x="10"/>
        <item x="0"/>
        <item x="6"/>
        <item x="9"/>
        <item x="7"/>
        <item x="1"/>
        <item x="8"/>
        <item x="2"/>
        <item x="3"/>
        <item x="5"/>
        <item x="11"/>
        <item x="12"/>
        <item t="default"/>
      </items>
    </pivotField>
    <pivotField axis="axisPage" multipleItemSelectionAllowed="1" showAll="0">
      <items count="7">
        <item x="0"/>
        <item h="1" x="3"/>
        <item h="1" x="1"/>
        <item h="1" x="2"/>
        <item h="1"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i>
    <i>
      <x v="1"/>
    </i>
    <i>
      <x v="2"/>
    </i>
    <i>
      <x v="3"/>
    </i>
    <i>
      <x v="4"/>
    </i>
    <i>
      <x v="5"/>
    </i>
    <i>
      <x v="6"/>
    </i>
    <i>
      <x v="7"/>
    </i>
    <i>
      <x v="8"/>
    </i>
    <i t="grand">
      <x/>
    </i>
  </rowItems>
  <colFields count="1">
    <field x="7"/>
  </colFields>
  <colItems count="6">
    <i>
      <x/>
    </i>
    <i>
      <x v="2"/>
    </i>
    <i>
      <x v="3"/>
    </i>
    <i>
      <x v="4"/>
    </i>
    <i>
      <x v="7"/>
    </i>
    <i t="grand">
      <x/>
    </i>
  </colItems>
  <pageFields count="2">
    <pageField fld="4" hier="-1"/>
    <pageField fld="10" hier="-1"/>
  </pageFields>
  <dataFields count="1">
    <dataField name="Count of Temp Job ID" fld="0" subtotal="count" baseField="0" baseItem="0"/>
  </dataFields>
  <formats count="16">
    <format dxfId="126">
      <pivotArea dataOnly="0" labelOnly="1" grandCol="1" outline="0" fieldPosition="0"/>
    </format>
    <format dxfId="125">
      <pivotArea field="4" type="button" dataOnly="0" labelOnly="1" outline="0" axis="axisPage" fieldPosition="0"/>
    </format>
    <format dxfId="124">
      <pivotArea outline="0" collapsedLevelsAreSubtotals="1" fieldPosition="0"/>
    </format>
    <format dxfId="123">
      <pivotArea dataOnly="0" labelOnly="1" grandCol="1" outline="0" fieldPosition="0"/>
    </format>
    <format dxfId="122">
      <pivotArea outline="0" collapsedLevelsAreSubtotals="1" fieldPosition="0"/>
    </format>
    <format dxfId="121">
      <pivotArea field="1" type="button" dataOnly="0" labelOnly="1" outline="0"/>
    </format>
    <format dxfId="120">
      <pivotArea dataOnly="0" labelOnly="1" grandRow="1" outline="0" fieldPosition="0"/>
    </format>
    <format dxfId="119">
      <pivotArea dataOnly="0" labelOnly="1" grandCol="1" outline="0" fieldPosition="0"/>
    </format>
    <format dxfId="118">
      <pivotArea field="7" type="button" dataOnly="0" labelOnly="1" outline="0" axis="axisCol" fieldPosition="0"/>
    </format>
    <format dxfId="117">
      <pivotArea dataOnly="0" labelOnly="1" outline="0" fieldPosition="0">
        <references count="1">
          <reference field="4" count="0"/>
        </references>
      </pivotArea>
    </format>
    <format dxfId="116">
      <pivotArea field="9" type="button" dataOnly="0" labelOnly="1" outline="0"/>
    </format>
    <format dxfId="115">
      <pivotArea field="10" type="button" dataOnly="0" labelOnly="1" outline="0" axis="axisPage" fieldPosition="1"/>
    </format>
    <format dxfId="114">
      <pivotArea type="topRight" dataOnly="0" labelOnly="1" outline="0" fieldPosition="0"/>
    </format>
    <format dxfId="113">
      <pivotArea outline="0" collapsedLevelsAreSubtotals="1" fieldPosition="0"/>
    </format>
    <format dxfId="112">
      <pivotArea dataOnly="0" labelOnly="1" fieldPosition="0">
        <references count="1">
          <reference field="7" count="4">
            <x v="0"/>
            <x v="2"/>
            <x v="3"/>
            <x v="7"/>
          </reference>
        </references>
      </pivotArea>
    </format>
    <format dxfId="1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F1C718-B89D-E046-A82E-C99F97F490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72:G142" firstHeaderRow="1" firstDataRow="2" firstDataCol="1" rowPageCount="3" colPageCount="1"/>
  <pivotFields count="32">
    <pivotField dataField="1" showAll="0"/>
    <pivotField axis="axisRow" showAll="0" sortType="ascending">
      <items count="13">
        <item x="0"/>
        <item x="1"/>
        <item x="2"/>
        <item x="3"/>
        <item x="4"/>
        <item x="6"/>
        <item x="7"/>
        <item x="8"/>
        <item x="9"/>
        <item x="5"/>
        <item x="10"/>
        <item x="11"/>
        <item t="default"/>
      </items>
    </pivotField>
    <pivotField axis="axisRow" showAll="0">
      <items count="31">
        <item x="18"/>
        <item x="25"/>
        <item x="26"/>
        <item x="1"/>
        <item x="2"/>
        <item x="3"/>
        <item x="5"/>
        <item x="6"/>
        <item x="7"/>
        <item x="8"/>
        <item x="9"/>
        <item x="10"/>
        <item x="17"/>
        <item x="24"/>
        <item x="27"/>
        <item x="28"/>
        <item x="4"/>
        <item x="19"/>
        <item x="20"/>
        <item x="11"/>
        <item x="23"/>
        <item x="13"/>
        <item x="14"/>
        <item x="21"/>
        <item x="12"/>
        <item x="22"/>
        <item x="0"/>
        <item x="15"/>
        <item x="16"/>
        <item x="29"/>
        <item t="default"/>
      </items>
    </pivotField>
    <pivotField axis="axisRow" showAll="0">
      <items count="86">
        <item x="75"/>
        <item x="80"/>
        <item x="39"/>
        <item x="13"/>
        <item x="43"/>
        <item x="20"/>
        <item x="72"/>
        <item x="59"/>
        <item x="68"/>
        <item x="47"/>
        <item x="30"/>
        <item x="46"/>
        <item x="26"/>
        <item x="33"/>
        <item x="5"/>
        <item x="69"/>
        <item x="70"/>
        <item x="7"/>
        <item x="6"/>
        <item x="74"/>
        <item x="37"/>
        <item x="34"/>
        <item x="40"/>
        <item x="53"/>
        <item x="65"/>
        <item x="78"/>
        <item x="55"/>
        <item x="1"/>
        <item x="49"/>
        <item x="77"/>
        <item x="23"/>
        <item x="14"/>
        <item x="44"/>
        <item x="42"/>
        <item x="2"/>
        <item x="73"/>
        <item x="3"/>
        <item x="11"/>
        <item x="19"/>
        <item x="64"/>
        <item x="10"/>
        <item x="45"/>
        <item x="61"/>
        <item x="16"/>
        <item x="58"/>
        <item x="54"/>
        <item x="60"/>
        <item x="25"/>
        <item x="22"/>
        <item x="79"/>
        <item x="15"/>
        <item x="48"/>
        <item x="9"/>
        <item x="67"/>
        <item x="31"/>
        <item x="8"/>
        <item x="71"/>
        <item x="29"/>
        <item x="57"/>
        <item x="28"/>
        <item x="52"/>
        <item x="36"/>
        <item x="50"/>
        <item x="66"/>
        <item x="51"/>
        <item x="17"/>
        <item x="81"/>
        <item x="32"/>
        <item x="62"/>
        <item x="24"/>
        <item x="63"/>
        <item x="38"/>
        <item x="27"/>
        <item x="35"/>
        <item x="0"/>
        <item x="76"/>
        <item x="56"/>
        <item x="41"/>
        <item x="21"/>
        <item x="82"/>
        <item x="18"/>
        <item x="83"/>
        <item x="4"/>
        <item x="84"/>
        <item x="12"/>
        <item t="default"/>
      </items>
    </pivotField>
    <pivotField axis="axisPage" multipleItemSelectionAllowed="1" showAll="0" sortType="ascending">
      <items count="8">
        <item h="1" x="2"/>
        <item h="1" x="4"/>
        <item h="1" x="3"/>
        <item x="0"/>
        <item h="1" x="5"/>
        <item h="1" x="1"/>
        <item h="1" x="6"/>
        <item t="default"/>
      </items>
    </pivotField>
    <pivotField showAll="0"/>
    <pivotField showAll="0"/>
    <pivotField showAll="0"/>
    <pivotField showAll="0"/>
    <pivotField axis="axisPage" multipleItemSelectionAllowed="1" showAll="0">
      <items count="14">
        <item h="1" x="4"/>
        <item h="1" x="10"/>
        <item h="1" x="0"/>
        <item h="1" x="6"/>
        <item h="1" x="9"/>
        <item h="1" x="7"/>
        <item h="1" x="1"/>
        <item h="1" x="8"/>
        <item x="2"/>
        <item x="3"/>
        <item h="1" x="5"/>
        <item h="1" x="11"/>
        <item h="1" x="12"/>
        <item t="default"/>
      </items>
    </pivotField>
    <pivotField axis="axisPage" multipleItemSelectionAllowed="1" showAll="0">
      <items count="7">
        <item h="1" x="0"/>
        <item x="3"/>
        <item x="4"/>
        <item x="1"/>
        <item x="2"/>
        <item h="1" x="5"/>
        <item t="default"/>
      </items>
    </pivotField>
    <pivotField axis="axisCol"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
    <field x="2"/>
    <field x="3"/>
  </rowFields>
  <rowItems count="69">
    <i>
      <x/>
    </i>
    <i r="1">
      <x v="26"/>
    </i>
    <i r="2">
      <x v="27"/>
    </i>
    <i>
      <x v="1"/>
    </i>
    <i r="1">
      <x v="5"/>
    </i>
    <i r="2">
      <x v="3"/>
    </i>
    <i r="2">
      <x v="14"/>
    </i>
    <i r="2">
      <x v="17"/>
    </i>
    <i r="2">
      <x v="34"/>
    </i>
    <i r="2">
      <x v="40"/>
    </i>
    <i r="2">
      <x v="84"/>
    </i>
    <i r="1">
      <x v="6"/>
    </i>
    <i r="2">
      <x v="36"/>
    </i>
    <i r="1">
      <x v="8"/>
    </i>
    <i r="2">
      <x v="5"/>
    </i>
    <i r="2">
      <x v="34"/>
    </i>
    <i r="2">
      <x v="38"/>
    </i>
    <i r="2">
      <x v="78"/>
    </i>
    <i r="2">
      <x v="80"/>
    </i>
    <i r="1">
      <x v="9"/>
    </i>
    <i r="2">
      <x v="34"/>
    </i>
    <i r="2">
      <x v="48"/>
    </i>
    <i r="1">
      <x v="11"/>
    </i>
    <i r="2">
      <x v="72"/>
    </i>
    <i r="1">
      <x v="16"/>
    </i>
    <i r="2">
      <x v="18"/>
    </i>
    <i>
      <x v="3"/>
    </i>
    <i r="1">
      <x v="24"/>
    </i>
    <i r="2">
      <x v="13"/>
    </i>
    <i r="2">
      <x v="54"/>
    </i>
    <i>
      <x v="4"/>
    </i>
    <i r="1">
      <x v="21"/>
    </i>
    <i r="2">
      <x v="21"/>
    </i>
    <i r="2">
      <x v="73"/>
    </i>
    <i r="1">
      <x v="27"/>
    </i>
    <i r="2">
      <x v="61"/>
    </i>
    <i r="1">
      <x v="28"/>
    </i>
    <i r="2">
      <x v="20"/>
    </i>
    <i r="2">
      <x v="71"/>
    </i>
    <i>
      <x v="5"/>
    </i>
    <i r="1">
      <x v="12"/>
    </i>
    <i r="2">
      <x v="4"/>
    </i>
    <i r="2">
      <x v="32"/>
    </i>
    <i r="1">
      <x v="23"/>
    </i>
    <i r="2">
      <x v="11"/>
    </i>
    <i r="1">
      <x v="25"/>
    </i>
    <i r="2">
      <x v="9"/>
    </i>
    <i>
      <x v="6"/>
    </i>
    <i r="1">
      <x v="20"/>
    </i>
    <i r="2">
      <x v="51"/>
    </i>
    <i>
      <x v="7"/>
    </i>
    <i r="1">
      <x v="13"/>
    </i>
    <i r="2">
      <x v="26"/>
    </i>
    <i r="2">
      <x v="44"/>
    </i>
    <i r="2">
      <x v="76"/>
    </i>
    <i>
      <x v="8"/>
    </i>
    <i r="1">
      <x v="1"/>
    </i>
    <i r="2">
      <x v="39"/>
    </i>
    <i r="2">
      <x v="70"/>
    </i>
    <i>
      <x v="9"/>
    </i>
    <i r="1">
      <x/>
    </i>
    <i r="2">
      <x v="16"/>
    </i>
    <i>
      <x v="10"/>
    </i>
    <i r="1">
      <x v="15"/>
    </i>
    <i r="2">
      <x v="25"/>
    </i>
    <i r="2">
      <x v="49"/>
    </i>
    <i r="2">
      <x v="79"/>
    </i>
    <i r="2">
      <x v="81"/>
    </i>
    <i t="grand">
      <x/>
    </i>
  </rowItems>
  <colFields count="1">
    <field x="11"/>
  </colFields>
  <colItems count="6">
    <i>
      <x v="2"/>
    </i>
    <i>
      <x v="3"/>
    </i>
    <i>
      <x v="5"/>
    </i>
    <i>
      <x v="6"/>
    </i>
    <i>
      <x v="7"/>
    </i>
    <i t="grand">
      <x/>
    </i>
  </colItems>
  <pageFields count="3">
    <pageField fld="4" hier="-1"/>
    <pageField fld="10" hier="-1"/>
    <pageField fld="9" hier="-1"/>
  </pageFields>
  <dataFields count="1">
    <dataField name="Count of Temp Job ID" fld="0" subtotal="count" baseField="0" baseItem="0"/>
  </dataFields>
  <formats count="8">
    <format dxfId="29">
      <pivotArea dataOnly="0" labelOnly="1" grandCol="1" outline="0" fieldPosition="0"/>
    </format>
    <format dxfId="28">
      <pivotArea field="4" type="button" dataOnly="0" labelOnly="1" outline="0" axis="axisPage" fieldPosition="0"/>
    </format>
    <format dxfId="27">
      <pivotArea dataOnly="0" labelOnly="1" fieldPosition="0">
        <references count="1">
          <reference field="9" count="4">
            <x v="8"/>
            <x v="9"/>
            <x v="10"/>
            <x v="11"/>
          </reference>
        </references>
      </pivotArea>
    </format>
    <format dxfId="26">
      <pivotArea outline="0" collapsedLevelsAreSubtotals="1" fieldPosition="0"/>
    </format>
    <format dxfId="25">
      <pivotArea field="11" type="button" dataOnly="0" labelOnly="1" outline="0" axis="axisCol" fieldPosition="0"/>
    </format>
    <format dxfId="24">
      <pivotArea type="topRight" dataOnly="0" labelOnly="1" outline="0" fieldPosition="0"/>
    </format>
    <format dxfId="23">
      <pivotArea dataOnly="0" labelOnly="1" fieldPosition="0">
        <references count="1">
          <reference field="11" count="0"/>
        </references>
      </pivotArea>
    </format>
    <format dxfId="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EA8AD6-572E-D84C-A87C-31A58D8E2C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50:B60" firstHeaderRow="1" firstDataRow="1" firstDataCol="1" rowPageCount="3" colPageCount="1"/>
  <pivotFields count="32">
    <pivotField dataField="1" showAll="0"/>
    <pivotField showAll="0">
      <items count="13">
        <item sd="0" x="8"/>
        <item h="1" x="11"/>
        <item sd="0" x="10"/>
        <item sd="0" x="1"/>
        <item sd="0" x="9"/>
        <item sd="0" x="5"/>
        <item sd="0" x="6"/>
        <item sd="0" x="2"/>
        <item sd="0" x="7"/>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6"/>
        <item x="5"/>
        <item x="7"/>
        <item x="3"/>
        <item t="default"/>
      </items>
    </pivotField>
    <pivotField showAll="0"/>
    <pivotField axis="axisPage" multipleItemSelectionAllowed="1" showAll="0">
      <items count="14">
        <item x="4"/>
        <item x="10"/>
        <item x="0"/>
        <item x="6"/>
        <item x="9"/>
        <item x="7"/>
        <item x="1"/>
        <item x="8"/>
        <item h="1" x="2"/>
        <item h="1" x="3"/>
        <item h="1" x="5"/>
        <item h="1" x="11"/>
        <item x="12"/>
        <item t="default"/>
      </items>
    </pivotField>
    <pivotField axis="axisPage" multipleItemSelectionAllowed="1" showAll="0">
      <items count="7">
        <item x="0"/>
        <item h="1" x="3"/>
        <item h="1" x="1"/>
        <item h="1" x="2"/>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Items count="1">
    <i/>
  </colItems>
  <pageFields count="3">
    <pageField fld="4" hier="-1"/>
    <pageField fld="10" hier="-1"/>
    <pageField fld="9" hier="-1"/>
  </pageFields>
  <dataFields count="1">
    <dataField name="Count of Temp Job ID" fld="0" subtotal="count" baseField="0" baseItem="0"/>
  </dataFields>
  <formats count="15">
    <format dxfId="44">
      <pivotArea dataOnly="0" labelOnly="1" grandCol="1" outline="0" fieldPosition="0"/>
    </format>
    <format dxfId="43">
      <pivotArea field="4" type="button" dataOnly="0" labelOnly="1" outline="0" axis="axisPage" fieldPosition="0"/>
    </format>
    <format dxfId="42">
      <pivotArea outline="0" collapsedLevelsAreSubtotals="1" fieldPosition="0"/>
    </format>
    <format dxfId="41">
      <pivotArea dataOnly="0" labelOnly="1" grandCol="1" outline="0" fieldPosition="0"/>
    </format>
    <format dxfId="40">
      <pivotArea outline="0" collapsedLevelsAreSubtotals="1" fieldPosition="0"/>
    </format>
    <format dxfId="39">
      <pivotArea field="1" type="button" dataOnly="0" labelOnly="1" outline="0"/>
    </format>
    <format dxfId="38">
      <pivotArea dataOnly="0" labelOnly="1" grandRow="1" outline="0" fieldPosition="0"/>
    </format>
    <format dxfId="37">
      <pivotArea dataOnly="0" labelOnly="1" grandCol="1" outline="0" fieldPosition="0"/>
    </format>
    <format dxfId="36">
      <pivotArea field="7" type="button" dataOnly="0" labelOnly="1" outline="0"/>
    </format>
    <format dxfId="35">
      <pivotArea dataOnly="0" labelOnly="1" outline="0" fieldPosition="0">
        <references count="1">
          <reference field="4" count="0"/>
        </references>
      </pivotArea>
    </format>
    <format dxfId="34">
      <pivotArea field="9" type="button" dataOnly="0" labelOnly="1" outline="0" axis="axisPage" fieldPosition="2"/>
    </format>
    <format dxfId="33">
      <pivotArea field="10" type="button" dataOnly="0" labelOnly="1" outline="0" axis="axisPage" fieldPosition="1"/>
    </format>
    <format dxfId="32">
      <pivotArea type="topRight" dataOnly="0" labelOnly="1" outline="0" fieldPosition="0"/>
    </format>
    <format dxfId="31">
      <pivotArea outline="0" collapsedLevelsAreSubtotals="1" fieldPosition="0"/>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9966AE-1B3D-F142-8AF2-4B823FAA02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28:E41" firstHeaderRow="1" firstDataRow="2" firstDataCol="1" rowPageCount="2" colPageCount="1"/>
  <pivotFields count="32">
    <pivotField dataField="1" showAll="0"/>
    <pivotField axis="axisRow" showAll="0" sortType="ascending">
      <items count="13">
        <item x="0"/>
        <item x="1"/>
        <item x="2"/>
        <item x="3"/>
        <item x="4"/>
        <item x="6"/>
        <item x="7"/>
        <item x="8"/>
        <item x="9"/>
        <item x="5"/>
        <item x="10"/>
        <item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pivotField showAll="0"/>
    <pivotField axis="axisPage" multipleItemSelectionAllowed="1" showAll="0">
      <items count="14">
        <item h="1" x="4"/>
        <item h="1" x="10"/>
        <item h="1" x="0"/>
        <item h="1" x="6"/>
        <item h="1" x="9"/>
        <item h="1" x="7"/>
        <item h="1" x="1"/>
        <item h="1" x="8"/>
        <item x="2"/>
        <item x="3"/>
        <item x="5"/>
        <item x="11"/>
        <item x="12"/>
        <item t="default"/>
      </items>
    </pivotField>
    <pivotField showAll="0"/>
    <pivotField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8">
        <item x="0"/>
        <item x="1"/>
        <item x="3"/>
        <item x="2"/>
        <item x="4"/>
        <item x="6"/>
        <item x="5"/>
        <item t="default"/>
      </items>
    </pivotField>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2"/>
  </colFields>
  <colItems count="4">
    <i>
      <x/>
    </i>
    <i>
      <x v="1"/>
    </i>
    <i>
      <x v="2"/>
    </i>
    <i t="grand">
      <x/>
    </i>
  </colItems>
  <pageFields count="2">
    <pageField fld="4" hier="-1"/>
    <pageField fld="9" hier="-1"/>
  </pageFields>
  <dataFields count="1">
    <dataField name="Count of Temp Job ID" fld="0" subtotal="count" baseField="0" baseItem="0"/>
  </dataFields>
  <formats count="6">
    <format dxfId="50">
      <pivotArea dataOnly="0" labelOnly="1" grandCol="1" outline="0" fieldPosition="0"/>
    </format>
    <format dxfId="49">
      <pivotArea field="4" type="button" dataOnly="0" labelOnly="1" outline="0" axis="axisPage" fieldPosition="0"/>
    </format>
    <format dxfId="48">
      <pivotArea outline="0" collapsedLevelsAreSubtotals="1" fieldPosition="0"/>
    </format>
    <format dxfId="47">
      <pivotArea field="11" type="button" dataOnly="0" labelOnly="1" outline="0"/>
    </format>
    <format dxfId="46">
      <pivotArea type="topRight" dataOnly="0" labelOnly="1" outline="0" fieldPosition="0"/>
    </format>
    <format dxfId="4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5BE207-FDE9-574D-8E82-8C5B051072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9:E22" firstHeaderRow="1" firstDataRow="2" firstDataCol="1" rowPageCount="2" colPageCount="1"/>
  <pivotFields count="32">
    <pivotField dataField="1" showAll="0"/>
    <pivotField axis="axisRow" showAll="0" sortType="ascending">
      <items count="13">
        <item x="0"/>
        <item x="1"/>
        <item x="2"/>
        <item x="3"/>
        <item x="4"/>
        <item x="6"/>
        <item x="7"/>
        <item x="8"/>
        <item x="9"/>
        <item x="5"/>
        <item x="10"/>
        <item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pivotField showAll="0"/>
    <pivotField axis="axisPage" multipleItemSelectionAllowed="1" showAll="0">
      <items count="14">
        <item h="1" x="4"/>
        <item h="1" x="10"/>
        <item h="1" x="0"/>
        <item h="1" x="6"/>
        <item h="1" x="9"/>
        <item h="1" x="7"/>
        <item h="1" x="1"/>
        <item h="1" x="8"/>
        <item x="2"/>
        <item x="3"/>
        <item x="5"/>
        <item x="11"/>
        <item h="1" x="12"/>
        <item t="default"/>
      </items>
    </pivotField>
    <pivotField showAll="0"/>
    <pivotField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axis="axisCol" showAll="0">
      <items count="8">
        <item x="0"/>
        <item x="3"/>
        <item x="1"/>
        <item x="2"/>
        <item x="4"/>
        <item x="6"/>
        <item x="5"/>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1"/>
  </colFields>
  <colItems count="4">
    <i>
      <x/>
    </i>
    <i>
      <x v="1"/>
    </i>
    <i>
      <x v="2"/>
    </i>
    <i t="grand">
      <x/>
    </i>
  </colItems>
  <pageFields count="2">
    <pageField fld="4" hier="-1"/>
    <pageField fld="9" hier="-1"/>
  </pageFields>
  <dataFields count="1">
    <dataField name="Count of Temp Job ID" fld="0" subtotal="count" baseField="0" baseItem="0"/>
  </dataFields>
  <formats count="6">
    <format dxfId="56">
      <pivotArea dataOnly="0" labelOnly="1" grandCol="1" outline="0" fieldPosition="0"/>
    </format>
    <format dxfId="55">
      <pivotArea field="4" type="button" dataOnly="0" labelOnly="1" outline="0" axis="axisPage" fieldPosition="0"/>
    </format>
    <format dxfId="54">
      <pivotArea outline="0" collapsedLevelsAreSubtotals="1" fieldPosition="0"/>
    </format>
    <format dxfId="53">
      <pivotArea field="11" type="button" dataOnly="0" labelOnly="1" outline="0"/>
    </format>
    <format dxfId="52">
      <pivotArea type="topRight" dataOnly="0" labelOnly="1" outline="0" fieldPosition="0"/>
    </format>
    <format dxfId="5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90" dT="2025-09-30T06:38:09.38" personId="{A5B22284-3970-884B-B6E2-EDC95E2BE4CF}" id="{5A14E02F-19A6-0D40-ABB1-461D5D279B4A}">
    <text>As Peiwen is moved out from this role, and the backfill will be needed in 2027.</text>
  </threadedComment>
  <threadedComment ref="D165" dT="2025-09-02T17:40:17.39" personId="{86BA5420-94D6-E14D-A50E-532BD77F04D6}" id="{442F7944-9BCB-DC4D-90D6-4503BCB3AD81}">
    <text>@Prameela Ramesan  Have you reviewed these to make sure they capture what you need?</text>
    <mentions>
      <mention mentionpersonId="{C1900403-2824-594E-91D4-31961BE8FC21}" mentionId="{D77C72C3-2D70-DB4C-9F67-403735DCC717}" startIndex="0" length="17"/>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2.xml"/><Relationship Id="rId4"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1573-E2E8-4B4E-B11B-3F7269ABEF60}">
  <sheetPr filterMode="1">
    <pageSetUpPr fitToPage="1"/>
  </sheetPr>
  <dimension ref="A1:AG347"/>
  <sheetViews>
    <sheetView tabSelected="1" zoomScale="110" zoomScaleNormal="110" workbookViewId="0">
      <pane xSplit="4" ySplit="1" topLeftCell="E4" activePane="bottomRight" state="frozen"/>
      <selection pane="topRight" activeCell="E1" sqref="E1"/>
      <selection pane="bottomLeft" activeCell="A2" sqref="A2"/>
      <selection pane="bottomRight" activeCell="I1" sqref="I1"/>
    </sheetView>
  </sheetViews>
  <sheetFormatPr baseColWidth="10" defaultColWidth="12.33203125" defaultRowHeight="15" outlineLevelCol="1" x14ac:dyDescent="0.2"/>
  <cols>
    <col min="1" max="1" width="10.1640625" style="4" customWidth="1"/>
    <col min="2" max="2" width="18.83203125" style="4" customWidth="1"/>
    <col min="3" max="3" width="20.83203125" style="4" customWidth="1"/>
    <col min="4" max="4" width="19.5" style="4" customWidth="1"/>
    <col min="5" max="5" width="10.83203125" style="4" customWidth="1"/>
    <col min="6" max="6" width="16.83203125" style="4" customWidth="1"/>
    <col min="7" max="7" width="31.5" style="5" customWidth="1"/>
    <col min="8" max="8" width="9.1640625" style="4" customWidth="1"/>
    <col min="9" max="9" width="11.33203125" style="4" customWidth="1"/>
    <col min="10" max="10" width="8.83203125" style="4" customWidth="1"/>
    <col min="11" max="11" width="8.6640625" style="4" customWidth="1"/>
    <col min="12" max="12" width="10.83203125" style="4" customWidth="1" outlineLevel="1"/>
    <col min="13" max="13" width="11.1640625" style="4" customWidth="1" outlineLevel="1"/>
    <col min="14" max="14" width="22.1640625" style="5" customWidth="1" outlineLevel="1"/>
    <col min="15" max="15" width="10" style="4" customWidth="1" outlineLevel="1"/>
    <col min="16" max="16" width="11" style="4" bestFit="1" customWidth="1"/>
    <col min="17" max="17" width="40.6640625" style="5" customWidth="1" outlineLevel="1"/>
    <col min="18" max="18" width="32.6640625" style="5" customWidth="1" outlineLevel="1"/>
    <col min="19" max="19" width="23" style="5" customWidth="1" outlineLevel="1"/>
    <col min="20" max="20" width="32.33203125" style="5" customWidth="1" outlineLevel="1"/>
    <col min="21" max="21" width="19.33203125" style="3" customWidth="1" outlineLevel="1"/>
    <col min="22" max="22" width="16.5" style="5" customWidth="1"/>
    <col min="23" max="24" width="18.5" style="326" customWidth="1"/>
    <col min="25" max="25" width="25.83203125" style="326" customWidth="1" outlineLevel="1"/>
    <col min="26" max="26" width="16.33203125" style="326" customWidth="1" outlineLevel="1"/>
    <col min="27" max="28" width="17.33203125" style="326" customWidth="1" outlineLevel="1"/>
    <col min="29" max="29" width="32.1640625" style="326" customWidth="1" outlineLevel="1"/>
    <col min="30" max="30" width="29.6640625" style="326" customWidth="1" outlineLevel="1"/>
    <col min="31" max="31" width="24.1640625" style="326" customWidth="1" outlineLevel="1"/>
    <col min="32" max="32" width="13.6640625" style="326" customWidth="1"/>
    <col min="33" max="33" width="16.1640625" style="3" customWidth="1"/>
    <col min="34" max="16384" width="12.33203125" style="3"/>
  </cols>
  <sheetData>
    <row r="1" spans="1:33" ht="48" x14ac:dyDescent="0.2">
      <c r="A1" s="234" t="s">
        <v>0</v>
      </c>
      <c r="B1" s="234" t="s">
        <v>1</v>
      </c>
      <c r="C1" s="234" t="s">
        <v>2</v>
      </c>
      <c r="D1" s="234" t="s">
        <v>3</v>
      </c>
      <c r="E1" s="235" t="s">
        <v>4</v>
      </c>
      <c r="F1" s="235" t="s">
        <v>5</v>
      </c>
      <c r="G1" s="235" t="s">
        <v>6</v>
      </c>
      <c r="H1" s="235" t="s">
        <v>7</v>
      </c>
      <c r="I1" s="236" t="s">
        <v>2117</v>
      </c>
      <c r="J1" s="236" t="s">
        <v>2119</v>
      </c>
      <c r="K1" s="235" t="s">
        <v>8</v>
      </c>
      <c r="L1" s="234" t="s">
        <v>9</v>
      </c>
      <c r="M1" s="234" t="s">
        <v>10</v>
      </c>
      <c r="N1" s="235" t="s">
        <v>11</v>
      </c>
      <c r="O1" s="234" t="s">
        <v>12</v>
      </c>
      <c r="P1" s="235" t="s">
        <v>13</v>
      </c>
      <c r="Q1" s="235" t="s">
        <v>14</v>
      </c>
      <c r="R1" s="237" t="s">
        <v>15</v>
      </c>
      <c r="S1" s="235" t="s">
        <v>16</v>
      </c>
      <c r="T1" s="235" t="s">
        <v>17</v>
      </c>
      <c r="U1" s="235" t="s">
        <v>18</v>
      </c>
      <c r="V1" s="235" t="s">
        <v>19</v>
      </c>
      <c r="W1" s="323" t="s">
        <v>20</v>
      </c>
      <c r="X1" s="323" t="s">
        <v>21</v>
      </c>
      <c r="Y1" s="323" t="s">
        <v>22</v>
      </c>
      <c r="Z1" s="334" t="s">
        <v>23</v>
      </c>
      <c r="AA1" s="323" t="s">
        <v>24</v>
      </c>
      <c r="AB1" s="334" t="s">
        <v>25</v>
      </c>
      <c r="AC1" s="323" t="s">
        <v>26</v>
      </c>
      <c r="AD1" s="323" t="s">
        <v>27</v>
      </c>
      <c r="AE1" s="323" t="s">
        <v>28</v>
      </c>
      <c r="AF1" s="334" t="s">
        <v>29</v>
      </c>
      <c r="AG1" s="238" t="s">
        <v>30</v>
      </c>
    </row>
    <row r="2" spans="1:33" ht="15" hidden="1" customHeight="1" x14ac:dyDescent="0.2">
      <c r="A2" s="239">
        <v>1002</v>
      </c>
      <c r="B2" s="240" t="s">
        <v>31</v>
      </c>
      <c r="C2" s="240" t="s">
        <v>32</v>
      </c>
      <c r="D2" s="240" t="s">
        <v>33</v>
      </c>
      <c r="E2" s="241" t="s">
        <v>34</v>
      </c>
      <c r="F2" s="241" t="s">
        <v>35</v>
      </c>
      <c r="G2" s="242" t="s">
        <v>36</v>
      </c>
      <c r="H2" s="243" t="s">
        <v>37</v>
      </c>
      <c r="I2" s="241"/>
      <c r="J2" s="241"/>
      <c r="K2" s="244" t="s">
        <v>38</v>
      </c>
      <c r="L2" s="241" t="s">
        <v>39</v>
      </c>
      <c r="M2" s="241"/>
      <c r="N2" s="245" t="s">
        <v>40</v>
      </c>
      <c r="O2" s="246">
        <v>10019</v>
      </c>
      <c r="P2" s="241" t="s">
        <v>41</v>
      </c>
      <c r="Q2" s="240" t="s">
        <v>42</v>
      </c>
      <c r="R2" s="240"/>
      <c r="S2" s="245"/>
      <c r="T2" s="245"/>
      <c r="U2" s="245"/>
      <c r="V2" s="242"/>
      <c r="W2" s="332" t="s">
        <v>43</v>
      </c>
      <c r="X2" s="332" t="s">
        <v>43</v>
      </c>
      <c r="Y2" s="336" t="s">
        <v>44</v>
      </c>
      <c r="Z2" s="337" t="s">
        <v>45</v>
      </c>
      <c r="AA2" s="336" t="str">
        <f>_xlfn.XLOOKUP($A2,'2026 Approved Budget'!$B:$B,'2026 Approved Budget'!C:C)</f>
        <v>930 Communications</v>
      </c>
      <c r="AB2" s="336" t="s">
        <v>46</v>
      </c>
      <c r="AC2" s="336" t="str">
        <f>_xlfn.XLOOKUP($A2,'2026 Approved Budget'!$B:$B,'2026 Approved Budget'!D:D)</f>
        <v>Emily Faucette</v>
      </c>
      <c r="AD2" s="336" t="str">
        <f>_xlfn.XLOOKUP($A2,'2026 Approved Budget'!$B:$B,'2026 Approved Budget'!E:E)</f>
        <v>10. C-Suite</v>
      </c>
      <c r="AE2" s="336" t="str">
        <f>_xlfn.XLOOKUP($A2,'2026 Approved Budget'!$B:$B,'2026 Approved Budget'!F:F)</f>
        <v>Chief Communications Officer</v>
      </c>
      <c r="AF2" s="338">
        <f>_xlfn.XLOOKUP($A2,'2026 Approved Budget'!$B:$B,'2026 Approved Budget'!H:H)</f>
        <v>45488</v>
      </c>
      <c r="AG2" s="252"/>
    </row>
    <row r="3" spans="1:33" ht="90" hidden="1" customHeight="1" x14ac:dyDescent="0.2">
      <c r="A3" s="239">
        <v>1003</v>
      </c>
      <c r="B3" s="240" t="s">
        <v>31</v>
      </c>
      <c r="C3" s="240" t="s">
        <v>32</v>
      </c>
      <c r="D3" s="245" t="s">
        <v>47</v>
      </c>
      <c r="E3" s="241" t="s">
        <v>34</v>
      </c>
      <c r="F3" s="243" t="s">
        <v>48</v>
      </c>
      <c r="G3" s="242" t="s">
        <v>49</v>
      </c>
      <c r="H3" s="243" t="s">
        <v>50</v>
      </c>
      <c r="I3" s="241"/>
      <c r="J3" s="241"/>
      <c r="K3" s="247" t="s">
        <v>51</v>
      </c>
      <c r="L3" s="246" t="s">
        <v>39</v>
      </c>
      <c r="M3" s="246" t="s">
        <v>52</v>
      </c>
      <c r="N3" s="245" t="s">
        <v>53</v>
      </c>
      <c r="O3" s="246">
        <v>10265</v>
      </c>
      <c r="P3" s="241" t="s">
        <v>41</v>
      </c>
      <c r="Q3" s="240" t="s">
        <v>54</v>
      </c>
      <c r="R3" s="240" t="s">
        <v>55</v>
      </c>
      <c r="S3" s="245" t="s">
        <v>56</v>
      </c>
      <c r="T3" s="245" t="s">
        <v>57</v>
      </c>
      <c r="U3" s="245"/>
      <c r="V3" s="242"/>
      <c r="W3" s="332" t="s">
        <v>43</v>
      </c>
      <c r="X3" s="332" t="s">
        <v>43</v>
      </c>
      <c r="Y3" s="336" t="s">
        <v>44</v>
      </c>
      <c r="Z3" s="337" t="s">
        <v>45</v>
      </c>
      <c r="AA3" s="336" t="str">
        <f>_xlfn.XLOOKUP($A3,'2026 Approved Budget'!$B:$B,'2026 Approved Budget'!C:C)</f>
        <v>930 Communications</v>
      </c>
      <c r="AB3" s="336" t="s">
        <v>46</v>
      </c>
      <c r="AC3" s="336" t="str">
        <f>_xlfn.XLOOKUP($A3,'2026 Approved Budget'!$B:$B,'2026 Approved Budget'!D:D)</f>
        <v>Michael Bachner</v>
      </c>
      <c r="AD3" s="336" t="str">
        <f>_xlfn.XLOOKUP($A3,'2026 Approved Budget'!$B:$B,'2026 Approved Budget'!E:E)</f>
        <v>07. Exec. Director</v>
      </c>
      <c r="AE3" s="336" t="str">
        <f>_xlfn.XLOOKUP($A3,'2026 Approved Budget'!$B:$B,'2026 Approved Budget'!F:F)</f>
        <v>Executive Director, External Communications</v>
      </c>
      <c r="AF3" s="338">
        <f>_xlfn.XLOOKUP($A3,'2026 Approved Budget'!$B:$B,'2026 Approved Budget'!H:H)</f>
        <v>45894</v>
      </c>
      <c r="AG3" s="252"/>
    </row>
    <row r="4" spans="1:33" ht="135" customHeight="1" x14ac:dyDescent="0.2">
      <c r="A4" s="239">
        <v>1004</v>
      </c>
      <c r="B4" s="248" t="s">
        <v>31</v>
      </c>
      <c r="C4" s="248" t="s">
        <v>32</v>
      </c>
      <c r="D4" s="249" t="s">
        <v>47</v>
      </c>
      <c r="E4" s="250" t="s">
        <v>34</v>
      </c>
      <c r="F4" s="251" t="s">
        <v>48</v>
      </c>
      <c r="G4" s="252" t="s">
        <v>70</v>
      </c>
      <c r="H4" s="251" t="s">
        <v>37</v>
      </c>
      <c r="I4" s="250">
        <v>1</v>
      </c>
      <c r="J4" s="250"/>
      <c r="K4" s="253" t="s">
        <v>71</v>
      </c>
      <c r="L4" s="239" t="s">
        <v>62</v>
      </c>
      <c r="M4" s="239" t="s">
        <v>52</v>
      </c>
      <c r="N4" s="249"/>
      <c r="O4" s="239"/>
      <c r="P4" s="239" t="s">
        <v>41</v>
      </c>
      <c r="Q4" s="248" t="s">
        <v>72</v>
      </c>
      <c r="R4" s="248" t="s">
        <v>73</v>
      </c>
      <c r="S4" s="249" t="s">
        <v>74</v>
      </c>
      <c r="T4" s="249" t="s">
        <v>57</v>
      </c>
      <c r="U4" s="249"/>
      <c r="V4" s="252"/>
      <c r="W4" s="103" t="s">
        <v>75</v>
      </c>
      <c r="X4" s="103" t="s">
        <v>76</v>
      </c>
      <c r="Y4" s="275" t="s">
        <v>69</v>
      </c>
      <c r="Z4" s="337" t="s">
        <v>45</v>
      </c>
      <c r="AA4" s="336" t="str">
        <f>_xlfn.XLOOKUP($A4,'2026 Approved Budget'!$B:$B,'2026 Approved Budget'!C:C)</f>
        <v>930 Communications</v>
      </c>
      <c r="AB4" s="336" t="s">
        <v>46</v>
      </c>
      <c r="AC4" s="336" t="str">
        <f>_xlfn.XLOOKUP($A4,'2026 Approved Budget'!$B:$B,'2026 Approved Budget'!D:D)</f>
        <v>CW: Meredith Kiernan (Convert to FTE Q1 26)</v>
      </c>
      <c r="AD4" s="336" t="str">
        <f>_xlfn.XLOOKUP($A4,'2026 Approved Budget'!$B:$B,'2026 Approved Budget'!E:E)</f>
        <v>06. Sr. Director</v>
      </c>
      <c r="AE4" s="336" t="str">
        <f>_xlfn.XLOOKUP($A4,'2026 Approved Budget'!$B:$B,'2026 Approved Budget'!F:F)</f>
        <v>Senior Director, Internal Communication</v>
      </c>
      <c r="AF4" s="338">
        <f>_xlfn.XLOOKUP($A4,'2026 Approved Budget'!$B:$B,'2026 Approved Budget'!H:H)</f>
        <v>46096</v>
      </c>
      <c r="AG4" s="252"/>
    </row>
    <row r="5" spans="1:33" ht="90" customHeight="1" x14ac:dyDescent="0.2">
      <c r="A5" s="239">
        <v>5001</v>
      </c>
      <c r="B5" s="248" t="s">
        <v>31</v>
      </c>
      <c r="C5" s="248" t="s">
        <v>32</v>
      </c>
      <c r="D5" s="249" t="s">
        <v>47</v>
      </c>
      <c r="E5" s="250" t="s">
        <v>34</v>
      </c>
      <c r="F5" s="251" t="s">
        <v>58</v>
      </c>
      <c r="G5" s="252" t="s">
        <v>59</v>
      </c>
      <c r="H5" s="251" t="s">
        <v>60</v>
      </c>
      <c r="I5" s="250">
        <v>2</v>
      </c>
      <c r="J5" s="250"/>
      <c r="K5" s="253" t="s">
        <v>61</v>
      </c>
      <c r="L5" s="239" t="s">
        <v>62</v>
      </c>
      <c r="M5" s="239" t="s">
        <v>63</v>
      </c>
      <c r="N5" s="249" t="s">
        <v>64</v>
      </c>
      <c r="O5" s="239"/>
      <c r="P5" s="239" t="s">
        <v>41</v>
      </c>
      <c r="Q5" s="248" t="s">
        <v>65</v>
      </c>
      <c r="R5" s="248" t="s">
        <v>66</v>
      </c>
      <c r="S5" s="249" t="s">
        <v>67</v>
      </c>
      <c r="T5" s="249" t="s">
        <v>68</v>
      </c>
      <c r="U5" s="249"/>
      <c r="V5" s="252"/>
      <c r="W5" s="332" t="s">
        <v>43</v>
      </c>
      <c r="X5" s="332" t="s">
        <v>43</v>
      </c>
      <c r="Y5" s="275" t="s">
        <v>69</v>
      </c>
      <c r="Z5" s="337" t="s">
        <v>45</v>
      </c>
      <c r="AA5" s="336" t="str">
        <f>_xlfn.XLOOKUP($A5,'2026 Approved Budget'!$B:$B,'2026 Approved Budget'!C:C)</f>
        <v>930 Communications</v>
      </c>
      <c r="AB5" s="336" t="s">
        <v>46</v>
      </c>
      <c r="AC5" s="336" t="str">
        <f>_xlfn.XLOOKUP($A5,'2026 Approved Budget'!$B:$B,'2026 Approved Budget'!D:D)</f>
        <v>N/A</v>
      </c>
      <c r="AD5" s="336" t="str">
        <f>_xlfn.XLOOKUP($A5,'2026 Approved Budget'!$B:$B,'2026 Approved Budget'!E:E)</f>
        <v>06. Sr. Director</v>
      </c>
      <c r="AE5" s="336" t="str">
        <f>_xlfn.XLOOKUP($A5,'2026 Approved Budget'!$B:$B,'2026 Approved Budget'!F:F)</f>
        <v>KardiPro Internal and External Communications</v>
      </c>
      <c r="AF5" s="338">
        <f>_xlfn.XLOOKUP($A5,'2026 Approved Budget'!$B:$B,'2026 Approved Budget'!H:H)</f>
        <v>46096</v>
      </c>
      <c r="AG5" s="252"/>
    </row>
    <row r="6" spans="1:33" ht="30" hidden="1" customHeight="1" x14ac:dyDescent="0.2">
      <c r="A6" s="239">
        <v>1310</v>
      </c>
      <c r="B6" s="240" t="s">
        <v>77</v>
      </c>
      <c r="C6" s="240" t="s">
        <v>78</v>
      </c>
      <c r="D6" s="240" t="s">
        <v>33</v>
      </c>
      <c r="E6" s="241" t="s">
        <v>34</v>
      </c>
      <c r="F6" s="246" t="s">
        <v>35</v>
      </c>
      <c r="G6" s="242" t="s">
        <v>90</v>
      </c>
      <c r="H6" s="243" t="s">
        <v>50</v>
      </c>
      <c r="I6" s="241"/>
      <c r="J6" s="241"/>
      <c r="K6" s="247" t="s">
        <v>91</v>
      </c>
      <c r="L6" s="241" t="s">
        <v>39</v>
      </c>
      <c r="M6" s="241"/>
      <c r="N6" s="240" t="s">
        <v>92</v>
      </c>
      <c r="O6" s="246">
        <v>10002</v>
      </c>
      <c r="P6" s="241" t="s">
        <v>41</v>
      </c>
      <c r="Q6" s="240" t="s">
        <v>93</v>
      </c>
      <c r="R6" s="240"/>
      <c r="S6" s="245"/>
      <c r="T6" s="245"/>
      <c r="U6" s="240"/>
      <c r="V6" s="242"/>
      <c r="W6" s="332" t="s">
        <v>43</v>
      </c>
      <c r="X6" s="332" t="s">
        <v>43</v>
      </c>
      <c r="Y6" s="336" t="s">
        <v>44</v>
      </c>
      <c r="Z6" s="337" t="s">
        <v>45</v>
      </c>
      <c r="AA6" s="336" t="str">
        <f>_xlfn.XLOOKUP($A6,'2026 Approved Budget'!$B:$B,'2026 Approved Budget'!C:C)</f>
        <v>205 Executive Development</v>
      </c>
      <c r="AB6" s="332" t="s">
        <v>46</v>
      </c>
      <c r="AC6" s="336" t="str">
        <f>_xlfn.XLOOKUP($A6,'2026 Approved Budget'!$B:$B,'2026 Approved Budget'!D:D)</f>
        <v>Jay Edelberg</v>
      </c>
      <c r="AD6" s="336" t="str">
        <f>_xlfn.XLOOKUP($A6,'2026 Approved Budget'!$B:$B,'2026 Approved Budget'!E:E)</f>
        <v>10. C-Suite</v>
      </c>
      <c r="AE6" s="336" t="str">
        <f>_xlfn.XLOOKUP($A6,'2026 Approved Budget'!$B:$B,'2026 Approved Budget'!F:F)</f>
        <v>Chief Medical Officer</v>
      </c>
      <c r="AF6" s="338">
        <f>_xlfn.XLOOKUP($A6,'2026 Approved Budget'!$B:$B,'2026 Approved Budget'!H:H)</f>
        <v>45156</v>
      </c>
      <c r="AG6" s="252"/>
    </row>
    <row r="7" spans="1:33" ht="30" hidden="1" customHeight="1" x14ac:dyDescent="0.2">
      <c r="A7" s="239">
        <v>1068</v>
      </c>
      <c r="B7" s="240" t="s">
        <v>77</v>
      </c>
      <c r="C7" s="240" t="s">
        <v>78</v>
      </c>
      <c r="D7" s="240" t="s">
        <v>94</v>
      </c>
      <c r="E7" s="241" t="s">
        <v>34</v>
      </c>
      <c r="F7" s="246" t="s">
        <v>81</v>
      </c>
      <c r="G7" s="242" t="s">
        <v>82</v>
      </c>
      <c r="H7" s="243" t="s">
        <v>37</v>
      </c>
      <c r="I7" s="241"/>
      <c r="J7" s="241"/>
      <c r="K7" s="247" t="s">
        <v>38</v>
      </c>
      <c r="L7" s="241" t="s">
        <v>95</v>
      </c>
      <c r="M7" s="241"/>
      <c r="N7" s="245" t="s">
        <v>96</v>
      </c>
      <c r="O7" s="246">
        <v>10070</v>
      </c>
      <c r="P7" s="241" t="s">
        <v>41</v>
      </c>
      <c r="Q7" s="240" t="s">
        <v>97</v>
      </c>
      <c r="R7" s="240"/>
      <c r="S7" s="245"/>
      <c r="T7" s="245"/>
      <c r="U7" s="240"/>
      <c r="V7" s="242"/>
      <c r="W7" s="332" t="s">
        <v>43</v>
      </c>
      <c r="X7" s="332" t="s">
        <v>43</v>
      </c>
      <c r="Y7" s="336" t="s">
        <v>44</v>
      </c>
      <c r="Z7" s="337" t="s">
        <v>45</v>
      </c>
      <c r="AA7" s="336" t="str">
        <f>_xlfn.XLOOKUP($A7,'2026 Approved Budget'!$B:$B,'2026 Approved Budget'!C:C)</f>
        <v>205 Executive Development</v>
      </c>
      <c r="AB7" s="332" t="s">
        <v>46</v>
      </c>
      <c r="AC7" s="336" t="str">
        <f>_xlfn.XLOOKUP($A7,'2026 Approved Budget'!$B:$B,'2026 Approved Budget'!D:D)</f>
        <v>Jen Yu</v>
      </c>
      <c r="AD7" s="336" t="str">
        <f>_xlfn.XLOOKUP($A7,'2026 Approved Budget'!$B:$B,'2026 Approved Budget'!E:E)</f>
        <v>01. IC / Coordinator</v>
      </c>
      <c r="AE7" s="336" t="str">
        <f>_xlfn.XLOOKUP($A7,'2026 Approved Budget'!$B:$B,'2026 Approved Budget'!F:F)</f>
        <v>Executive Assistant</v>
      </c>
      <c r="AF7" s="338">
        <f>_xlfn.XLOOKUP($A7,'2026 Approved Budget'!$B:$B,'2026 Approved Budget'!H:H)</f>
        <v>45558</v>
      </c>
      <c r="AG7" s="252"/>
    </row>
    <row r="8" spans="1:33" ht="30" hidden="1" customHeight="1" x14ac:dyDescent="0.2">
      <c r="A8" s="239">
        <v>5395</v>
      </c>
      <c r="B8" s="240" t="s">
        <v>77</v>
      </c>
      <c r="C8" s="240" t="s">
        <v>78</v>
      </c>
      <c r="D8" s="240" t="s">
        <v>79</v>
      </c>
      <c r="E8" s="241" t="s">
        <v>80</v>
      </c>
      <c r="F8" s="246" t="s">
        <v>81</v>
      </c>
      <c r="G8" s="242" t="s">
        <v>82</v>
      </c>
      <c r="H8" s="243" t="s">
        <v>50</v>
      </c>
      <c r="I8" s="241"/>
      <c r="J8" s="241"/>
      <c r="K8" s="247" t="s">
        <v>61</v>
      </c>
      <c r="L8" s="286" t="s">
        <v>39</v>
      </c>
      <c r="M8" s="241" t="s">
        <v>83</v>
      </c>
      <c r="N8" s="245" t="s">
        <v>84</v>
      </c>
      <c r="O8" s="246"/>
      <c r="P8" s="241" t="s">
        <v>41</v>
      </c>
      <c r="Q8" s="240" t="s">
        <v>85</v>
      </c>
      <c r="R8" s="240"/>
      <c r="S8" s="245"/>
      <c r="T8" s="245"/>
      <c r="U8" s="240"/>
      <c r="V8" s="242"/>
      <c r="W8" s="332" t="s">
        <v>86</v>
      </c>
      <c r="X8" s="332" t="s">
        <v>86</v>
      </c>
      <c r="Y8" s="332" t="s">
        <v>87</v>
      </c>
      <c r="Z8" s="332"/>
      <c r="AA8" s="336" t="e">
        <f>_xlfn.XLOOKUP($A8,'2026 Approved Budget'!$B:$B,'2026 Approved Budget'!C:C)</f>
        <v>#N/A</v>
      </c>
      <c r="AB8" s="336" t="s">
        <v>88</v>
      </c>
      <c r="AC8" s="336" t="e">
        <f>_xlfn.XLOOKUP($A8,'2026 Approved Budget'!$B:$B,'2026 Approved Budget'!D:D)</f>
        <v>#N/A</v>
      </c>
      <c r="AD8" s="336" t="e">
        <f>_xlfn.XLOOKUP($A8,'2026 Approved Budget'!$B:$B,'2026 Approved Budget'!E:E)</f>
        <v>#N/A</v>
      </c>
      <c r="AE8" s="336" t="e">
        <f>_xlfn.XLOOKUP($A8,'2026 Approved Budget'!$B:$B,'2026 Approved Budget'!F:F)</f>
        <v>#N/A</v>
      </c>
      <c r="AF8" s="338" t="e">
        <f>_xlfn.XLOOKUP($A8,'2026 Approved Budget'!$B:$B,'2026 Approved Budget'!H:H)</f>
        <v>#N/A</v>
      </c>
      <c r="AG8" s="254" t="s">
        <v>89</v>
      </c>
    </row>
    <row r="9" spans="1:33" ht="30" customHeight="1" x14ac:dyDescent="0.2">
      <c r="A9" s="239">
        <v>5045</v>
      </c>
      <c r="B9" s="248" t="s">
        <v>77</v>
      </c>
      <c r="C9" s="248" t="s">
        <v>256</v>
      </c>
      <c r="D9" s="249" t="s">
        <v>94</v>
      </c>
      <c r="E9" s="250" t="s">
        <v>34</v>
      </c>
      <c r="F9" s="251" t="s">
        <v>105</v>
      </c>
      <c r="G9" s="252" t="s">
        <v>264</v>
      </c>
      <c r="H9" s="251" t="s">
        <v>50</v>
      </c>
      <c r="I9" s="250">
        <v>1</v>
      </c>
      <c r="J9" s="250" t="s">
        <v>2124</v>
      </c>
      <c r="K9" s="253" t="s">
        <v>71</v>
      </c>
      <c r="L9" s="250"/>
      <c r="M9" s="250" t="s">
        <v>240</v>
      </c>
      <c r="N9" s="249"/>
      <c r="O9" s="239"/>
      <c r="P9" s="250" t="s">
        <v>159</v>
      </c>
      <c r="Q9" s="261" t="s">
        <v>266</v>
      </c>
      <c r="R9" s="248" t="s">
        <v>267</v>
      </c>
      <c r="S9" s="249" t="s">
        <v>268</v>
      </c>
      <c r="T9" s="249" t="s">
        <v>111</v>
      </c>
      <c r="U9" s="261" t="s">
        <v>269</v>
      </c>
      <c r="V9" s="252"/>
      <c r="W9" s="332" t="s">
        <v>165</v>
      </c>
      <c r="X9" s="332" t="s">
        <v>43</v>
      </c>
      <c r="Y9" s="275" t="s">
        <v>69</v>
      </c>
      <c r="Z9" s="337" t="s">
        <v>45</v>
      </c>
      <c r="AA9" s="336" t="str">
        <f>_xlfn.XLOOKUP($A9,'2026 Approved Budget'!$B:$B,'2026 Approved Budget'!C:C)</f>
        <v>215 Clinical Development</v>
      </c>
      <c r="AB9" s="332" t="s">
        <v>46</v>
      </c>
      <c r="AC9" s="336" t="str">
        <f>_xlfn.XLOOKUP($A9,'2026 Approved Budget'!$B:$B,'2026 Approved Budget'!D:D)</f>
        <v>TBD</v>
      </c>
      <c r="AD9" s="336" t="str">
        <f>_xlfn.XLOOKUP($A9,'2026 Approved Budget'!$B:$B,'2026 Approved Budget'!E:E)</f>
        <v>07. Exec. Director</v>
      </c>
      <c r="AE9" s="336" t="str">
        <f>_xlfn.XLOOKUP($A9,'2026 Approved Budget'!$B:$B,'2026 Approved Budget'!F:F)</f>
        <v>Executive  Director, Clinical Development Lead</v>
      </c>
      <c r="AF9" s="338">
        <f>_xlfn.XLOOKUP($A9,'2026 Approved Budget'!$B:$B,'2026 Approved Budget'!H:H)</f>
        <v>46188</v>
      </c>
      <c r="AG9" s="254" t="s">
        <v>270</v>
      </c>
    </row>
    <row r="10" spans="1:33" ht="15" hidden="1" customHeight="1" x14ac:dyDescent="0.2">
      <c r="A10" s="239">
        <v>1059</v>
      </c>
      <c r="B10" s="240" t="s">
        <v>77</v>
      </c>
      <c r="C10" s="240" t="s">
        <v>104</v>
      </c>
      <c r="D10" s="240" t="s">
        <v>94</v>
      </c>
      <c r="E10" s="241" t="s">
        <v>34</v>
      </c>
      <c r="F10" s="243" t="s">
        <v>105</v>
      </c>
      <c r="G10" s="242" t="s">
        <v>106</v>
      </c>
      <c r="H10" s="243" t="s">
        <v>50</v>
      </c>
      <c r="I10" s="241"/>
      <c r="J10" s="241"/>
      <c r="K10" s="247" t="s">
        <v>107</v>
      </c>
      <c r="L10" s="241" t="s">
        <v>39</v>
      </c>
      <c r="M10" s="241"/>
      <c r="N10" s="245" t="s">
        <v>108</v>
      </c>
      <c r="O10" s="246">
        <v>10089</v>
      </c>
      <c r="P10" s="241" t="s">
        <v>109</v>
      </c>
      <c r="Q10" s="240" t="s">
        <v>110</v>
      </c>
      <c r="R10" s="240"/>
      <c r="S10" s="245"/>
      <c r="T10" s="245" t="s">
        <v>111</v>
      </c>
      <c r="U10" s="245"/>
      <c r="V10" s="242"/>
      <c r="W10" s="332" t="s">
        <v>43</v>
      </c>
      <c r="X10" s="332" t="s">
        <v>43</v>
      </c>
      <c r="Y10" s="336" t="s">
        <v>44</v>
      </c>
      <c r="Z10" s="337" t="s">
        <v>45</v>
      </c>
      <c r="AA10" s="336" t="str">
        <f>_xlfn.XLOOKUP($A10,'2026 Approved Budget'!$B:$B,'2026 Approved Budget'!C:C)</f>
        <v>208 Early Development</v>
      </c>
      <c r="AB10" s="332" t="s">
        <v>46</v>
      </c>
      <c r="AC10" s="336" t="str">
        <f>_xlfn.XLOOKUP($A10,'2026 Approved Budget'!$B:$B,'2026 Approved Budget'!D:D)</f>
        <v>Yehuda Cohen</v>
      </c>
      <c r="AD10" s="336" t="str">
        <f>_xlfn.XLOOKUP($A10,'2026 Approved Budget'!$B:$B,'2026 Approved Budget'!E:E)</f>
        <v>08. VP</v>
      </c>
      <c r="AE10" s="336" t="str">
        <f>_xlfn.XLOOKUP($A10,'2026 Approved Budget'!$B:$B,'2026 Approved Budget'!F:F)</f>
        <v>VP, Head of Early Clinical</v>
      </c>
      <c r="AF10" s="338">
        <f>_xlfn.XLOOKUP($A10,'2026 Approved Budget'!$B:$B,'2026 Approved Budget'!H:H)</f>
        <v>45600</v>
      </c>
      <c r="AG10" s="252"/>
    </row>
    <row r="11" spans="1:33" ht="15" hidden="1" customHeight="1" x14ac:dyDescent="0.2">
      <c r="A11" s="239">
        <v>1058</v>
      </c>
      <c r="B11" s="240" t="s">
        <v>77</v>
      </c>
      <c r="C11" s="240" t="s">
        <v>104</v>
      </c>
      <c r="D11" s="242" t="s">
        <v>112</v>
      </c>
      <c r="E11" s="241" t="s">
        <v>34</v>
      </c>
      <c r="F11" s="243" t="s">
        <v>58</v>
      </c>
      <c r="G11" s="242" t="s">
        <v>113</v>
      </c>
      <c r="H11" s="243" t="s">
        <v>50</v>
      </c>
      <c r="I11" s="241"/>
      <c r="J11" s="241"/>
      <c r="K11" s="247" t="s">
        <v>114</v>
      </c>
      <c r="L11" s="241" t="s">
        <v>39</v>
      </c>
      <c r="M11" s="241"/>
      <c r="N11" s="240" t="s">
        <v>115</v>
      </c>
      <c r="O11" s="246">
        <v>10223</v>
      </c>
      <c r="P11" s="241" t="s">
        <v>109</v>
      </c>
      <c r="Q11" s="240" t="s">
        <v>116</v>
      </c>
      <c r="R11" s="240"/>
      <c r="S11" s="240"/>
      <c r="T11" s="245" t="s">
        <v>111</v>
      </c>
      <c r="U11" s="245"/>
      <c r="V11" s="242"/>
      <c r="W11" s="103" t="s">
        <v>75</v>
      </c>
      <c r="X11" s="103" t="s">
        <v>43</v>
      </c>
      <c r="Y11" s="336" t="s">
        <v>44</v>
      </c>
      <c r="Z11" s="337" t="s">
        <v>45</v>
      </c>
      <c r="AA11" s="336" t="str">
        <f>_xlfn.XLOOKUP($A11,'2026 Approved Budget'!$B:$B,'2026 Approved Budget'!C:C)</f>
        <v>208 Early Development</v>
      </c>
      <c r="AB11" s="332" t="s">
        <v>46</v>
      </c>
      <c r="AC11" s="336" t="str">
        <f>_xlfn.XLOOKUP($A11,'2026 Approved Budget'!$B:$B,'2026 Approved Budget'!D:D)</f>
        <v>Philippe Costet</v>
      </c>
      <c r="AD11" s="336" t="str">
        <f>_xlfn.XLOOKUP($A11,'2026 Approved Budget'!$B:$B,'2026 Approved Budget'!E:E)</f>
        <v>05. Director</v>
      </c>
      <c r="AE11" s="336" t="str">
        <f>_xlfn.XLOOKUP($A11,'2026 Approved Budget'!$B:$B,'2026 Approved Budget'!F:F)</f>
        <v>AD / Director, Biomarkers</v>
      </c>
      <c r="AF11" s="338">
        <f>_xlfn.XLOOKUP($A11,'2026 Approved Budget'!$B:$B,'2026 Approved Budget'!H:H)</f>
        <v>45804</v>
      </c>
      <c r="AG11" s="254"/>
    </row>
    <row r="12" spans="1:33" ht="30" customHeight="1" x14ac:dyDescent="0.2">
      <c r="A12" s="239">
        <v>1296</v>
      </c>
      <c r="B12" s="248" t="s">
        <v>77</v>
      </c>
      <c r="C12" s="248" t="s">
        <v>429</v>
      </c>
      <c r="D12" s="249" t="s">
        <v>430</v>
      </c>
      <c r="E12" s="250" t="s">
        <v>34</v>
      </c>
      <c r="F12" s="239" t="s">
        <v>58</v>
      </c>
      <c r="G12" s="252" t="s">
        <v>447</v>
      </c>
      <c r="H12" s="251" t="s">
        <v>37</v>
      </c>
      <c r="I12" s="250">
        <v>2</v>
      </c>
      <c r="J12" s="250" t="s">
        <v>2124</v>
      </c>
      <c r="K12" s="253" t="s">
        <v>61</v>
      </c>
      <c r="L12" s="250"/>
      <c r="M12" s="239" t="s">
        <v>52</v>
      </c>
      <c r="N12" s="249"/>
      <c r="O12" s="239"/>
      <c r="P12" s="250" t="s">
        <v>448</v>
      </c>
      <c r="Q12" s="248" t="s">
        <v>449</v>
      </c>
      <c r="R12" s="248"/>
      <c r="S12" s="249" t="s">
        <v>450</v>
      </c>
      <c r="T12" s="249"/>
      <c r="U12" s="261" t="s">
        <v>445</v>
      </c>
      <c r="V12" s="252" t="s">
        <v>451</v>
      </c>
      <c r="W12" s="332" t="s">
        <v>43</v>
      </c>
      <c r="X12" s="332" t="s">
        <v>43</v>
      </c>
      <c r="Y12" s="275" t="s">
        <v>69</v>
      </c>
      <c r="Z12" s="337" t="s">
        <v>45</v>
      </c>
      <c r="AA12" s="336" t="str">
        <f>_xlfn.XLOOKUP($A12,'2026 Approved Budget'!$B:$B,'2026 Approved Budget'!C:C)</f>
        <v>235 Regulatory</v>
      </c>
      <c r="AB12" s="332" t="s">
        <v>46</v>
      </c>
      <c r="AC12" s="336" t="str">
        <f>_xlfn.XLOOKUP($A12,'2026 Approved Budget'!$B:$B,'2026 Approved Budget'!D:D)</f>
        <v>TBD</v>
      </c>
      <c r="AD12" s="336" t="str">
        <f>_xlfn.XLOOKUP($A12,'2026 Approved Budget'!$B:$B,'2026 Approved Budget'!E:E)</f>
        <v>06. Sr. Director</v>
      </c>
      <c r="AE12" s="336" t="str">
        <f>_xlfn.XLOOKUP($A12,'2026 Approved Budget'!$B:$B,'2026 Approved Budget'!F:F)</f>
        <v>Senior Director, Regulatory Operations</v>
      </c>
      <c r="AF12" s="338">
        <f>_xlfn.XLOOKUP($A12,'2026 Approved Budget'!$B:$B,'2026 Approved Budget'!H:H)</f>
        <v>46096</v>
      </c>
      <c r="AG12" s="252" t="s">
        <v>452</v>
      </c>
    </row>
    <row r="13" spans="1:33" ht="30" hidden="1" customHeight="1" x14ac:dyDescent="0.2">
      <c r="A13" s="239">
        <v>1355</v>
      </c>
      <c r="B13" s="240" t="s">
        <v>77</v>
      </c>
      <c r="C13" s="240" t="s">
        <v>122</v>
      </c>
      <c r="D13" s="240" t="s">
        <v>94</v>
      </c>
      <c r="E13" s="241" t="s">
        <v>34</v>
      </c>
      <c r="F13" s="241" t="s">
        <v>105</v>
      </c>
      <c r="G13" s="242" t="s">
        <v>123</v>
      </c>
      <c r="H13" s="243" t="s">
        <v>50</v>
      </c>
      <c r="I13" s="241"/>
      <c r="J13" s="241"/>
      <c r="K13" s="241" t="s">
        <v>124</v>
      </c>
      <c r="L13" s="241" t="s">
        <v>39</v>
      </c>
      <c r="M13" s="241"/>
      <c r="N13" s="245" t="s">
        <v>125</v>
      </c>
      <c r="O13" s="246">
        <v>10275</v>
      </c>
      <c r="P13" s="241" t="s">
        <v>41</v>
      </c>
      <c r="Q13" s="240"/>
      <c r="R13" s="240"/>
      <c r="S13" s="245"/>
      <c r="T13" s="240" t="s">
        <v>111</v>
      </c>
      <c r="U13" s="240"/>
      <c r="V13" s="242"/>
      <c r="W13" s="332" t="s">
        <v>43</v>
      </c>
      <c r="X13" s="332" t="s">
        <v>43</v>
      </c>
      <c r="Y13" s="336" t="s">
        <v>44</v>
      </c>
      <c r="Z13" s="337" t="s">
        <v>45</v>
      </c>
      <c r="AA13" s="336" t="str">
        <f>_xlfn.XLOOKUP($A13,'2026 Approved Budget'!$B:$B,'2026 Approved Budget'!C:C)</f>
        <v>210 Clinical Operations</v>
      </c>
      <c r="AB13" s="332" t="s">
        <v>46</v>
      </c>
      <c r="AC13" s="336" t="str">
        <f>_xlfn.XLOOKUP($A13,'2026 Approved Budget'!$B:$B,'2026 Approved Budget'!D:D)</f>
        <v>Jaclyn Patterson</v>
      </c>
      <c r="AD13" s="336" t="str">
        <f>_xlfn.XLOOKUP($A13,'2026 Approved Budget'!$B:$B,'2026 Approved Budget'!E:E)</f>
        <v>08. VP</v>
      </c>
      <c r="AE13" s="336" t="str">
        <f>_xlfn.XLOOKUP($A13,'2026 Approved Budget'!$B:$B,'2026 Approved Budget'!F:F)</f>
        <v>SVP, Development Operations</v>
      </c>
      <c r="AF13" s="338">
        <f>_xlfn.XLOOKUP($A13,'2026 Approved Budget'!$B:$B,'2026 Approved Budget'!H:H)</f>
        <v>45943</v>
      </c>
      <c r="AG13" s="252"/>
    </row>
    <row r="14" spans="1:33" ht="30" hidden="1" customHeight="1" x14ac:dyDescent="0.2">
      <c r="A14" s="239">
        <v>1372</v>
      </c>
      <c r="B14" s="240" t="s">
        <v>77</v>
      </c>
      <c r="C14" s="240" t="s">
        <v>122</v>
      </c>
      <c r="D14" s="245" t="s">
        <v>79</v>
      </c>
      <c r="E14" s="241" t="s">
        <v>34</v>
      </c>
      <c r="F14" s="246" t="s">
        <v>48</v>
      </c>
      <c r="G14" s="242" t="s">
        <v>221</v>
      </c>
      <c r="H14" s="243" t="s">
        <v>50</v>
      </c>
      <c r="I14" s="241"/>
      <c r="J14" s="241"/>
      <c r="K14" s="247" t="s">
        <v>61</v>
      </c>
      <c r="L14" s="246" t="s">
        <v>39</v>
      </c>
      <c r="M14" s="246" t="s">
        <v>83</v>
      </c>
      <c r="N14" s="245" t="s">
        <v>222</v>
      </c>
      <c r="O14" s="246">
        <v>10360</v>
      </c>
      <c r="P14" s="241" t="s">
        <v>109</v>
      </c>
      <c r="Q14" s="240"/>
      <c r="R14" s="240"/>
      <c r="S14" s="245" t="s">
        <v>208</v>
      </c>
      <c r="T14" s="303"/>
      <c r="U14" s="303"/>
      <c r="V14" s="242"/>
      <c r="W14" s="103" t="s">
        <v>75</v>
      </c>
      <c r="X14" s="332" t="s">
        <v>103</v>
      </c>
      <c r="Y14" s="103" t="s">
        <v>69</v>
      </c>
      <c r="Z14" s="337" t="s">
        <v>45</v>
      </c>
      <c r="AA14" s="336" t="str">
        <f>_xlfn.XLOOKUP($A14,'2026 Approved Budget'!$B:$B,'2026 Approved Budget'!C:C)</f>
        <v>210 Clinical Operations</v>
      </c>
      <c r="AB14" s="332" t="s">
        <v>88</v>
      </c>
      <c r="AC14" s="336" t="str">
        <f>_xlfn.XLOOKUP($A14,'2026 Approved Budget'!$B:$B,'2026 Approved Budget'!D:D)</f>
        <v>TBD</v>
      </c>
      <c r="AD14" s="336" t="str">
        <f>_xlfn.XLOOKUP($A14,'2026 Approved Budget'!$B:$B,'2026 Approved Budget'!E:E)</f>
        <v>06. Sr. Director</v>
      </c>
      <c r="AE14" s="336" t="str">
        <f>_xlfn.XLOOKUP($A14,'2026 Approved Budget'!$B:$B,'2026 Approved Budget'!F:F)</f>
        <v>ED, Digital Health Technologies &amp; AI Enablement</v>
      </c>
      <c r="AF14" s="338">
        <f>_xlfn.XLOOKUP($A14,'2026 Approved Budget'!$B:$B,'2026 Approved Budget'!H:H)</f>
        <v>46280</v>
      </c>
      <c r="AG14" s="254" t="s">
        <v>223</v>
      </c>
    </row>
    <row r="15" spans="1:33" ht="30" hidden="1" customHeight="1" x14ac:dyDescent="0.2">
      <c r="A15" s="239">
        <v>1370</v>
      </c>
      <c r="B15" s="240" t="s">
        <v>77</v>
      </c>
      <c r="C15" s="272" t="s">
        <v>122</v>
      </c>
      <c r="D15" s="245" t="s">
        <v>79</v>
      </c>
      <c r="E15" s="241" t="s">
        <v>34</v>
      </c>
      <c r="F15" s="243" t="s">
        <v>58</v>
      </c>
      <c r="G15" s="270" t="s">
        <v>126</v>
      </c>
      <c r="H15" s="243" t="s">
        <v>50</v>
      </c>
      <c r="I15" s="301"/>
      <c r="J15" s="301"/>
      <c r="K15" s="241" t="s">
        <v>91</v>
      </c>
      <c r="L15" s="246" t="s">
        <v>39</v>
      </c>
      <c r="M15" s="246"/>
      <c r="N15" s="240" t="s">
        <v>127</v>
      </c>
      <c r="O15" s="246">
        <v>10004</v>
      </c>
      <c r="P15" s="241" t="s">
        <v>128</v>
      </c>
      <c r="Q15" s="240"/>
      <c r="R15" s="240"/>
      <c r="S15" s="245"/>
      <c r="T15" s="245"/>
      <c r="U15" s="277" t="s">
        <v>120</v>
      </c>
      <c r="V15" s="270"/>
      <c r="W15" s="332" t="s">
        <v>43</v>
      </c>
      <c r="X15" s="332" t="s">
        <v>43</v>
      </c>
      <c r="Y15" s="275" t="s">
        <v>44</v>
      </c>
      <c r="Z15" s="337" t="s">
        <v>45</v>
      </c>
      <c r="AA15" s="336" t="str">
        <f>_xlfn.XLOOKUP($A15,'2026 Approved Budget'!$B:$B,'2026 Approved Budget'!C:C)</f>
        <v>210 Clinical Operations</v>
      </c>
      <c r="AB15" s="332" t="s">
        <v>46</v>
      </c>
      <c r="AC15" s="336" t="str">
        <f>_xlfn.XLOOKUP($A15,'2026 Approved Budget'!$B:$B,'2026 Approved Budget'!D:D)</f>
        <v>TBD</v>
      </c>
      <c r="AD15" s="336" t="str">
        <f>_xlfn.XLOOKUP($A15,'2026 Approved Budget'!$B:$B,'2026 Approved Budget'!E:E)</f>
        <v>06. Sr. Director</v>
      </c>
      <c r="AE15" s="336" t="str">
        <f>_xlfn.XLOOKUP($A15,'2026 Approved Budget'!$B:$B,'2026 Approved Budget'!F:F)</f>
        <v>Clinical Ops Program Lead Dani</v>
      </c>
      <c r="AF15" s="338">
        <f>_xlfn.XLOOKUP($A15,'2026 Approved Budget'!$B:$B,'2026 Approved Budget'!H:H)</f>
        <v>46096</v>
      </c>
      <c r="AG15" s="261"/>
    </row>
    <row r="16" spans="1:33" ht="30" hidden="1" customHeight="1" x14ac:dyDescent="0.2">
      <c r="A16" s="239">
        <v>1040</v>
      </c>
      <c r="B16" s="240" t="s">
        <v>77</v>
      </c>
      <c r="C16" s="240" t="s">
        <v>122</v>
      </c>
      <c r="D16" s="240" t="s">
        <v>79</v>
      </c>
      <c r="E16" s="241" t="s">
        <v>34</v>
      </c>
      <c r="F16" s="243" t="s">
        <v>58</v>
      </c>
      <c r="G16" s="242" t="s">
        <v>178</v>
      </c>
      <c r="H16" s="243" t="s">
        <v>50</v>
      </c>
      <c r="I16" s="241"/>
      <c r="J16" s="241"/>
      <c r="K16" s="241" t="s">
        <v>61</v>
      </c>
      <c r="L16" s="241" t="s">
        <v>39</v>
      </c>
      <c r="M16" s="241" t="s">
        <v>83</v>
      </c>
      <c r="N16" s="245" t="s">
        <v>179</v>
      </c>
      <c r="O16" s="246">
        <v>10283</v>
      </c>
      <c r="P16" s="241" t="s">
        <v>159</v>
      </c>
      <c r="Q16" s="240"/>
      <c r="R16" s="240"/>
      <c r="S16" s="240"/>
      <c r="T16" s="240" t="s">
        <v>111</v>
      </c>
      <c r="U16" s="240"/>
      <c r="V16" s="242"/>
      <c r="W16" s="332" t="s">
        <v>43</v>
      </c>
      <c r="X16" s="103" t="s">
        <v>43</v>
      </c>
      <c r="Y16" s="336" t="s">
        <v>44</v>
      </c>
      <c r="Z16" s="337" t="s">
        <v>45</v>
      </c>
      <c r="AA16" s="336" t="str">
        <f>_xlfn.XLOOKUP($A16,'2026 Approved Budget'!$B:$B,'2026 Approved Budget'!C:C)</f>
        <v>210 Clinical Operations</v>
      </c>
      <c r="AB16" s="332" t="s">
        <v>46</v>
      </c>
      <c r="AC16" s="336" t="str">
        <f>_xlfn.XLOOKUP($A16,'2026 Approved Budget'!$B:$B,'2026 Approved Budget'!D:D)</f>
        <v>Lisa Morello</v>
      </c>
      <c r="AD16" s="336" t="str">
        <f>_xlfn.XLOOKUP($A16,'2026 Approved Budget'!$B:$B,'2026 Approved Budget'!E:E)</f>
        <v>06. Sr. Director</v>
      </c>
      <c r="AE16" s="336" t="str">
        <f>_xlfn.XLOOKUP($A16,'2026 Approved Budget'!$B:$B,'2026 Approved Budget'!F:F)</f>
        <v>Clinical Ops Program Lead ATA</v>
      </c>
      <c r="AF16" s="338">
        <f>_xlfn.XLOOKUP($A16,'2026 Approved Budget'!$B:$B,'2026 Approved Budget'!H:H)</f>
        <v>45943</v>
      </c>
      <c r="AG16" s="261"/>
    </row>
    <row r="17" spans="1:33" ht="30" hidden="1" customHeight="1" x14ac:dyDescent="0.2">
      <c r="A17" s="239">
        <v>1036</v>
      </c>
      <c r="B17" s="240" t="s">
        <v>77</v>
      </c>
      <c r="C17" s="240" t="s">
        <v>122</v>
      </c>
      <c r="D17" s="240" t="s">
        <v>79</v>
      </c>
      <c r="E17" s="241" t="s">
        <v>34</v>
      </c>
      <c r="F17" s="241" t="s">
        <v>98</v>
      </c>
      <c r="G17" s="242" t="s">
        <v>129</v>
      </c>
      <c r="H17" s="243" t="s">
        <v>37</v>
      </c>
      <c r="I17" s="241"/>
      <c r="J17" s="241"/>
      <c r="K17" s="241" t="s">
        <v>130</v>
      </c>
      <c r="L17" s="241" t="s">
        <v>39</v>
      </c>
      <c r="M17" s="246" t="s">
        <v>52</v>
      </c>
      <c r="N17" s="240" t="s">
        <v>131</v>
      </c>
      <c r="O17" s="246">
        <v>10125</v>
      </c>
      <c r="P17" s="241" t="s">
        <v>132</v>
      </c>
      <c r="Q17" s="240" t="s">
        <v>133</v>
      </c>
      <c r="R17" s="240"/>
      <c r="S17" s="240"/>
      <c r="T17" s="240"/>
      <c r="U17" s="240"/>
      <c r="V17" s="242"/>
      <c r="W17" s="332" t="s">
        <v>43</v>
      </c>
      <c r="X17" s="332" t="s">
        <v>43</v>
      </c>
      <c r="Y17" s="336" t="s">
        <v>44</v>
      </c>
      <c r="Z17" s="337" t="s">
        <v>45</v>
      </c>
      <c r="AA17" s="336" t="str">
        <f>_xlfn.XLOOKUP($A17,'2026 Approved Budget'!$B:$B,'2026 Approved Budget'!C:C)</f>
        <v>210 Clinical Operations</v>
      </c>
      <c r="AB17" s="332" t="s">
        <v>46</v>
      </c>
      <c r="AC17" s="336" t="str">
        <f>_xlfn.XLOOKUP($A17,'2026 Approved Budget'!$B:$B,'2026 Approved Budget'!D:D)</f>
        <v>Caroline Cooper</v>
      </c>
      <c r="AD17" s="336" t="str">
        <f>_xlfn.XLOOKUP($A17,'2026 Approved Budget'!$B:$B,'2026 Approved Budget'!E:E)</f>
        <v>05. Director</v>
      </c>
      <c r="AE17" s="336" t="str">
        <f>_xlfn.XLOOKUP($A17,'2026 Approved Budget'!$B:$B,'2026 Approved Budget'!F:F)</f>
        <v>Director, Clinical Ops Program Lead, TLA</v>
      </c>
      <c r="AF17" s="338">
        <f>_xlfn.XLOOKUP($A17,'2026 Approved Budget'!$B:$B,'2026 Approved Budget'!H:H)</f>
        <v>45663</v>
      </c>
      <c r="AG17" s="254"/>
    </row>
    <row r="18" spans="1:33" ht="30" hidden="1" customHeight="1" x14ac:dyDescent="0.2">
      <c r="A18" s="239">
        <v>1032</v>
      </c>
      <c r="B18" s="240" t="s">
        <v>77</v>
      </c>
      <c r="C18" s="240" t="s">
        <v>122</v>
      </c>
      <c r="D18" s="240" t="s">
        <v>134</v>
      </c>
      <c r="E18" s="241" t="s">
        <v>34</v>
      </c>
      <c r="F18" s="241" t="s">
        <v>98</v>
      </c>
      <c r="G18" s="242" t="s">
        <v>135</v>
      </c>
      <c r="H18" s="243" t="s">
        <v>37</v>
      </c>
      <c r="I18" s="241"/>
      <c r="J18" s="241"/>
      <c r="K18" s="241" t="s">
        <v>114</v>
      </c>
      <c r="L18" s="241" t="s">
        <v>39</v>
      </c>
      <c r="M18" s="241"/>
      <c r="N18" s="240" t="s">
        <v>136</v>
      </c>
      <c r="O18" s="246">
        <v>10204</v>
      </c>
      <c r="P18" s="241" t="s">
        <v>128</v>
      </c>
      <c r="Q18" s="240" t="s">
        <v>137</v>
      </c>
      <c r="R18" s="240"/>
      <c r="S18" s="240"/>
      <c r="T18" s="240" t="s">
        <v>111</v>
      </c>
      <c r="U18" s="240"/>
      <c r="V18" s="242"/>
      <c r="W18" s="332" t="s">
        <v>43</v>
      </c>
      <c r="X18" s="103" t="s">
        <v>43</v>
      </c>
      <c r="Y18" s="336" t="s">
        <v>44</v>
      </c>
      <c r="Z18" s="337" t="s">
        <v>45</v>
      </c>
      <c r="AA18" s="336" t="str">
        <f>_xlfn.XLOOKUP($A18,'2026 Approved Budget'!$B:$B,'2026 Approved Budget'!C:C)</f>
        <v>210 Clinical Operations</v>
      </c>
      <c r="AB18" s="332" t="s">
        <v>46</v>
      </c>
      <c r="AC18" s="336" t="str">
        <f>_xlfn.XLOOKUP($A18,'2026 Approved Budget'!$B:$B,'2026 Approved Budget'!D:D)</f>
        <v>Andrea Koh</v>
      </c>
      <c r="AD18" s="336" t="str">
        <f>_xlfn.XLOOKUP($A18,'2026 Approved Budget'!$B:$B,'2026 Approved Budget'!E:E)</f>
        <v>05. Director</v>
      </c>
      <c r="AE18" s="336" t="str">
        <f>_xlfn.XLOOKUP($A18,'2026 Approved Budget'!$B:$B,'2026 Approved Budget'!F:F)</f>
        <v xml:space="preserve">Director, Dev Business Operations </v>
      </c>
      <c r="AF18" s="338">
        <f>_xlfn.XLOOKUP($A18,'2026 Approved Budget'!$B:$B,'2026 Approved Budget'!H:H)</f>
        <v>45775</v>
      </c>
      <c r="AG18" s="254"/>
    </row>
    <row r="19" spans="1:33" ht="45" hidden="1" customHeight="1" x14ac:dyDescent="0.2">
      <c r="A19" s="239">
        <v>1044</v>
      </c>
      <c r="B19" s="240" t="s">
        <v>77</v>
      </c>
      <c r="C19" s="240" t="s">
        <v>122</v>
      </c>
      <c r="D19" s="240" t="s">
        <v>134</v>
      </c>
      <c r="E19" s="241" t="s">
        <v>34</v>
      </c>
      <c r="F19" s="243" t="s">
        <v>138</v>
      </c>
      <c r="G19" s="242" t="s">
        <v>139</v>
      </c>
      <c r="H19" s="243" t="s">
        <v>37</v>
      </c>
      <c r="I19" s="241"/>
      <c r="J19" s="241"/>
      <c r="K19" s="241" t="s">
        <v>38</v>
      </c>
      <c r="L19" s="241" t="s">
        <v>39</v>
      </c>
      <c r="M19" s="241"/>
      <c r="N19" s="240" t="s">
        <v>140</v>
      </c>
      <c r="O19" s="246">
        <v>10079</v>
      </c>
      <c r="P19" s="241" t="s">
        <v>41</v>
      </c>
      <c r="Q19" s="240" t="s">
        <v>141</v>
      </c>
      <c r="R19" s="240"/>
      <c r="S19" s="240"/>
      <c r="T19" s="240" t="s">
        <v>142</v>
      </c>
      <c r="U19" s="240"/>
      <c r="V19" s="242"/>
      <c r="W19" s="332" t="s">
        <v>43</v>
      </c>
      <c r="X19" s="332" t="s">
        <v>43</v>
      </c>
      <c r="Y19" s="336" t="s">
        <v>44</v>
      </c>
      <c r="Z19" s="337" t="s">
        <v>45</v>
      </c>
      <c r="AA19" s="336" t="str">
        <f>_xlfn.XLOOKUP($A19,'2026 Approved Budget'!$B:$B,'2026 Approved Budget'!C:C)</f>
        <v>210 Clinical Operations</v>
      </c>
      <c r="AB19" s="332" t="s">
        <v>46</v>
      </c>
      <c r="AC19" s="336" t="str">
        <f>_xlfn.XLOOKUP($A19,'2026 Approved Budget'!$B:$B,'2026 Approved Budget'!D:D)</f>
        <v>Mindy Worsham</v>
      </c>
      <c r="AD19" s="336" t="str">
        <f>_xlfn.XLOOKUP($A19,'2026 Approved Budget'!$B:$B,'2026 Approved Budget'!E:E)</f>
        <v>04. AD / Staff Scientist</v>
      </c>
      <c r="AE19" s="336" t="str">
        <f>_xlfn.XLOOKUP($A19,'2026 Approved Budget'!$B:$B,'2026 Approved Budget'!F:F)</f>
        <v>Director, Clinical Operations Excellence</v>
      </c>
      <c r="AF19" s="338">
        <f>_xlfn.XLOOKUP($A19,'2026 Approved Budget'!$B:$B,'2026 Approved Budget'!H:H)</f>
        <v>45558</v>
      </c>
      <c r="AG19" s="252"/>
    </row>
    <row r="20" spans="1:33" ht="30" hidden="1" customHeight="1" x14ac:dyDescent="0.2">
      <c r="A20" s="239">
        <v>1039</v>
      </c>
      <c r="B20" s="240" t="s">
        <v>77</v>
      </c>
      <c r="C20" s="240" t="s">
        <v>122</v>
      </c>
      <c r="D20" s="240" t="s">
        <v>156</v>
      </c>
      <c r="E20" s="241" t="s">
        <v>34</v>
      </c>
      <c r="F20" s="243" t="s">
        <v>138</v>
      </c>
      <c r="G20" s="242" t="s">
        <v>157</v>
      </c>
      <c r="H20" s="243" t="s">
        <v>37</v>
      </c>
      <c r="I20" s="241"/>
      <c r="J20" s="241"/>
      <c r="K20" s="241" t="s">
        <v>38</v>
      </c>
      <c r="L20" s="241" t="s">
        <v>39</v>
      </c>
      <c r="M20" s="246" t="s">
        <v>52</v>
      </c>
      <c r="N20" s="240" t="s">
        <v>158</v>
      </c>
      <c r="O20" s="246">
        <v>10081</v>
      </c>
      <c r="P20" s="241" t="s">
        <v>159</v>
      </c>
      <c r="Q20" s="240" t="s">
        <v>160</v>
      </c>
      <c r="R20" s="240"/>
      <c r="S20" s="240"/>
      <c r="T20" s="240"/>
      <c r="U20" s="240"/>
      <c r="V20" s="242"/>
      <c r="W20" s="332" t="s">
        <v>43</v>
      </c>
      <c r="X20" s="332" t="s">
        <v>43</v>
      </c>
      <c r="Y20" s="336" t="s">
        <v>44</v>
      </c>
      <c r="Z20" s="337" t="s">
        <v>45</v>
      </c>
      <c r="AA20" s="336" t="str">
        <f>_xlfn.XLOOKUP($A20,'2026 Approved Budget'!$B:$B,'2026 Approved Budget'!C:C)</f>
        <v>210 Clinical Operations</v>
      </c>
      <c r="AB20" s="332" t="s">
        <v>46</v>
      </c>
      <c r="AC20" s="336" t="str">
        <f>_xlfn.XLOOKUP($A20,'2026 Approved Budget'!$B:$B,'2026 Approved Budget'!D:D)</f>
        <v>Mandy Lin</v>
      </c>
      <c r="AD20" s="336" t="str">
        <f>_xlfn.XLOOKUP($A20,'2026 Approved Budget'!$B:$B,'2026 Approved Budget'!E:E)</f>
        <v>04. AD / Staff Scientist</v>
      </c>
      <c r="AE20" s="336" t="str">
        <f>_xlfn.XLOOKUP($A20,'2026 Approved Budget'!$B:$B,'2026 Approved Budget'!F:F)</f>
        <v>Clinical Trial Lead</v>
      </c>
      <c r="AF20" s="338">
        <f>_xlfn.XLOOKUP($A20,'2026 Approved Budget'!$B:$B,'2026 Approved Budget'!H:H)</f>
        <v>45558</v>
      </c>
      <c r="AG20" s="254"/>
    </row>
    <row r="21" spans="1:33" ht="15" hidden="1" customHeight="1" x14ac:dyDescent="0.2">
      <c r="A21" s="239">
        <v>1292</v>
      </c>
      <c r="B21" s="240" t="s">
        <v>77</v>
      </c>
      <c r="C21" s="240" t="s">
        <v>122</v>
      </c>
      <c r="D21" s="240" t="s">
        <v>161</v>
      </c>
      <c r="E21" s="243" t="s">
        <v>34</v>
      </c>
      <c r="F21" s="243" t="s">
        <v>138</v>
      </c>
      <c r="G21" s="242" t="s">
        <v>157</v>
      </c>
      <c r="H21" s="243" t="s">
        <v>37</v>
      </c>
      <c r="I21" s="241"/>
      <c r="J21" s="241"/>
      <c r="K21" s="241" t="s">
        <v>107</v>
      </c>
      <c r="L21" s="241" t="s">
        <v>39</v>
      </c>
      <c r="M21" s="241"/>
      <c r="N21" s="240" t="s">
        <v>162</v>
      </c>
      <c r="O21" s="246">
        <v>10102</v>
      </c>
      <c r="P21" s="241" t="s">
        <v>128</v>
      </c>
      <c r="Q21" s="240" t="s">
        <v>160</v>
      </c>
      <c r="R21" s="240"/>
      <c r="S21" s="240"/>
      <c r="T21" s="240"/>
      <c r="U21" s="240"/>
      <c r="V21" s="242"/>
      <c r="W21" s="332" t="s">
        <v>43</v>
      </c>
      <c r="X21" s="332" t="s">
        <v>43</v>
      </c>
      <c r="Y21" s="336" t="s">
        <v>44</v>
      </c>
      <c r="Z21" s="337" t="s">
        <v>45</v>
      </c>
      <c r="AA21" s="336" t="str">
        <f>_xlfn.XLOOKUP($A21,'2026 Approved Budget'!$B:$B,'2026 Approved Budget'!C:C)</f>
        <v>210 Clinical Operations</v>
      </c>
      <c r="AB21" s="332" t="s">
        <v>46</v>
      </c>
      <c r="AC21" s="336" t="str">
        <f>_xlfn.XLOOKUP($A21,'2026 Approved Budget'!$B:$B,'2026 Approved Budget'!D:D)</f>
        <v>Jody Dosanjh</v>
      </c>
      <c r="AD21" s="336" t="str">
        <f>_xlfn.XLOOKUP($A21,'2026 Approved Budget'!$B:$B,'2026 Approved Budget'!E:E)</f>
        <v>04. AD / Staff Scientist</v>
      </c>
      <c r="AE21" s="336" t="str">
        <f>_xlfn.XLOOKUP($A21,'2026 Approved Budget'!$B:$B,'2026 Approved Budget'!F:F)</f>
        <v>Clinical Trial Lead</v>
      </c>
      <c r="AF21" s="338">
        <f>_xlfn.XLOOKUP($A21,'2026 Approved Budget'!$B:$B,'2026 Approved Budget'!H:H)</f>
        <v>45628</v>
      </c>
      <c r="AG21" s="254"/>
    </row>
    <row r="22" spans="1:33" ht="15" hidden="1" customHeight="1" x14ac:dyDescent="0.2">
      <c r="A22" s="239">
        <v>1030</v>
      </c>
      <c r="B22" s="240" t="s">
        <v>77</v>
      </c>
      <c r="C22" s="240" t="s">
        <v>122</v>
      </c>
      <c r="D22" s="240" t="s">
        <v>161</v>
      </c>
      <c r="E22" s="241" t="s">
        <v>34</v>
      </c>
      <c r="F22" s="243" t="s">
        <v>117</v>
      </c>
      <c r="G22" s="242" t="s">
        <v>163</v>
      </c>
      <c r="H22" s="243" t="s">
        <v>50</v>
      </c>
      <c r="I22" s="241"/>
      <c r="J22" s="241"/>
      <c r="K22" s="241" t="s">
        <v>166</v>
      </c>
      <c r="L22" s="241" t="s">
        <v>39</v>
      </c>
      <c r="M22" s="241"/>
      <c r="N22" s="240" t="s">
        <v>167</v>
      </c>
      <c r="O22" s="246">
        <v>10016</v>
      </c>
      <c r="P22" s="241" t="s">
        <v>132</v>
      </c>
      <c r="Q22" s="240" t="s">
        <v>168</v>
      </c>
      <c r="R22" s="240"/>
      <c r="S22" s="240"/>
      <c r="T22" s="240"/>
      <c r="U22" s="240"/>
      <c r="V22" s="242"/>
      <c r="W22" s="332" t="s">
        <v>43</v>
      </c>
      <c r="X22" s="332" t="s">
        <v>43</v>
      </c>
      <c r="Y22" s="336" t="s">
        <v>44</v>
      </c>
      <c r="Z22" s="337" t="s">
        <v>45</v>
      </c>
      <c r="AA22" s="336" t="str">
        <f>_xlfn.XLOOKUP($A22,'2026 Approved Budget'!$B:$B,'2026 Approved Budget'!C:C)</f>
        <v>210 Clinical Operations</v>
      </c>
      <c r="AB22" s="332" t="s">
        <v>46</v>
      </c>
      <c r="AC22" s="336" t="str">
        <f>_xlfn.XLOOKUP($A22,'2026 Approved Budget'!$B:$B,'2026 Approved Budget'!D:D)</f>
        <v>Jessica Kim</v>
      </c>
      <c r="AD22" s="336" t="str">
        <f>_xlfn.XLOOKUP($A22,'2026 Approved Budget'!$B:$B,'2026 Approved Budget'!E:E)</f>
        <v>03. Sr. Manager / Sr. Scientist</v>
      </c>
      <c r="AE22" s="336" t="str">
        <f>_xlfn.XLOOKUP($A22,'2026 Approved Budget'!$B:$B,'2026 Approved Budget'!F:F)</f>
        <v>Clinical Trial Lead</v>
      </c>
      <c r="AF22" s="338">
        <f>_xlfn.XLOOKUP($A22,'2026 Approved Budget'!$B:$B,'2026 Approved Budget'!H:H)</f>
        <v>45467</v>
      </c>
      <c r="AG22" s="261"/>
    </row>
    <row r="23" spans="1:33" ht="16" hidden="1" x14ac:dyDescent="0.2">
      <c r="A23" s="239">
        <v>1046</v>
      </c>
      <c r="B23" s="240" t="s">
        <v>77</v>
      </c>
      <c r="C23" s="240" t="s">
        <v>122</v>
      </c>
      <c r="D23" s="240" t="s">
        <v>156</v>
      </c>
      <c r="E23" s="241" t="s">
        <v>34</v>
      </c>
      <c r="F23" s="243" t="s">
        <v>117</v>
      </c>
      <c r="G23" s="242" t="s">
        <v>163</v>
      </c>
      <c r="H23" s="243" t="s">
        <v>37</v>
      </c>
      <c r="I23" s="241"/>
      <c r="J23" s="241"/>
      <c r="K23" s="241" t="s">
        <v>130</v>
      </c>
      <c r="L23" s="241" t="s">
        <v>39</v>
      </c>
      <c r="M23" s="246" t="s">
        <v>52</v>
      </c>
      <c r="N23" s="240" t="s">
        <v>169</v>
      </c>
      <c r="O23" s="246">
        <v>10127</v>
      </c>
      <c r="P23" s="241" t="s">
        <v>159</v>
      </c>
      <c r="Q23" s="240" t="s">
        <v>170</v>
      </c>
      <c r="R23" s="240"/>
      <c r="S23" s="240"/>
      <c r="T23" s="240"/>
      <c r="U23" s="240"/>
      <c r="V23" s="242"/>
      <c r="W23" s="332" t="s">
        <v>43</v>
      </c>
      <c r="X23" s="332" t="s">
        <v>43</v>
      </c>
      <c r="Y23" s="336" t="s">
        <v>44</v>
      </c>
      <c r="Z23" s="337" t="s">
        <v>45</v>
      </c>
      <c r="AA23" s="336" t="str">
        <f>_xlfn.XLOOKUP($A23,'2026 Approved Budget'!$B:$B,'2026 Approved Budget'!C:C)</f>
        <v>210 Clinical Operations</v>
      </c>
      <c r="AB23" s="332" t="s">
        <v>46</v>
      </c>
      <c r="AC23" s="336" t="str">
        <f>_xlfn.XLOOKUP($A23,'2026 Approved Budget'!$B:$B,'2026 Approved Budget'!D:D)</f>
        <v>Tiffany Shu</v>
      </c>
      <c r="AD23" s="336" t="str">
        <f>_xlfn.XLOOKUP($A23,'2026 Approved Budget'!$B:$B,'2026 Approved Budget'!E:E)</f>
        <v>03. Sr. Manager / Sr. Scientist</v>
      </c>
      <c r="AE23" s="336" t="str">
        <f>_xlfn.XLOOKUP($A23,'2026 Approved Budget'!$B:$B,'2026 Approved Budget'!F:F)</f>
        <v>Clinical Trial Manager</v>
      </c>
      <c r="AF23" s="338">
        <f>_xlfn.XLOOKUP($A23,'2026 Approved Budget'!$B:$B,'2026 Approved Budget'!H:H)</f>
        <v>45663</v>
      </c>
      <c r="AG23" s="261"/>
    </row>
    <row r="24" spans="1:33" ht="30" hidden="1" customHeight="1" x14ac:dyDescent="0.2">
      <c r="A24" s="239">
        <v>1037</v>
      </c>
      <c r="B24" s="240" t="s">
        <v>77</v>
      </c>
      <c r="C24" s="240" t="s">
        <v>122</v>
      </c>
      <c r="D24" s="240" t="s">
        <v>161</v>
      </c>
      <c r="E24" s="241" t="s">
        <v>34</v>
      </c>
      <c r="F24" s="243" t="s">
        <v>117</v>
      </c>
      <c r="G24" s="242" t="s">
        <v>163</v>
      </c>
      <c r="H24" s="243" t="s">
        <v>50</v>
      </c>
      <c r="I24" s="241"/>
      <c r="J24" s="241"/>
      <c r="K24" s="241" t="s">
        <v>61</v>
      </c>
      <c r="L24" s="241" t="s">
        <v>39</v>
      </c>
      <c r="M24" s="241" t="s">
        <v>83</v>
      </c>
      <c r="N24" s="240" t="s">
        <v>164</v>
      </c>
      <c r="O24" s="246">
        <v>10358</v>
      </c>
      <c r="P24" s="241" t="s">
        <v>132</v>
      </c>
      <c r="Q24" s="240"/>
      <c r="R24" s="240"/>
      <c r="S24" s="240"/>
      <c r="T24" s="240" t="s">
        <v>142</v>
      </c>
      <c r="U24" s="277" t="s">
        <v>120</v>
      </c>
      <c r="V24" s="242"/>
      <c r="W24" s="103" t="s">
        <v>165</v>
      </c>
      <c r="X24" s="103" t="s">
        <v>43</v>
      </c>
      <c r="Y24" s="336" t="s">
        <v>44</v>
      </c>
      <c r="Z24" s="337" t="s">
        <v>45</v>
      </c>
      <c r="AA24" s="336" t="str">
        <f>_xlfn.XLOOKUP($A24,'2026 Approved Budget'!$B:$B,'2026 Approved Budget'!C:C)</f>
        <v>210 Clinical Operations</v>
      </c>
      <c r="AB24" s="332" t="s">
        <v>46</v>
      </c>
      <c r="AC24" s="336" t="str">
        <f>_xlfn.XLOOKUP($A24,'2026 Approved Budget'!$B:$B,'2026 Approved Budget'!D:D)</f>
        <v>CW: Heather Fraser</v>
      </c>
      <c r="AD24" s="336" t="str">
        <f>_xlfn.XLOOKUP($A24,'2026 Approved Budget'!$B:$B,'2026 Approved Budget'!E:E)</f>
        <v>04. AD / Staff Scientist</v>
      </c>
      <c r="AE24" s="336" t="str">
        <f>_xlfn.XLOOKUP($A24,'2026 Approved Budget'!$B:$B,'2026 Approved Budget'!F:F)</f>
        <v>Clinical Trial Lead</v>
      </c>
      <c r="AF24" s="338">
        <f>_xlfn.XLOOKUP($A24,'2026 Approved Budget'!$B:$B,'2026 Approved Budget'!H:H)</f>
        <v>46006</v>
      </c>
      <c r="AG24" s="261"/>
    </row>
    <row r="25" spans="1:33" ht="15" hidden="1" customHeight="1" x14ac:dyDescent="0.2">
      <c r="A25" s="239">
        <v>1056</v>
      </c>
      <c r="B25" s="240" t="s">
        <v>77</v>
      </c>
      <c r="C25" s="240" t="s">
        <v>122</v>
      </c>
      <c r="D25" s="240" t="s">
        <v>161</v>
      </c>
      <c r="E25" s="241" t="s">
        <v>34</v>
      </c>
      <c r="F25" s="243" t="s">
        <v>81</v>
      </c>
      <c r="G25" s="242" t="s">
        <v>171</v>
      </c>
      <c r="H25" s="243" t="s">
        <v>37</v>
      </c>
      <c r="I25" s="241"/>
      <c r="J25" s="241"/>
      <c r="K25" s="241" t="s">
        <v>130</v>
      </c>
      <c r="L25" s="241" t="s">
        <v>39</v>
      </c>
      <c r="M25" s="241"/>
      <c r="N25" s="240" t="s">
        <v>172</v>
      </c>
      <c r="O25" s="246">
        <v>10120</v>
      </c>
      <c r="P25" s="241" t="s">
        <v>132</v>
      </c>
      <c r="Q25" s="240" t="s">
        <v>173</v>
      </c>
      <c r="R25" s="240"/>
      <c r="S25" s="240"/>
      <c r="T25" s="240"/>
      <c r="U25" s="240"/>
      <c r="V25" s="242"/>
      <c r="W25" s="332" t="s">
        <v>43</v>
      </c>
      <c r="X25" s="332" t="s">
        <v>43</v>
      </c>
      <c r="Y25" s="336" t="s">
        <v>44</v>
      </c>
      <c r="Z25" s="337" t="s">
        <v>45</v>
      </c>
      <c r="AA25" s="336" t="str">
        <f>_xlfn.XLOOKUP($A25,'2026 Approved Budget'!$B:$B,'2026 Approved Budget'!C:C)</f>
        <v>210 Clinical Operations</v>
      </c>
      <c r="AB25" s="332" t="s">
        <v>46</v>
      </c>
      <c r="AC25" s="336" t="str">
        <f>_xlfn.XLOOKUP($A25,'2026 Approved Budget'!$B:$B,'2026 Approved Budget'!D:D)</f>
        <v>Rachel Day</v>
      </c>
      <c r="AD25" s="336" t="str">
        <f>_xlfn.XLOOKUP($A25,'2026 Approved Budget'!$B:$B,'2026 Approved Budget'!E:E)</f>
        <v>01. IC / Coordinator</v>
      </c>
      <c r="AE25" s="336" t="str">
        <f>_xlfn.XLOOKUP($A25,'2026 Approved Budget'!$B:$B,'2026 Approved Budget'!F:F)</f>
        <v>Associate Manager, Clinical Site Operations</v>
      </c>
      <c r="AF25" s="338">
        <f>_xlfn.XLOOKUP($A25,'2026 Approved Budget'!$B:$B,'2026 Approved Budget'!H:H)</f>
        <v>45663</v>
      </c>
      <c r="AG25" s="261"/>
    </row>
    <row r="26" spans="1:33" ht="30" hidden="1" customHeight="1" x14ac:dyDescent="0.2">
      <c r="A26" s="239">
        <v>1052</v>
      </c>
      <c r="B26" s="240" t="s">
        <v>77</v>
      </c>
      <c r="C26" s="240" t="s">
        <v>122</v>
      </c>
      <c r="D26" s="240" t="s">
        <v>174</v>
      </c>
      <c r="E26" s="241" t="s">
        <v>34</v>
      </c>
      <c r="F26" s="243" t="s">
        <v>81</v>
      </c>
      <c r="G26" s="242" t="s">
        <v>175</v>
      </c>
      <c r="H26" s="243" t="s">
        <v>37</v>
      </c>
      <c r="I26" s="241"/>
      <c r="J26" s="241"/>
      <c r="K26" s="241" t="s">
        <v>114</v>
      </c>
      <c r="L26" s="241" t="s">
        <v>39</v>
      </c>
      <c r="M26" s="246" t="s">
        <v>52</v>
      </c>
      <c r="N26" s="240" t="s">
        <v>176</v>
      </c>
      <c r="O26" s="246">
        <v>10157</v>
      </c>
      <c r="P26" s="241" t="s">
        <v>159</v>
      </c>
      <c r="Q26" s="240" t="s">
        <v>177</v>
      </c>
      <c r="R26" s="240"/>
      <c r="S26" s="240"/>
      <c r="T26" s="240"/>
      <c r="U26" s="240"/>
      <c r="V26" s="242"/>
      <c r="W26" s="332" t="s">
        <v>43</v>
      </c>
      <c r="X26" s="103" t="s">
        <v>43</v>
      </c>
      <c r="Y26" s="336" t="s">
        <v>44</v>
      </c>
      <c r="Z26" s="337" t="s">
        <v>45</v>
      </c>
      <c r="AA26" s="336" t="str">
        <f>_xlfn.XLOOKUP($A26,'2026 Approved Budget'!$B:$B,'2026 Approved Budget'!C:C)</f>
        <v>210 Clinical Operations</v>
      </c>
      <c r="AB26" s="332" t="s">
        <v>46</v>
      </c>
      <c r="AC26" s="336" t="str">
        <f>_xlfn.XLOOKUP($A26,'2026 Approved Budget'!$B:$B,'2026 Approved Budget'!D:D)</f>
        <v>Vicky Ho</v>
      </c>
      <c r="AD26" s="336" t="str">
        <f>_xlfn.XLOOKUP($A26,'2026 Approved Budget'!$B:$B,'2026 Approved Budget'!E:E)</f>
        <v>01. IC / Coordinator</v>
      </c>
      <c r="AE26" s="336" t="str">
        <f>_xlfn.XLOOKUP($A26,'2026 Approved Budget'!$B:$B,'2026 Approved Budget'!F:F)</f>
        <v>Sr. Clinical Trial Associate</v>
      </c>
      <c r="AF26" s="338">
        <f>_xlfn.XLOOKUP($A26,'2026 Approved Budget'!$B:$B,'2026 Approved Budget'!H:H)</f>
        <v>45831</v>
      </c>
      <c r="AG26" s="261"/>
    </row>
    <row r="27" spans="1:33" ht="15" hidden="1" customHeight="1" x14ac:dyDescent="0.2">
      <c r="A27" s="239">
        <v>1352</v>
      </c>
      <c r="B27" s="248" t="s">
        <v>77</v>
      </c>
      <c r="C27" s="248" t="s">
        <v>122</v>
      </c>
      <c r="D27" s="248" t="s">
        <v>134</v>
      </c>
      <c r="E27" s="250" t="s">
        <v>180</v>
      </c>
      <c r="F27" s="250" t="s">
        <v>98</v>
      </c>
      <c r="G27" s="248" t="s">
        <v>181</v>
      </c>
      <c r="H27" s="251" t="s">
        <v>146</v>
      </c>
      <c r="I27" s="250"/>
      <c r="J27" s="250"/>
      <c r="K27" s="250" t="s">
        <v>114</v>
      </c>
      <c r="L27" s="239" t="s">
        <v>182</v>
      </c>
      <c r="M27" s="239"/>
      <c r="N27" s="248" t="s">
        <v>183</v>
      </c>
      <c r="O27" s="239"/>
      <c r="P27" s="250" t="s">
        <v>41</v>
      </c>
      <c r="Q27" s="248" t="s">
        <v>160</v>
      </c>
      <c r="R27" s="248"/>
      <c r="S27" s="248"/>
      <c r="T27" s="248"/>
      <c r="U27" s="248"/>
      <c r="V27" s="248"/>
      <c r="W27" s="335" t="s">
        <v>184</v>
      </c>
      <c r="X27" s="335" t="s">
        <v>184</v>
      </c>
      <c r="Y27" s="335" t="s">
        <v>185</v>
      </c>
      <c r="Z27" s="335"/>
      <c r="AA27" s="336" t="e">
        <f>_xlfn.XLOOKUP($A27,'2026 Approved Budget'!$B:$B,'2026 Approved Budget'!C:C)</f>
        <v>#N/A</v>
      </c>
      <c r="AB27" s="332" t="s">
        <v>185</v>
      </c>
      <c r="AC27" s="336" t="e">
        <f>_xlfn.XLOOKUP($A27,'2026 Approved Budget'!$B:$B,'2026 Approved Budget'!D:D)</f>
        <v>#N/A</v>
      </c>
      <c r="AD27" s="336" t="e">
        <f>_xlfn.XLOOKUP($A27,'2026 Approved Budget'!$B:$B,'2026 Approved Budget'!E:E)</f>
        <v>#N/A</v>
      </c>
      <c r="AE27" s="336" t="e">
        <f>_xlfn.XLOOKUP($A27,'2026 Approved Budget'!$B:$B,'2026 Approved Budget'!F:F)</f>
        <v>#N/A</v>
      </c>
      <c r="AF27" s="338" t="e">
        <f>_xlfn.XLOOKUP($A27,'2026 Approved Budget'!$B:$B,'2026 Approved Budget'!H:H)</f>
        <v>#N/A</v>
      </c>
      <c r="AG27" s="254"/>
    </row>
    <row r="28" spans="1:33" customFormat="1" ht="30" hidden="1" customHeight="1" x14ac:dyDescent="0.2">
      <c r="A28" s="239">
        <v>1354</v>
      </c>
      <c r="B28" s="248" t="s">
        <v>77</v>
      </c>
      <c r="C28" s="248" t="s">
        <v>122</v>
      </c>
      <c r="D28" s="248" t="s">
        <v>134</v>
      </c>
      <c r="E28" s="250" t="s">
        <v>180</v>
      </c>
      <c r="F28" s="250" t="s">
        <v>138</v>
      </c>
      <c r="G28" s="248" t="s">
        <v>186</v>
      </c>
      <c r="H28" s="251" t="s">
        <v>146</v>
      </c>
      <c r="I28" s="250"/>
      <c r="J28" s="250"/>
      <c r="K28" s="250" t="s">
        <v>114</v>
      </c>
      <c r="L28" s="239" t="s">
        <v>182</v>
      </c>
      <c r="M28" s="239"/>
      <c r="N28" s="248" t="s">
        <v>187</v>
      </c>
      <c r="O28" s="239"/>
      <c r="P28" s="250" t="s">
        <v>41</v>
      </c>
      <c r="Q28" s="248" t="s">
        <v>188</v>
      </c>
      <c r="R28" s="248"/>
      <c r="S28" s="248" t="s">
        <v>189</v>
      </c>
      <c r="T28" s="248"/>
      <c r="U28" s="248"/>
      <c r="V28" s="248"/>
      <c r="W28" s="335" t="s">
        <v>184</v>
      </c>
      <c r="X28" s="335" t="s">
        <v>184</v>
      </c>
      <c r="Y28" s="335" t="s">
        <v>185</v>
      </c>
      <c r="Z28" s="335"/>
      <c r="AA28" s="336" t="e">
        <f>_xlfn.XLOOKUP($A28,'2026 Approved Budget'!$B:$B,'2026 Approved Budget'!C:C)</f>
        <v>#N/A</v>
      </c>
      <c r="AB28" s="332" t="s">
        <v>185</v>
      </c>
      <c r="AC28" s="336" t="e">
        <f>_xlfn.XLOOKUP($A28,'2026 Approved Budget'!$B:$B,'2026 Approved Budget'!D:D)</f>
        <v>#N/A</v>
      </c>
      <c r="AD28" s="336" t="e">
        <f>_xlfn.XLOOKUP($A28,'2026 Approved Budget'!$B:$B,'2026 Approved Budget'!E:E)</f>
        <v>#N/A</v>
      </c>
      <c r="AE28" s="336" t="e">
        <f>_xlfn.XLOOKUP($A28,'2026 Approved Budget'!$B:$B,'2026 Approved Budget'!F:F)</f>
        <v>#N/A</v>
      </c>
      <c r="AF28" s="338" t="e">
        <f>_xlfn.XLOOKUP($A28,'2026 Approved Budget'!$B:$B,'2026 Approved Budget'!H:H)</f>
        <v>#N/A</v>
      </c>
      <c r="AG28" s="254"/>
    </row>
    <row r="29" spans="1:33" customFormat="1" ht="30" hidden="1" customHeight="1" x14ac:dyDescent="0.2">
      <c r="A29" s="239">
        <v>1324</v>
      </c>
      <c r="B29" s="248" t="s">
        <v>77</v>
      </c>
      <c r="C29" s="248" t="s">
        <v>122</v>
      </c>
      <c r="D29" s="248" t="s">
        <v>161</v>
      </c>
      <c r="E29" s="250" t="s">
        <v>180</v>
      </c>
      <c r="F29" s="251" t="s">
        <v>117</v>
      </c>
      <c r="G29" s="252" t="s">
        <v>190</v>
      </c>
      <c r="H29" s="251" t="s">
        <v>37</v>
      </c>
      <c r="I29" s="250"/>
      <c r="J29" s="250"/>
      <c r="K29" s="250" t="s">
        <v>114</v>
      </c>
      <c r="L29" s="239" t="s">
        <v>182</v>
      </c>
      <c r="M29" s="239"/>
      <c r="N29" s="248" t="s">
        <v>191</v>
      </c>
      <c r="O29" s="239"/>
      <c r="P29" s="250" t="s">
        <v>132</v>
      </c>
      <c r="Q29" s="248" t="s">
        <v>192</v>
      </c>
      <c r="R29" s="248"/>
      <c r="S29" s="248"/>
      <c r="T29" s="248"/>
      <c r="U29" s="248"/>
      <c r="V29" s="252"/>
      <c r="W29" s="335" t="s">
        <v>184</v>
      </c>
      <c r="X29" s="335" t="s">
        <v>184</v>
      </c>
      <c r="Y29" s="335" t="s">
        <v>185</v>
      </c>
      <c r="Z29" s="335"/>
      <c r="AA29" s="336" t="e">
        <f>_xlfn.XLOOKUP($A29,'2026 Approved Budget'!$B:$B,'2026 Approved Budget'!C:C)</f>
        <v>#N/A</v>
      </c>
      <c r="AB29" s="332" t="s">
        <v>185</v>
      </c>
      <c r="AC29" s="336" t="e">
        <f>_xlfn.XLOOKUP($A29,'2026 Approved Budget'!$B:$B,'2026 Approved Budget'!D:D)</f>
        <v>#N/A</v>
      </c>
      <c r="AD29" s="336" t="e">
        <f>_xlfn.XLOOKUP($A29,'2026 Approved Budget'!$B:$B,'2026 Approved Budget'!E:E)</f>
        <v>#N/A</v>
      </c>
      <c r="AE29" s="336" t="e">
        <f>_xlfn.XLOOKUP($A29,'2026 Approved Budget'!$B:$B,'2026 Approved Budget'!F:F)</f>
        <v>#N/A</v>
      </c>
      <c r="AF29" s="338" t="e">
        <f>_xlfn.XLOOKUP($A29,'2026 Approved Budget'!$B:$B,'2026 Approved Budget'!H:H)</f>
        <v>#N/A</v>
      </c>
      <c r="AG29" s="254"/>
    </row>
    <row r="30" spans="1:33" customFormat="1" ht="30" hidden="1" customHeight="1" x14ac:dyDescent="0.2">
      <c r="A30" s="239">
        <v>1325</v>
      </c>
      <c r="B30" s="248" t="s">
        <v>77</v>
      </c>
      <c r="C30" s="248" t="s">
        <v>122</v>
      </c>
      <c r="D30" s="248" t="s">
        <v>161</v>
      </c>
      <c r="E30" s="250" t="s">
        <v>180</v>
      </c>
      <c r="F30" s="251" t="s">
        <v>117</v>
      </c>
      <c r="G30" s="252" t="s">
        <v>190</v>
      </c>
      <c r="H30" s="251" t="s">
        <v>146</v>
      </c>
      <c r="I30" s="250"/>
      <c r="J30" s="250"/>
      <c r="K30" s="250" t="s">
        <v>114</v>
      </c>
      <c r="L30" s="239" t="s">
        <v>182</v>
      </c>
      <c r="M30" s="239"/>
      <c r="N30" s="248" t="s">
        <v>193</v>
      </c>
      <c r="O30" s="239"/>
      <c r="P30" s="250" t="s">
        <v>132</v>
      </c>
      <c r="Q30" s="248" t="s">
        <v>192</v>
      </c>
      <c r="R30" s="248"/>
      <c r="S30" s="248"/>
      <c r="T30" s="248"/>
      <c r="U30" s="248"/>
      <c r="V30" s="252"/>
      <c r="W30" s="335" t="s">
        <v>184</v>
      </c>
      <c r="X30" s="335" t="s">
        <v>184</v>
      </c>
      <c r="Y30" s="335" t="s">
        <v>185</v>
      </c>
      <c r="Z30" s="335"/>
      <c r="AA30" s="336" t="e">
        <f>_xlfn.XLOOKUP($A30,'2026 Approved Budget'!$B:$B,'2026 Approved Budget'!C:C)</f>
        <v>#N/A</v>
      </c>
      <c r="AB30" s="332" t="s">
        <v>185</v>
      </c>
      <c r="AC30" s="336" t="e">
        <f>_xlfn.XLOOKUP($A30,'2026 Approved Budget'!$B:$B,'2026 Approved Budget'!D:D)</f>
        <v>#N/A</v>
      </c>
      <c r="AD30" s="336" t="e">
        <f>_xlfn.XLOOKUP($A30,'2026 Approved Budget'!$B:$B,'2026 Approved Budget'!E:E)</f>
        <v>#N/A</v>
      </c>
      <c r="AE30" s="336" t="e">
        <f>_xlfn.XLOOKUP($A30,'2026 Approved Budget'!$B:$B,'2026 Approved Budget'!F:F)</f>
        <v>#N/A</v>
      </c>
      <c r="AF30" s="338" t="e">
        <f>_xlfn.XLOOKUP($A30,'2026 Approved Budget'!$B:$B,'2026 Approved Budget'!H:H)</f>
        <v>#N/A</v>
      </c>
      <c r="AG30" s="254"/>
    </row>
    <row r="31" spans="1:33" customFormat="1" ht="30" hidden="1" customHeight="1" x14ac:dyDescent="0.2">
      <c r="A31" s="239">
        <v>5047</v>
      </c>
      <c r="B31" s="248" t="s">
        <v>77</v>
      </c>
      <c r="C31" s="255" t="s">
        <v>122</v>
      </c>
      <c r="D31" s="249" t="s">
        <v>134</v>
      </c>
      <c r="E31" s="250" t="s">
        <v>180</v>
      </c>
      <c r="F31" s="251" t="s">
        <v>117</v>
      </c>
      <c r="G31" s="256" t="s">
        <v>194</v>
      </c>
      <c r="H31" s="251" t="s">
        <v>146</v>
      </c>
      <c r="I31" s="250"/>
      <c r="J31" s="250"/>
      <c r="K31" s="250" t="s">
        <v>124</v>
      </c>
      <c r="L31" s="239" t="s">
        <v>182</v>
      </c>
      <c r="M31" s="239"/>
      <c r="N31" s="249" t="s">
        <v>195</v>
      </c>
      <c r="O31" s="239"/>
      <c r="P31" s="239" t="s">
        <v>128</v>
      </c>
      <c r="Q31" s="248" t="s">
        <v>196</v>
      </c>
      <c r="R31" s="248"/>
      <c r="S31" s="249"/>
      <c r="T31" s="249"/>
      <c r="U31" s="249"/>
      <c r="V31" s="256"/>
      <c r="W31" s="335" t="s">
        <v>184</v>
      </c>
      <c r="X31" s="335" t="s">
        <v>184</v>
      </c>
      <c r="Y31" s="335" t="s">
        <v>185</v>
      </c>
      <c r="Z31" s="335"/>
      <c r="AA31" s="336" t="e">
        <f>_xlfn.XLOOKUP($A31,'2026 Approved Budget'!$B:$B,'2026 Approved Budget'!C:C)</f>
        <v>#N/A</v>
      </c>
      <c r="AB31" s="332" t="s">
        <v>185</v>
      </c>
      <c r="AC31" s="336" t="e">
        <f>_xlfn.XLOOKUP($A31,'2026 Approved Budget'!$B:$B,'2026 Approved Budget'!D:D)</f>
        <v>#N/A</v>
      </c>
      <c r="AD31" s="336" t="e">
        <f>_xlfn.XLOOKUP($A31,'2026 Approved Budget'!$B:$B,'2026 Approved Budget'!E:E)</f>
        <v>#N/A</v>
      </c>
      <c r="AE31" s="336" t="e">
        <f>_xlfn.XLOOKUP($A31,'2026 Approved Budget'!$B:$B,'2026 Approved Budget'!F:F)</f>
        <v>#N/A</v>
      </c>
      <c r="AF31" s="338" t="e">
        <f>_xlfn.XLOOKUP($A31,'2026 Approved Budget'!$B:$B,'2026 Approved Budget'!H:H)</f>
        <v>#N/A</v>
      </c>
      <c r="AG31" s="254"/>
    </row>
    <row r="32" spans="1:33" customFormat="1" ht="30" hidden="1" customHeight="1" x14ac:dyDescent="0.2">
      <c r="A32" s="239">
        <v>5097</v>
      </c>
      <c r="B32" s="248" t="s">
        <v>77</v>
      </c>
      <c r="C32" s="248" t="s">
        <v>122</v>
      </c>
      <c r="D32" s="249" t="s">
        <v>134</v>
      </c>
      <c r="E32" s="250" t="s">
        <v>180</v>
      </c>
      <c r="F32" s="250" t="s">
        <v>197</v>
      </c>
      <c r="G32" s="252" t="s">
        <v>198</v>
      </c>
      <c r="H32" s="251" t="s">
        <v>146</v>
      </c>
      <c r="I32" s="250"/>
      <c r="J32" s="250"/>
      <c r="K32" s="250" t="s">
        <v>114</v>
      </c>
      <c r="L32" s="250" t="s">
        <v>182</v>
      </c>
      <c r="M32" s="250"/>
      <c r="N32" s="249" t="s">
        <v>199</v>
      </c>
      <c r="O32" s="239"/>
      <c r="P32" s="250" t="s">
        <v>128</v>
      </c>
      <c r="Q32" s="248"/>
      <c r="R32" s="248"/>
      <c r="S32" s="249"/>
      <c r="T32" s="249"/>
      <c r="U32" s="248"/>
      <c r="V32" s="252"/>
      <c r="W32" s="335" t="s">
        <v>200</v>
      </c>
      <c r="X32" s="335" t="s">
        <v>200</v>
      </c>
      <c r="Y32" s="335" t="s">
        <v>201</v>
      </c>
      <c r="Z32" s="337"/>
      <c r="AA32" s="336" t="e">
        <f>_xlfn.XLOOKUP($A32,'2026 Approved Budget'!$B:$B,'2026 Approved Budget'!C:C)</f>
        <v>#N/A</v>
      </c>
      <c r="AB32" s="332" t="s">
        <v>185</v>
      </c>
      <c r="AC32" s="336" t="e">
        <f>_xlfn.XLOOKUP($A32,'2026 Approved Budget'!$B:$B,'2026 Approved Budget'!D:D)</f>
        <v>#N/A</v>
      </c>
      <c r="AD32" s="336" t="e">
        <f>_xlfn.XLOOKUP($A32,'2026 Approved Budget'!$B:$B,'2026 Approved Budget'!E:E)</f>
        <v>#N/A</v>
      </c>
      <c r="AE32" s="336" t="e">
        <f>_xlfn.XLOOKUP($A32,'2026 Approved Budget'!$B:$B,'2026 Approved Budget'!F:F)</f>
        <v>#N/A</v>
      </c>
      <c r="AF32" s="338" t="e">
        <f>_xlfn.XLOOKUP($A32,'2026 Approved Budget'!$B:$B,'2026 Approved Budget'!H:H)</f>
        <v>#N/A</v>
      </c>
      <c r="AG32" s="254"/>
    </row>
    <row r="33" spans="1:33" customFormat="1" ht="15.75" hidden="1" customHeight="1" x14ac:dyDescent="0.2">
      <c r="A33" s="239">
        <v>1336</v>
      </c>
      <c r="B33" s="248" t="s">
        <v>77</v>
      </c>
      <c r="C33" s="248" t="s">
        <v>122</v>
      </c>
      <c r="D33" s="248" t="s">
        <v>202</v>
      </c>
      <c r="E33" s="250" t="s">
        <v>180</v>
      </c>
      <c r="F33" s="251" t="s">
        <v>197</v>
      </c>
      <c r="G33" s="252" t="s">
        <v>198</v>
      </c>
      <c r="H33" s="251" t="s">
        <v>37</v>
      </c>
      <c r="I33" s="250"/>
      <c r="J33" s="250"/>
      <c r="K33" s="250" t="s">
        <v>51</v>
      </c>
      <c r="L33" s="239" t="s">
        <v>182</v>
      </c>
      <c r="M33" s="239"/>
      <c r="N33" s="248" t="s">
        <v>203</v>
      </c>
      <c r="O33" s="239"/>
      <c r="P33" s="250" t="s">
        <v>159</v>
      </c>
      <c r="Q33" s="248" t="s">
        <v>160</v>
      </c>
      <c r="R33" s="248"/>
      <c r="S33" s="248"/>
      <c r="T33" s="248"/>
      <c r="U33" s="248"/>
      <c r="V33" s="252"/>
      <c r="W33" s="335" t="s">
        <v>184</v>
      </c>
      <c r="X33" s="335" t="s">
        <v>184</v>
      </c>
      <c r="Y33" s="335" t="s">
        <v>185</v>
      </c>
      <c r="Z33" s="335"/>
      <c r="AA33" s="336" t="e">
        <f>_xlfn.XLOOKUP($A33,'2026 Approved Budget'!$B:$B,'2026 Approved Budget'!C:C)</f>
        <v>#N/A</v>
      </c>
      <c r="AB33" s="332" t="s">
        <v>185</v>
      </c>
      <c r="AC33" s="336" t="e">
        <f>_xlfn.XLOOKUP($A33,'2026 Approved Budget'!$B:$B,'2026 Approved Budget'!D:D)</f>
        <v>#N/A</v>
      </c>
      <c r="AD33" s="336" t="e">
        <f>_xlfn.XLOOKUP($A33,'2026 Approved Budget'!$B:$B,'2026 Approved Budget'!E:E)</f>
        <v>#N/A</v>
      </c>
      <c r="AE33" s="336" t="e">
        <f>_xlfn.XLOOKUP($A33,'2026 Approved Budget'!$B:$B,'2026 Approved Budget'!F:F)</f>
        <v>#N/A</v>
      </c>
      <c r="AF33" s="338" t="e">
        <f>_xlfn.XLOOKUP($A33,'2026 Approved Budget'!$B:$B,'2026 Approved Budget'!H:H)</f>
        <v>#N/A</v>
      </c>
      <c r="AG33" s="254"/>
    </row>
    <row r="34" spans="1:33" customFormat="1" ht="15.75" hidden="1" customHeight="1" x14ac:dyDescent="0.2">
      <c r="A34" s="239">
        <v>1353</v>
      </c>
      <c r="B34" s="248" t="s">
        <v>77</v>
      </c>
      <c r="C34" s="248" t="s">
        <v>122</v>
      </c>
      <c r="D34" s="248" t="s">
        <v>204</v>
      </c>
      <c r="E34" s="250" t="s">
        <v>180</v>
      </c>
      <c r="F34" s="251" t="s">
        <v>197</v>
      </c>
      <c r="G34" s="252" t="s">
        <v>205</v>
      </c>
      <c r="H34" s="251" t="s">
        <v>146</v>
      </c>
      <c r="I34" s="250"/>
      <c r="J34" s="250"/>
      <c r="K34" s="250" t="s">
        <v>51</v>
      </c>
      <c r="L34" s="239" t="s">
        <v>182</v>
      </c>
      <c r="M34" s="239"/>
      <c r="N34" s="248" t="s">
        <v>206</v>
      </c>
      <c r="O34" s="239"/>
      <c r="P34" s="250" t="s">
        <v>128</v>
      </c>
      <c r="Q34" s="248"/>
      <c r="R34" s="248"/>
      <c r="S34" s="248"/>
      <c r="T34" s="275"/>
      <c r="U34" s="248"/>
      <c r="V34" s="252"/>
      <c r="W34" s="335" t="s">
        <v>184</v>
      </c>
      <c r="X34" s="335" t="s">
        <v>184</v>
      </c>
      <c r="Y34" s="335" t="s">
        <v>185</v>
      </c>
      <c r="Z34" s="335"/>
      <c r="AA34" s="336" t="e">
        <f>_xlfn.XLOOKUP($A34,'2026 Approved Budget'!$B:$B,'2026 Approved Budget'!C:C)</f>
        <v>#N/A</v>
      </c>
      <c r="AB34" s="332" t="s">
        <v>185</v>
      </c>
      <c r="AC34" s="336" t="e">
        <f>_xlfn.XLOOKUP($A34,'2026 Approved Budget'!$B:$B,'2026 Approved Budget'!D:D)</f>
        <v>#N/A</v>
      </c>
      <c r="AD34" s="336" t="e">
        <f>_xlfn.XLOOKUP($A34,'2026 Approved Budget'!$B:$B,'2026 Approved Budget'!E:E)</f>
        <v>#N/A</v>
      </c>
      <c r="AE34" s="336" t="e">
        <f>_xlfn.XLOOKUP($A34,'2026 Approved Budget'!$B:$B,'2026 Approved Budget'!F:F)</f>
        <v>#N/A</v>
      </c>
      <c r="AF34" s="338" t="e">
        <f>_xlfn.XLOOKUP($A34,'2026 Approved Budget'!$B:$B,'2026 Approved Budget'!H:H)</f>
        <v>#N/A</v>
      </c>
      <c r="AG34" s="275"/>
    </row>
    <row r="35" spans="1:33" customFormat="1" ht="15.75" hidden="1" customHeight="1" x14ac:dyDescent="0.2">
      <c r="A35" s="239">
        <v>1371</v>
      </c>
      <c r="B35" s="248" t="s">
        <v>77</v>
      </c>
      <c r="C35" s="248" t="s">
        <v>122</v>
      </c>
      <c r="D35" s="249" t="s">
        <v>174</v>
      </c>
      <c r="E35" s="250" t="s">
        <v>180</v>
      </c>
      <c r="F35" s="251" t="s">
        <v>197</v>
      </c>
      <c r="G35" s="252" t="s">
        <v>198</v>
      </c>
      <c r="H35" s="251" t="s">
        <v>37</v>
      </c>
      <c r="I35" s="250"/>
      <c r="J35" s="250"/>
      <c r="K35" s="250" t="s">
        <v>51</v>
      </c>
      <c r="L35" s="239" t="s">
        <v>182</v>
      </c>
      <c r="M35" s="239"/>
      <c r="N35" s="249" t="s">
        <v>207</v>
      </c>
      <c r="O35" s="239"/>
      <c r="P35" s="250" t="s">
        <v>159</v>
      </c>
      <c r="Q35" s="248"/>
      <c r="R35" s="248"/>
      <c r="S35" s="249" t="s">
        <v>208</v>
      </c>
      <c r="T35" s="249"/>
      <c r="U35" s="249"/>
      <c r="V35" s="252"/>
      <c r="W35" s="335" t="s">
        <v>184</v>
      </c>
      <c r="X35" s="335" t="s">
        <v>184</v>
      </c>
      <c r="Y35" s="335" t="s">
        <v>185</v>
      </c>
      <c r="Z35" s="335"/>
      <c r="AA35" s="336" t="e">
        <f>_xlfn.XLOOKUP($A35,'2026 Approved Budget'!$B:$B,'2026 Approved Budget'!C:C)</f>
        <v>#N/A</v>
      </c>
      <c r="AB35" s="332" t="s">
        <v>185</v>
      </c>
      <c r="AC35" s="336" t="e">
        <f>_xlfn.XLOOKUP($A35,'2026 Approved Budget'!$B:$B,'2026 Approved Budget'!D:D)</f>
        <v>#N/A</v>
      </c>
      <c r="AD35" s="336" t="e">
        <f>_xlfn.XLOOKUP($A35,'2026 Approved Budget'!$B:$B,'2026 Approved Budget'!E:E)</f>
        <v>#N/A</v>
      </c>
      <c r="AE35" s="336" t="e">
        <f>_xlfn.XLOOKUP($A35,'2026 Approved Budget'!$B:$B,'2026 Approved Budget'!F:F)</f>
        <v>#N/A</v>
      </c>
      <c r="AF35" s="338" t="e">
        <f>_xlfn.XLOOKUP($A35,'2026 Approved Budget'!$B:$B,'2026 Approved Budget'!H:H)</f>
        <v>#N/A</v>
      </c>
      <c r="AG35" s="254"/>
    </row>
    <row r="36" spans="1:33" customFormat="1" ht="15.75" hidden="1" customHeight="1" x14ac:dyDescent="0.2">
      <c r="A36" s="239">
        <v>1054</v>
      </c>
      <c r="B36" s="248" t="s">
        <v>77</v>
      </c>
      <c r="C36" s="248" t="s">
        <v>122</v>
      </c>
      <c r="D36" s="248" t="s">
        <v>209</v>
      </c>
      <c r="E36" s="250" t="s">
        <v>180</v>
      </c>
      <c r="F36" s="251" t="s">
        <v>81</v>
      </c>
      <c r="G36" s="252" t="s">
        <v>210</v>
      </c>
      <c r="H36" s="251" t="s">
        <v>146</v>
      </c>
      <c r="I36" s="250"/>
      <c r="J36" s="250"/>
      <c r="K36" s="250" t="s">
        <v>107</v>
      </c>
      <c r="L36" s="239" t="s">
        <v>182</v>
      </c>
      <c r="M36" s="239"/>
      <c r="N36" s="248" t="s">
        <v>211</v>
      </c>
      <c r="O36" s="239"/>
      <c r="P36" s="250" t="s">
        <v>132</v>
      </c>
      <c r="Q36" s="248" t="s">
        <v>177</v>
      </c>
      <c r="R36" s="248"/>
      <c r="S36" s="248"/>
      <c r="T36" s="248"/>
      <c r="U36" s="248"/>
      <c r="V36" s="252"/>
      <c r="W36" s="335" t="s">
        <v>184</v>
      </c>
      <c r="X36" s="335" t="s">
        <v>184</v>
      </c>
      <c r="Y36" s="335" t="s">
        <v>185</v>
      </c>
      <c r="Z36" s="335"/>
      <c r="AA36" s="336" t="e">
        <f>_xlfn.XLOOKUP($A36,'2026 Approved Budget'!$B:$B,'2026 Approved Budget'!C:C)</f>
        <v>#N/A</v>
      </c>
      <c r="AB36" s="332" t="s">
        <v>185</v>
      </c>
      <c r="AC36" s="336" t="e">
        <f>_xlfn.XLOOKUP($A36,'2026 Approved Budget'!$B:$B,'2026 Approved Budget'!D:D)</f>
        <v>#N/A</v>
      </c>
      <c r="AD36" s="336" t="e">
        <f>_xlfn.XLOOKUP($A36,'2026 Approved Budget'!$B:$B,'2026 Approved Budget'!E:E)</f>
        <v>#N/A</v>
      </c>
      <c r="AE36" s="336" t="e">
        <f>_xlfn.XLOOKUP($A36,'2026 Approved Budget'!$B:$B,'2026 Approved Budget'!F:F)</f>
        <v>#N/A</v>
      </c>
      <c r="AF36" s="338" t="e">
        <f>_xlfn.XLOOKUP($A36,'2026 Approved Budget'!$B:$B,'2026 Approved Budget'!H:H)</f>
        <v>#N/A</v>
      </c>
      <c r="AG36" s="292"/>
    </row>
    <row r="37" spans="1:33" customFormat="1" ht="15.75" hidden="1" customHeight="1" x14ac:dyDescent="0.2">
      <c r="A37" s="239">
        <v>1053</v>
      </c>
      <c r="B37" s="248" t="s">
        <v>77</v>
      </c>
      <c r="C37" s="248" t="s">
        <v>122</v>
      </c>
      <c r="D37" s="248" t="s">
        <v>134</v>
      </c>
      <c r="E37" s="250" t="s">
        <v>180</v>
      </c>
      <c r="F37" s="251" t="s">
        <v>81</v>
      </c>
      <c r="G37" s="252" t="s">
        <v>210</v>
      </c>
      <c r="H37" s="251" t="s">
        <v>37</v>
      </c>
      <c r="I37" s="250"/>
      <c r="J37" s="250"/>
      <c r="K37" s="250" t="s">
        <v>51</v>
      </c>
      <c r="L37" s="239" t="s">
        <v>182</v>
      </c>
      <c r="M37" s="239"/>
      <c r="N37" s="248" t="s">
        <v>212</v>
      </c>
      <c r="O37" s="239"/>
      <c r="P37" s="250" t="s">
        <v>128</v>
      </c>
      <c r="Q37" s="248" t="s">
        <v>177</v>
      </c>
      <c r="R37" s="248"/>
      <c r="S37" s="248"/>
      <c r="T37" s="248"/>
      <c r="U37" s="248"/>
      <c r="V37" s="252"/>
      <c r="W37" s="335" t="s">
        <v>184</v>
      </c>
      <c r="X37" s="335" t="s">
        <v>184</v>
      </c>
      <c r="Y37" s="335" t="s">
        <v>185</v>
      </c>
      <c r="Z37" s="335"/>
      <c r="AA37" s="336" t="e">
        <f>_xlfn.XLOOKUP($A37,'2026 Approved Budget'!$B:$B,'2026 Approved Budget'!C:C)</f>
        <v>#N/A</v>
      </c>
      <c r="AB37" s="332" t="s">
        <v>185</v>
      </c>
      <c r="AC37" s="336" t="e">
        <f>_xlfn.XLOOKUP($A37,'2026 Approved Budget'!$B:$B,'2026 Approved Budget'!D:D)</f>
        <v>#N/A</v>
      </c>
      <c r="AD37" s="336" t="e">
        <f>_xlfn.XLOOKUP($A37,'2026 Approved Budget'!$B:$B,'2026 Approved Budget'!E:E)</f>
        <v>#N/A</v>
      </c>
      <c r="AE37" s="336" t="e">
        <f>_xlfn.XLOOKUP($A37,'2026 Approved Budget'!$B:$B,'2026 Approved Budget'!F:F)</f>
        <v>#N/A</v>
      </c>
      <c r="AF37" s="338" t="e">
        <f>_xlfn.XLOOKUP($A37,'2026 Approved Budget'!$B:$B,'2026 Approved Budget'!H:H)</f>
        <v>#N/A</v>
      </c>
      <c r="AG37" s="275"/>
    </row>
    <row r="38" spans="1:33" customFormat="1" ht="15.75" customHeight="1" x14ac:dyDescent="0.2">
      <c r="A38" s="239">
        <v>5360</v>
      </c>
      <c r="B38" s="248" t="s">
        <v>77</v>
      </c>
      <c r="C38" s="248" t="s">
        <v>256</v>
      </c>
      <c r="D38" s="249" t="s">
        <v>94</v>
      </c>
      <c r="E38" s="250" t="s">
        <v>34</v>
      </c>
      <c r="F38" s="251" t="s">
        <v>105</v>
      </c>
      <c r="G38" s="252" t="s">
        <v>264</v>
      </c>
      <c r="H38" s="251" t="s">
        <v>50</v>
      </c>
      <c r="I38" s="250">
        <v>3</v>
      </c>
      <c r="J38" s="250" t="s">
        <v>2124</v>
      </c>
      <c r="K38" s="253" t="s">
        <v>61</v>
      </c>
      <c r="L38" s="250"/>
      <c r="M38" s="250" t="s">
        <v>240</v>
      </c>
      <c r="N38" s="249"/>
      <c r="O38" s="239"/>
      <c r="P38" s="239" t="s">
        <v>132</v>
      </c>
      <c r="Q38" s="248" t="s">
        <v>101</v>
      </c>
      <c r="R38" s="248"/>
      <c r="S38" s="249"/>
      <c r="T38" s="249"/>
      <c r="U38" s="261"/>
      <c r="V38" s="252"/>
      <c r="W38" s="332" t="s">
        <v>43</v>
      </c>
      <c r="X38" s="332" t="s">
        <v>103</v>
      </c>
      <c r="Y38" s="275" t="s">
        <v>69</v>
      </c>
      <c r="Z38" s="337" t="s">
        <v>45</v>
      </c>
      <c r="AA38" s="336" t="str">
        <f>_xlfn.XLOOKUP($A38,'2026 Approved Budget'!$B:$B,'2026 Approved Budget'!C:C)</f>
        <v>205 Executive Development</v>
      </c>
      <c r="AB38" s="336" t="s">
        <v>88</v>
      </c>
      <c r="AC38" s="336" t="str">
        <f>_xlfn.XLOOKUP($A38,'2026 Approved Budget'!$B:$B,'2026 Approved Budget'!D:D)</f>
        <v>TBD</v>
      </c>
      <c r="AD38" s="336" t="str">
        <f>_xlfn.XLOOKUP($A38,'2026 Approved Budget'!$B:$B,'2026 Approved Budget'!E:E)</f>
        <v>08. VP</v>
      </c>
      <c r="AE38" s="336" t="str">
        <f>_xlfn.XLOOKUP($A38,'2026 Approved Budget'!$B:$B,'2026 Approved Budget'!F:F)</f>
        <v>SVP, Clinical Development</v>
      </c>
      <c r="AF38" s="338">
        <f>_xlfn.XLOOKUP($A38,'2026 Approved Budget'!$B:$B,'2026 Approved Budget'!H:H)</f>
        <v>46371</v>
      </c>
      <c r="AG38" s="254" t="s">
        <v>223</v>
      </c>
    </row>
    <row r="39" spans="1:33" customFormat="1" ht="15.75" customHeight="1" x14ac:dyDescent="0.2">
      <c r="A39" s="239">
        <v>5384</v>
      </c>
      <c r="B39" s="248" t="s">
        <v>77</v>
      </c>
      <c r="C39" s="248" t="s">
        <v>122</v>
      </c>
      <c r="D39" s="249" t="s">
        <v>79</v>
      </c>
      <c r="E39" s="250" t="s">
        <v>34</v>
      </c>
      <c r="F39" s="239" t="s">
        <v>105</v>
      </c>
      <c r="G39" s="256" t="s">
        <v>217</v>
      </c>
      <c r="H39" s="250" t="s">
        <v>50</v>
      </c>
      <c r="I39" s="250">
        <v>4</v>
      </c>
      <c r="J39" s="250" t="s">
        <v>2124</v>
      </c>
      <c r="K39" s="253" t="s">
        <v>61</v>
      </c>
      <c r="L39" s="250" t="s">
        <v>62</v>
      </c>
      <c r="M39" s="250" t="s">
        <v>83</v>
      </c>
      <c r="N39" s="249"/>
      <c r="O39" s="239"/>
      <c r="P39" s="239" t="s">
        <v>41</v>
      </c>
      <c r="Q39" s="248"/>
      <c r="R39" s="253"/>
      <c r="S39" s="250"/>
      <c r="T39" s="248"/>
      <c r="U39" s="248"/>
      <c r="V39" s="256"/>
      <c r="W39" s="103" t="s">
        <v>75</v>
      </c>
      <c r="X39" s="332" t="s">
        <v>103</v>
      </c>
      <c r="Y39" s="275" t="s">
        <v>69</v>
      </c>
      <c r="Z39" s="337" t="s">
        <v>45</v>
      </c>
      <c r="AA39" s="336" t="str">
        <f>_xlfn.XLOOKUP($A39,'2026 Approved Budget'!$B:$B,'2026 Approved Budget'!C:C)</f>
        <v>901 Executive G&amp;A</v>
      </c>
      <c r="AB39" s="332" t="s">
        <v>88</v>
      </c>
      <c r="AC39" s="336" t="str">
        <f>_xlfn.XLOOKUP($A39,'2026 Approved Budget'!$B:$B,'2026 Approved Budget'!D:D)</f>
        <v>TBD</v>
      </c>
      <c r="AD39" s="336" t="str">
        <f>_xlfn.XLOOKUP($A39,'2026 Approved Budget'!$B:$B,'2026 Approved Budget'!E:E)</f>
        <v>05. Director</v>
      </c>
      <c r="AE39" s="336" t="str">
        <f>_xlfn.XLOOKUP($A39,'2026 Approved Budget'!$B:$B,'2026 Approved Budget'!F:F)</f>
        <v>Buffer Role</v>
      </c>
      <c r="AF39" s="338">
        <f>_xlfn.XLOOKUP($A39,'2026 Approved Budget'!$B:$B,'2026 Approved Budget'!H:H)</f>
        <v>46280</v>
      </c>
      <c r="AG39" s="252" t="s">
        <v>218</v>
      </c>
    </row>
    <row r="40" spans="1:33" customFormat="1" ht="60" customHeight="1" x14ac:dyDescent="0.2">
      <c r="A40" s="239">
        <v>1048</v>
      </c>
      <c r="B40" s="248" t="s">
        <v>77</v>
      </c>
      <c r="C40" s="248" t="s">
        <v>122</v>
      </c>
      <c r="D40" s="248" t="s">
        <v>79</v>
      </c>
      <c r="E40" s="250" t="s">
        <v>34</v>
      </c>
      <c r="F40" s="250" t="s">
        <v>105</v>
      </c>
      <c r="G40" s="256" t="s">
        <v>213</v>
      </c>
      <c r="H40" s="251" t="s">
        <v>50</v>
      </c>
      <c r="I40" s="250">
        <v>5</v>
      </c>
      <c r="J40" s="250" t="s">
        <v>2124</v>
      </c>
      <c r="K40" s="250" t="s">
        <v>71</v>
      </c>
      <c r="L40" s="250" t="s">
        <v>62</v>
      </c>
      <c r="M40" s="250" t="s">
        <v>83</v>
      </c>
      <c r="N40" s="249" t="s">
        <v>214</v>
      </c>
      <c r="O40" s="239"/>
      <c r="P40" s="250" t="s">
        <v>41</v>
      </c>
      <c r="Q40" s="248" t="s">
        <v>215</v>
      </c>
      <c r="R40" s="248"/>
      <c r="S40" s="249"/>
      <c r="T40" s="248" t="s">
        <v>216</v>
      </c>
      <c r="U40" s="248"/>
      <c r="V40" s="256"/>
      <c r="W40" s="103" t="s">
        <v>75</v>
      </c>
      <c r="X40" s="103" t="s">
        <v>43</v>
      </c>
      <c r="Y40" s="275" t="s">
        <v>69</v>
      </c>
      <c r="Z40" s="337" t="s">
        <v>45</v>
      </c>
      <c r="AA40" s="336" t="str">
        <f>_xlfn.XLOOKUP($A40,'2026 Approved Budget'!$B:$B,'2026 Approved Budget'!C:C)</f>
        <v>210 Clinical Operations</v>
      </c>
      <c r="AB40" s="332" t="s">
        <v>46</v>
      </c>
      <c r="AC40" s="336" t="str">
        <f>_xlfn.XLOOKUP($A40,'2026 Approved Budget'!$B:$B,'2026 Approved Budget'!D:D)</f>
        <v>Brianne Leary</v>
      </c>
      <c r="AD40" s="336" t="str">
        <f>_xlfn.XLOOKUP($A40,'2026 Approved Budget'!$B:$B,'2026 Approved Budget'!E:E)</f>
        <v>06. Sr. Director</v>
      </c>
      <c r="AE40" s="336" t="str">
        <f>_xlfn.XLOOKUP($A40,'2026 Approved Budget'!$B:$B,'2026 Approved Budget'!F:F)</f>
        <v>Senior Director, Development Operations</v>
      </c>
      <c r="AF40" s="338">
        <f>_xlfn.XLOOKUP($A40,'2026 Approved Budget'!$B:$B,'2026 Approved Budget'!H:H)</f>
        <v>45342</v>
      </c>
      <c r="AG40" s="254"/>
    </row>
    <row r="41" spans="1:33" customFormat="1" ht="15.75" customHeight="1" x14ac:dyDescent="0.2">
      <c r="A41" s="239">
        <v>1020</v>
      </c>
      <c r="B41" s="248" t="s">
        <v>77</v>
      </c>
      <c r="C41" s="248" t="s">
        <v>368</v>
      </c>
      <c r="D41" s="248" t="s">
        <v>79</v>
      </c>
      <c r="E41" s="250" t="s">
        <v>34</v>
      </c>
      <c r="F41" s="250" t="s">
        <v>48</v>
      </c>
      <c r="G41" s="256" t="s">
        <v>369</v>
      </c>
      <c r="H41" s="251" t="s">
        <v>37</v>
      </c>
      <c r="I41" s="250">
        <v>6</v>
      </c>
      <c r="J41" s="250" t="s">
        <v>2124</v>
      </c>
      <c r="K41" s="253" t="s">
        <v>71</v>
      </c>
      <c r="L41" s="250"/>
      <c r="M41" s="250" t="s">
        <v>83</v>
      </c>
      <c r="N41" s="248" t="s">
        <v>370</v>
      </c>
      <c r="O41" s="239"/>
      <c r="P41" s="250" t="s">
        <v>371</v>
      </c>
      <c r="Q41" s="248" t="s">
        <v>372</v>
      </c>
      <c r="R41" s="248"/>
      <c r="S41" s="248"/>
      <c r="T41" s="248"/>
      <c r="U41" s="248"/>
      <c r="V41" s="256"/>
      <c r="W41" s="332" t="s">
        <v>75</v>
      </c>
      <c r="X41" s="332" t="s">
        <v>43</v>
      </c>
      <c r="Y41" s="336" t="s">
        <v>44</v>
      </c>
      <c r="Z41" s="337" t="s">
        <v>45</v>
      </c>
      <c r="AA41" s="336" t="str">
        <f>_xlfn.XLOOKUP($A41,'2026 Approved Budget'!$B:$B,'2026 Approved Budget'!C:C)</f>
        <v>221 Clinical Data Management</v>
      </c>
      <c r="AB41" s="332" t="s">
        <v>46</v>
      </c>
      <c r="AC41" s="336" t="str">
        <f>_xlfn.XLOOKUP($A41,'2026 Approved Budget'!$B:$B,'2026 Approved Budget'!D:D)</f>
        <v>Lauren Cao</v>
      </c>
      <c r="AD41" s="336" t="str">
        <f>_xlfn.XLOOKUP($A41,'2026 Approved Budget'!$B:$B,'2026 Approved Budget'!E:E)</f>
        <v>06. Sr. Director</v>
      </c>
      <c r="AE41" s="336" t="str">
        <f>_xlfn.XLOOKUP($A41,'2026 Approved Budget'!$B:$B,'2026 Approved Budget'!F:F)</f>
        <v>Senior Director, Clinical Data Management</v>
      </c>
      <c r="AF41" s="338">
        <f>_xlfn.XLOOKUP($A41,'2026 Approved Budget'!$B:$B,'2026 Approved Budget'!H:H)</f>
        <v>45572</v>
      </c>
      <c r="AG41" s="254"/>
    </row>
    <row r="42" spans="1:33" customFormat="1" ht="15.75" customHeight="1" x14ac:dyDescent="0.2">
      <c r="A42" s="239">
        <v>5026</v>
      </c>
      <c r="B42" s="261" t="s">
        <v>77</v>
      </c>
      <c r="C42" s="261" t="s">
        <v>368</v>
      </c>
      <c r="D42" s="261" t="s">
        <v>373</v>
      </c>
      <c r="E42" s="260" t="s">
        <v>34</v>
      </c>
      <c r="F42" s="260" t="s">
        <v>138</v>
      </c>
      <c r="G42" s="261" t="s">
        <v>511</v>
      </c>
      <c r="H42" s="260" t="s">
        <v>359</v>
      </c>
      <c r="I42" s="260">
        <v>7</v>
      </c>
      <c r="J42" s="260" t="s">
        <v>2124</v>
      </c>
      <c r="K42" s="253" t="s">
        <v>61</v>
      </c>
      <c r="L42" s="250" t="s">
        <v>62</v>
      </c>
      <c r="M42" s="260" t="s">
        <v>240</v>
      </c>
      <c r="N42" s="265"/>
      <c r="O42" s="239"/>
      <c r="P42" s="260" t="s">
        <v>128</v>
      </c>
      <c r="Q42" s="261" t="s">
        <v>512</v>
      </c>
      <c r="R42" s="261" t="s">
        <v>513</v>
      </c>
      <c r="S42" s="261" t="s">
        <v>514</v>
      </c>
      <c r="T42" s="261"/>
      <c r="U42" s="261" t="s">
        <v>120</v>
      </c>
      <c r="V42" s="261"/>
      <c r="W42" s="332" t="s">
        <v>43</v>
      </c>
      <c r="X42" s="332" t="s">
        <v>43</v>
      </c>
      <c r="Y42" s="275" t="s">
        <v>69</v>
      </c>
      <c r="Z42" s="337" t="s">
        <v>45</v>
      </c>
      <c r="AA42" s="336" t="str">
        <f>_xlfn.XLOOKUP($A42,'2026 Approved Budget'!$B:$B,'2026 Approved Budget'!C:C)</f>
        <v>220 Clinical Data Science</v>
      </c>
      <c r="AB42" s="336" t="s">
        <v>88</v>
      </c>
      <c r="AC42" s="336" t="str">
        <f>_xlfn.XLOOKUP($A42,'2026 Approved Budget'!$B:$B,'2026 Approved Budget'!D:D)</f>
        <v>TBD</v>
      </c>
      <c r="AD42" s="336" t="str">
        <f>_xlfn.XLOOKUP($A42,'2026 Approved Budget'!$B:$B,'2026 Approved Budget'!E:E)</f>
        <v>04. AD / Staff Scientist</v>
      </c>
      <c r="AE42" s="336" t="str">
        <f>_xlfn.XLOOKUP($A42,'2026 Approved Budget'!$B:$B,'2026 Approved Budget'!F:F)</f>
        <v>Associate Director, Data Management</v>
      </c>
      <c r="AF42" s="338">
        <f>_xlfn.XLOOKUP($A42,'2026 Approved Budget'!$B:$B,'2026 Approved Budget'!H:H)</f>
        <v>46096</v>
      </c>
      <c r="AG42" s="252"/>
    </row>
    <row r="43" spans="1:33" customFormat="1" ht="15.75" customHeight="1" x14ac:dyDescent="0.2">
      <c r="A43" s="239">
        <v>5036</v>
      </c>
      <c r="B43" s="248" t="s">
        <v>77</v>
      </c>
      <c r="C43" s="248" t="s">
        <v>256</v>
      </c>
      <c r="D43" s="249" t="s">
        <v>272</v>
      </c>
      <c r="E43" s="250" t="s">
        <v>34</v>
      </c>
      <c r="F43" s="251" t="s">
        <v>138</v>
      </c>
      <c r="G43" s="252" t="s">
        <v>273</v>
      </c>
      <c r="H43" s="251" t="s">
        <v>50</v>
      </c>
      <c r="I43" s="250">
        <v>8</v>
      </c>
      <c r="J43" s="250" t="s">
        <v>2124</v>
      </c>
      <c r="K43" s="253" t="s">
        <v>100</v>
      </c>
      <c r="L43" s="250"/>
      <c r="M43" s="250" t="s">
        <v>240</v>
      </c>
      <c r="N43" s="249"/>
      <c r="O43" s="239"/>
      <c r="P43" s="250" t="s">
        <v>132</v>
      </c>
      <c r="Q43" s="248"/>
      <c r="R43" s="248" t="s">
        <v>271</v>
      </c>
      <c r="S43" s="249"/>
      <c r="T43" s="249" t="s">
        <v>111</v>
      </c>
      <c r="U43" s="261" t="s">
        <v>269</v>
      </c>
      <c r="V43" s="302" t="s">
        <v>102</v>
      </c>
      <c r="W43" s="332" t="s">
        <v>75</v>
      </c>
      <c r="X43" s="332" t="s">
        <v>43</v>
      </c>
      <c r="Y43" s="275" t="s">
        <v>69</v>
      </c>
      <c r="Z43" s="337" t="s">
        <v>45</v>
      </c>
      <c r="AA43" s="336" t="str">
        <f>_xlfn.XLOOKUP($A43,'2026 Approved Budget'!$B:$B,'2026 Approved Budget'!C:C)</f>
        <v>215 Clinical Development</v>
      </c>
      <c r="AB43" s="332" t="s">
        <v>46</v>
      </c>
      <c r="AC43" s="336" t="str">
        <f>_xlfn.XLOOKUP($A43,'2026 Approved Budget'!$B:$B,'2026 Approved Budget'!D:D)</f>
        <v>TBD</v>
      </c>
      <c r="AD43" s="336" t="str">
        <f>_xlfn.XLOOKUP($A43,'2026 Approved Budget'!$B:$B,'2026 Approved Budget'!E:E)</f>
        <v>04. AD / Staff Scientist</v>
      </c>
      <c r="AE43" s="336" t="str">
        <f>_xlfn.XLOOKUP($A43,'2026 Approved Budget'!$B:$B,'2026 Approved Budget'!F:F)</f>
        <v>Clinical Scientist</v>
      </c>
      <c r="AF43" s="338">
        <f>_xlfn.XLOOKUP($A43,'2026 Approved Budget'!$B:$B,'2026 Approved Budget'!H:H)</f>
        <v>46280</v>
      </c>
      <c r="AG43" s="254" t="s">
        <v>274</v>
      </c>
    </row>
    <row r="44" spans="1:33" customFormat="1" ht="30" customHeight="1" x14ac:dyDescent="0.2">
      <c r="A44" s="239">
        <v>5006</v>
      </c>
      <c r="B44" s="248" t="s">
        <v>77</v>
      </c>
      <c r="C44" s="248" t="s">
        <v>303</v>
      </c>
      <c r="D44" s="249" t="s">
        <v>364</v>
      </c>
      <c r="E44" s="250" t="s">
        <v>34</v>
      </c>
      <c r="F44" s="251" t="s">
        <v>48</v>
      </c>
      <c r="G44" s="252" t="s">
        <v>365</v>
      </c>
      <c r="H44" s="251" t="s">
        <v>37</v>
      </c>
      <c r="I44" s="250">
        <v>9</v>
      </c>
      <c r="J44" s="250" t="s">
        <v>2124</v>
      </c>
      <c r="K44" s="250" t="s">
        <v>71</v>
      </c>
      <c r="L44" s="250" t="s">
        <v>62</v>
      </c>
      <c r="M44" s="250" t="s">
        <v>83</v>
      </c>
      <c r="N44" s="248"/>
      <c r="O44" s="239"/>
      <c r="P44" s="239" t="s">
        <v>41</v>
      </c>
      <c r="Q44" s="248" t="s">
        <v>366</v>
      </c>
      <c r="R44" s="248"/>
      <c r="S44" s="249"/>
      <c r="T44" s="249"/>
      <c r="U44" s="261" t="s">
        <v>120</v>
      </c>
      <c r="V44" s="252"/>
      <c r="W44" s="332" t="s">
        <v>75</v>
      </c>
      <c r="X44" s="332" t="s">
        <v>76</v>
      </c>
      <c r="Y44" s="275" t="s">
        <v>69</v>
      </c>
      <c r="Z44" s="337" t="s">
        <v>45</v>
      </c>
      <c r="AA44" s="336" t="str">
        <f>_xlfn.XLOOKUP($A44,'2026 Approved Budget'!$B:$B,'2026 Approved Budget'!C:C)</f>
        <v>220 Clinical Data Science</v>
      </c>
      <c r="AB44" s="332" t="s">
        <v>46</v>
      </c>
      <c r="AC44" s="336" t="str">
        <f>_xlfn.XLOOKUP($A44,'2026 Approved Budget'!$B:$B,'2026 Approved Budget'!D:D)</f>
        <v>TBD</v>
      </c>
      <c r="AD44" s="336" t="str">
        <f>_xlfn.XLOOKUP($A44,'2026 Approved Budget'!$B:$B,'2026 Approved Budget'!E:E)</f>
        <v>06. Sr. Director</v>
      </c>
      <c r="AE44" s="336" t="str">
        <f>_xlfn.XLOOKUP($A44,'2026 Approved Budget'!$B:$B,'2026 Approved Budget'!F:F)</f>
        <v>Head of Data Analytics</v>
      </c>
      <c r="AF44" s="338">
        <f>_xlfn.XLOOKUP($A44,'2026 Approved Budget'!$B:$B,'2026 Approved Budget'!H:H)</f>
        <v>46096</v>
      </c>
      <c r="AG44" s="252"/>
    </row>
    <row r="45" spans="1:33" customFormat="1" ht="15.75" customHeight="1" x14ac:dyDescent="0.2">
      <c r="A45" s="239">
        <v>5046</v>
      </c>
      <c r="B45" s="248" t="s">
        <v>77</v>
      </c>
      <c r="C45" s="248" t="s">
        <v>256</v>
      </c>
      <c r="D45" s="249" t="s">
        <v>94</v>
      </c>
      <c r="E45" s="250" t="s">
        <v>34</v>
      </c>
      <c r="F45" s="251" t="s">
        <v>105</v>
      </c>
      <c r="G45" s="252" t="s">
        <v>264</v>
      </c>
      <c r="H45" s="251" t="s">
        <v>50</v>
      </c>
      <c r="I45" s="250">
        <v>10</v>
      </c>
      <c r="J45" s="250" t="s">
        <v>2124</v>
      </c>
      <c r="K45" s="253" t="s">
        <v>71</v>
      </c>
      <c r="L45" s="250"/>
      <c r="M45" s="250" t="s">
        <v>240</v>
      </c>
      <c r="N45" s="249"/>
      <c r="O45" s="239"/>
      <c r="P45" s="250" t="s">
        <v>128</v>
      </c>
      <c r="Q45" s="248"/>
      <c r="R45" s="248" t="s">
        <v>271</v>
      </c>
      <c r="S45" s="249"/>
      <c r="T45" s="249" t="s">
        <v>111</v>
      </c>
      <c r="U45" s="261" t="s">
        <v>269</v>
      </c>
      <c r="V45" s="252"/>
      <c r="W45" s="332" t="s">
        <v>75</v>
      </c>
      <c r="X45" s="332" t="s">
        <v>43</v>
      </c>
      <c r="Y45" s="275" t="s">
        <v>69</v>
      </c>
      <c r="Z45" s="337" t="s">
        <v>45</v>
      </c>
      <c r="AA45" s="336" t="str">
        <f>_xlfn.XLOOKUP($A45,'2026 Approved Budget'!$B:$B,'2026 Approved Budget'!C:C)</f>
        <v>215 Clinical Development</v>
      </c>
      <c r="AB45" s="332" t="s">
        <v>46</v>
      </c>
      <c r="AC45" s="336" t="str">
        <f>_xlfn.XLOOKUP($A45,'2026 Approved Budget'!$B:$B,'2026 Approved Budget'!D:D)</f>
        <v>TBD</v>
      </c>
      <c r="AD45" s="336" t="str">
        <f>_xlfn.XLOOKUP($A45,'2026 Approved Budget'!$B:$B,'2026 Approved Budget'!E:E)</f>
        <v>06. Sr. Director</v>
      </c>
      <c r="AE45" s="336" t="str">
        <f>_xlfn.XLOOKUP($A45,'2026 Approved Budget'!$B:$B,'2026 Approved Budget'!F:F)</f>
        <v>Senior Director of Clinical Development</v>
      </c>
      <c r="AF45" s="338">
        <f>_xlfn.XLOOKUP($A45,'2026 Approved Budget'!$B:$B,'2026 Approved Budget'!H:H)</f>
        <v>46188</v>
      </c>
      <c r="AG45" s="254" t="s">
        <v>223</v>
      </c>
    </row>
    <row r="46" spans="1:33" customFormat="1" ht="15.75" customHeight="1" x14ac:dyDescent="0.2">
      <c r="A46" s="239">
        <v>5096</v>
      </c>
      <c r="B46" s="248" t="s">
        <v>77</v>
      </c>
      <c r="C46" s="248" t="s">
        <v>122</v>
      </c>
      <c r="D46" s="249" t="s">
        <v>134</v>
      </c>
      <c r="E46" s="250" t="s">
        <v>34</v>
      </c>
      <c r="F46" s="250" t="s">
        <v>197</v>
      </c>
      <c r="G46" s="252" t="s">
        <v>198</v>
      </c>
      <c r="H46" s="251" t="s">
        <v>50</v>
      </c>
      <c r="I46" s="250">
        <v>11</v>
      </c>
      <c r="J46" s="250"/>
      <c r="K46" s="250" t="s">
        <v>61</v>
      </c>
      <c r="L46" s="250"/>
      <c r="M46" s="250" t="s">
        <v>83</v>
      </c>
      <c r="N46" s="249"/>
      <c r="O46" s="239"/>
      <c r="P46" s="250" t="s">
        <v>128</v>
      </c>
      <c r="Q46" s="248"/>
      <c r="R46" s="248"/>
      <c r="S46" s="249"/>
      <c r="T46" s="249"/>
      <c r="U46" s="261" t="s">
        <v>120</v>
      </c>
      <c r="V46" s="252"/>
      <c r="W46" s="332" t="s">
        <v>43</v>
      </c>
      <c r="X46" s="332" t="s">
        <v>103</v>
      </c>
      <c r="Y46" s="275" t="s">
        <v>69</v>
      </c>
      <c r="Z46" s="337" t="s">
        <v>45</v>
      </c>
      <c r="AA46" s="336" t="str">
        <f>_xlfn.XLOOKUP($A46,'2026 Approved Budget'!$B:$B,'2026 Approved Budget'!C:C)</f>
        <v>210 Clinical Operations</v>
      </c>
      <c r="AB46" s="332" t="s">
        <v>46</v>
      </c>
      <c r="AC46" s="336" t="str">
        <f>_xlfn.XLOOKUP($A46,'2026 Approved Budget'!$B:$B,'2026 Approved Budget'!D:D)</f>
        <v>TBD</v>
      </c>
      <c r="AD46" s="336" t="str">
        <f>_xlfn.XLOOKUP($A46,'2026 Approved Budget'!$B:$B,'2026 Approved Budget'!E:E)</f>
        <v>02. Manager / Scientist</v>
      </c>
      <c r="AE46" s="336" t="str">
        <f>_xlfn.XLOOKUP($A46,'2026 Approved Budget'!$B:$B,'2026 Approved Budget'!F:F)</f>
        <v>Clinical Trial Manager</v>
      </c>
      <c r="AF46" s="338">
        <f>_xlfn.XLOOKUP($A46,'2026 Approved Budget'!$B:$B,'2026 Approved Budget'!H:H)</f>
        <v>46188</v>
      </c>
      <c r="AG46" s="254"/>
    </row>
    <row r="47" spans="1:33" customFormat="1" ht="45" customHeight="1" x14ac:dyDescent="0.2">
      <c r="A47" s="239">
        <v>1333</v>
      </c>
      <c r="B47" s="248" t="s">
        <v>77</v>
      </c>
      <c r="C47" s="248" t="s">
        <v>303</v>
      </c>
      <c r="D47" s="249" t="s">
        <v>362</v>
      </c>
      <c r="E47" s="250" t="s">
        <v>34</v>
      </c>
      <c r="F47" s="260" t="s">
        <v>138</v>
      </c>
      <c r="G47" s="252" t="s">
        <v>355</v>
      </c>
      <c r="H47" s="251" t="s">
        <v>37</v>
      </c>
      <c r="I47" s="250">
        <v>12</v>
      </c>
      <c r="J47" s="250"/>
      <c r="K47" s="253" t="s">
        <v>61</v>
      </c>
      <c r="L47" s="239" t="s">
        <v>62</v>
      </c>
      <c r="M47" s="239" t="s">
        <v>240</v>
      </c>
      <c r="N47" s="249"/>
      <c r="O47" s="239"/>
      <c r="P47" s="250" t="s">
        <v>128</v>
      </c>
      <c r="Q47" s="248" t="s">
        <v>363</v>
      </c>
      <c r="R47" s="248"/>
      <c r="S47" s="249" t="s">
        <v>335</v>
      </c>
      <c r="T47" s="248"/>
      <c r="U47" s="261" t="s">
        <v>120</v>
      </c>
      <c r="V47" s="252"/>
      <c r="W47" s="332" t="s">
        <v>43</v>
      </c>
      <c r="X47" s="332" t="s">
        <v>43</v>
      </c>
      <c r="Y47" s="275" t="s">
        <v>69</v>
      </c>
      <c r="Z47" s="337" t="s">
        <v>45</v>
      </c>
      <c r="AA47" s="336" t="str">
        <f>_xlfn.XLOOKUP($A47,'2026 Approved Budget'!$B:$B,'2026 Approved Budget'!C:C)</f>
        <v>220 Clinical Data Science</v>
      </c>
      <c r="AB47" s="332" t="s">
        <v>46</v>
      </c>
      <c r="AC47" s="336" t="str">
        <f>_xlfn.XLOOKUP($A47,'2026 Approved Budget'!$B:$B,'2026 Approved Budget'!D:D)</f>
        <v>TBD</v>
      </c>
      <c r="AD47" s="336" t="str">
        <f>_xlfn.XLOOKUP($A47,'2026 Approved Budget'!$B:$B,'2026 Approved Budget'!E:E)</f>
        <v>04. AD / Staff Scientist</v>
      </c>
      <c r="AE47" s="336" t="str">
        <f>_xlfn.XLOOKUP($A47,'2026 Approved Budget'!$B:$B,'2026 Approved Budget'!F:F)</f>
        <v>Associate Director, Biostatistician Dani</v>
      </c>
      <c r="AF47" s="338">
        <f>_xlfn.XLOOKUP($A47,'2026 Approved Budget'!$B:$B,'2026 Approved Budget'!H:H)</f>
        <v>46096</v>
      </c>
      <c r="AG47" s="252"/>
    </row>
    <row r="48" spans="1:33" customFormat="1" ht="30" customHeight="1" x14ac:dyDescent="0.2">
      <c r="A48" s="239">
        <v>5050</v>
      </c>
      <c r="B48" s="248" t="s">
        <v>77</v>
      </c>
      <c r="C48" s="248" t="s">
        <v>303</v>
      </c>
      <c r="D48" s="249" t="s">
        <v>307</v>
      </c>
      <c r="E48" s="250" t="s">
        <v>34</v>
      </c>
      <c r="F48" s="250" t="s">
        <v>117</v>
      </c>
      <c r="G48" s="252" t="s">
        <v>367</v>
      </c>
      <c r="H48" s="251" t="s">
        <v>359</v>
      </c>
      <c r="I48" s="250">
        <v>13</v>
      </c>
      <c r="J48" s="250"/>
      <c r="K48" s="250" t="s">
        <v>71</v>
      </c>
      <c r="L48" s="250"/>
      <c r="M48" s="250" t="s">
        <v>240</v>
      </c>
      <c r="N48" s="249"/>
      <c r="O48" s="239"/>
      <c r="P48" s="250" t="s">
        <v>132</v>
      </c>
      <c r="Q48" s="248"/>
      <c r="R48" s="248"/>
      <c r="S48" s="249"/>
      <c r="T48" s="249"/>
      <c r="U48" s="261" t="s">
        <v>120</v>
      </c>
      <c r="V48" s="252"/>
      <c r="W48" s="332" t="s">
        <v>43</v>
      </c>
      <c r="X48" s="332" t="s">
        <v>43</v>
      </c>
      <c r="Y48" s="275" t="s">
        <v>69</v>
      </c>
      <c r="Z48" s="337" t="s">
        <v>45</v>
      </c>
      <c r="AA48" s="336" t="str">
        <f>_xlfn.XLOOKUP($A48,'2026 Approved Budget'!$B:$B,'2026 Approved Budget'!C:C)</f>
        <v>220 Clinical Data Science</v>
      </c>
      <c r="AB48" s="336" t="s">
        <v>88</v>
      </c>
      <c r="AC48" s="336" t="str">
        <f>_xlfn.XLOOKUP($A48,'2026 Approved Budget'!$B:$B,'2026 Approved Budget'!D:D)</f>
        <v>TBD</v>
      </c>
      <c r="AD48" s="336" t="str">
        <f>_xlfn.XLOOKUP($A48,'2026 Approved Budget'!$B:$B,'2026 Approved Budget'!E:E)</f>
        <v>03. Sr. Manager / Sr. Scientist</v>
      </c>
      <c r="AE48" s="336" t="str">
        <f>_xlfn.XLOOKUP($A48,'2026 Approved Budget'!$B:$B,'2026 Approved Budget'!F:F)</f>
        <v>Stats Programming Study Lead</v>
      </c>
      <c r="AF48" s="338">
        <f>_xlfn.XLOOKUP($A48,'2026 Approved Budget'!$B:$B,'2026 Approved Budget'!H:H)</f>
        <v>46188</v>
      </c>
      <c r="AG48" s="254"/>
    </row>
    <row r="49" spans="1:33" customFormat="1" ht="30" hidden="1" customHeight="1" x14ac:dyDescent="0.2">
      <c r="A49" s="239">
        <v>1322</v>
      </c>
      <c r="B49" s="248" t="s">
        <v>77</v>
      </c>
      <c r="C49" s="248" t="s">
        <v>122</v>
      </c>
      <c r="D49" s="248" t="s">
        <v>234</v>
      </c>
      <c r="E49" s="250" t="s">
        <v>180</v>
      </c>
      <c r="F49" s="250" t="s">
        <v>98</v>
      </c>
      <c r="G49" s="252" t="s">
        <v>235</v>
      </c>
      <c r="H49" s="251" t="s">
        <v>146</v>
      </c>
      <c r="I49" s="250"/>
      <c r="J49" s="250"/>
      <c r="K49" s="250" t="s">
        <v>61</v>
      </c>
      <c r="L49" s="250"/>
      <c r="M49" s="250"/>
      <c r="N49" s="248" t="s">
        <v>236</v>
      </c>
      <c r="O49" s="239"/>
      <c r="P49" s="250" t="s">
        <v>41</v>
      </c>
      <c r="Q49" s="248" t="s">
        <v>237</v>
      </c>
      <c r="R49" s="248"/>
      <c r="S49" s="248"/>
      <c r="T49" s="248"/>
      <c r="U49" s="292" t="s">
        <v>120</v>
      </c>
      <c r="V49" s="252"/>
      <c r="W49" s="335" t="s">
        <v>184</v>
      </c>
      <c r="X49" s="335" t="s">
        <v>184</v>
      </c>
      <c r="Y49" s="335" t="s">
        <v>185</v>
      </c>
      <c r="Z49" s="335"/>
      <c r="AA49" s="336" t="e">
        <f>_xlfn.XLOOKUP($A49,'2026 Approved Budget'!$B:$B,'2026 Approved Budget'!C:C)</f>
        <v>#N/A</v>
      </c>
      <c r="AB49" s="332" t="s">
        <v>185</v>
      </c>
      <c r="AC49" s="336" t="e">
        <f>_xlfn.XLOOKUP($A49,'2026 Approved Budget'!$B:$B,'2026 Approved Budget'!D:D)</f>
        <v>#N/A</v>
      </c>
      <c r="AD49" s="336" t="e">
        <f>_xlfn.XLOOKUP($A49,'2026 Approved Budget'!$B:$B,'2026 Approved Budget'!E:E)</f>
        <v>#N/A</v>
      </c>
      <c r="AE49" s="336" t="e">
        <f>_xlfn.XLOOKUP($A49,'2026 Approved Budget'!$B:$B,'2026 Approved Budget'!F:F)</f>
        <v>#N/A</v>
      </c>
      <c r="AF49" s="338" t="e">
        <f>_xlfn.XLOOKUP($A49,'2026 Approved Budget'!$B:$B,'2026 Approved Budget'!H:H)</f>
        <v>#N/A</v>
      </c>
      <c r="AG49" s="275"/>
    </row>
    <row r="50" spans="1:33" customFormat="1" ht="30" hidden="1" customHeight="1" x14ac:dyDescent="0.2">
      <c r="A50" s="239">
        <v>5073</v>
      </c>
      <c r="B50" s="248" t="s">
        <v>77</v>
      </c>
      <c r="C50" s="248" t="s">
        <v>122</v>
      </c>
      <c r="D50" s="249" t="s">
        <v>234</v>
      </c>
      <c r="E50" s="250" t="s">
        <v>180</v>
      </c>
      <c r="F50" s="250" t="s">
        <v>98</v>
      </c>
      <c r="G50" s="252" t="s">
        <v>238</v>
      </c>
      <c r="H50" s="251" t="s">
        <v>50</v>
      </c>
      <c r="I50" s="250"/>
      <c r="J50" s="250"/>
      <c r="K50" s="250" t="s">
        <v>61</v>
      </c>
      <c r="L50" s="250"/>
      <c r="M50" s="250"/>
      <c r="N50" s="249"/>
      <c r="O50" s="239"/>
      <c r="P50" s="239" t="s">
        <v>41</v>
      </c>
      <c r="Q50" s="248"/>
      <c r="R50" s="248"/>
      <c r="S50" s="249"/>
      <c r="T50" s="249"/>
      <c r="U50" s="292" t="s">
        <v>120</v>
      </c>
      <c r="V50" s="252"/>
      <c r="W50" s="335" t="s">
        <v>184</v>
      </c>
      <c r="X50" s="335" t="s">
        <v>184</v>
      </c>
      <c r="Y50" s="335" t="s">
        <v>185</v>
      </c>
      <c r="Z50" s="335"/>
      <c r="AA50" s="336" t="e">
        <f>_xlfn.XLOOKUP($A50,'2026 Approved Budget'!$B:$B,'2026 Approved Budget'!C:C)</f>
        <v>#N/A</v>
      </c>
      <c r="AB50" s="332" t="s">
        <v>185</v>
      </c>
      <c r="AC50" s="336" t="e">
        <f>_xlfn.XLOOKUP($A50,'2026 Approved Budget'!$B:$B,'2026 Approved Budget'!D:D)</f>
        <v>#N/A</v>
      </c>
      <c r="AD50" s="336" t="e">
        <f>_xlfn.XLOOKUP($A50,'2026 Approved Budget'!$B:$B,'2026 Approved Budget'!E:E)</f>
        <v>#N/A</v>
      </c>
      <c r="AE50" s="336" t="e">
        <f>_xlfn.XLOOKUP($A50,'2026 Approved Budget'!$B:$B,'2026 Approved Budget'!F:F)</f>
        <v>#N/A</v>
      </c>
      <c r="AF50" s="338" t="e">
        <f>_xlfn.XLOOKUP($A50,'2026 Approved Budget'!$B:$B,'2026 Approved Budget'!H:H)</f>
        <v>#N/A</v>
      </c>
      <c r="AG50" s="254"/>
    </row>
    <row r="51" spans="1:33" customFormat="1" ht="15.75" hidden="1" customHeight="1" x14ac:dyDescent="0.2">
      <c r="A51" s="251">
        <v>5392</v>
      </c>
      <c r="B51" s="248" t="s">
        <v>77</v>
      </c>
      <c r="C51" s="248" t="s">
        <v>122</v>
      </c>
      <c r="D51" s="249" t="s">
        <v>134</v>
      </c>
      <c r="E51" s="251" t="s">
        <v>180</v>
      </c>
      <c r="F51" s="250" t="s">
        <v>98</v>
      </c>
      <c r="G51" s="249" t="s">
        <v>239</v>
      </c>
      <c r="H51" s="251" t="s">
        <v>146</v>
      </c>
      <c r="I51" s="251"/>
      <c r="J51" s="251"/>
      <c r="K51" s="251" t="s">
        <v>61</v>
      </c>
      <c r="L51" s="251"/>
      <c r="M51" s="251"/>
      <c r="N51" s="249"/>
      <c r="O51" s="251"/>
      <c r="P51" s="251" t="s">
        <v>41</v>
      </c>
      <c r="Q51" s="249"/>
      <c r="R51" s="249"/>
      <c r="S51" s="249"/>
      <c r="T51" s="249"/>
      <c r="U51" s="254"/>
      <c r="V51" s="249"/>
      <c r="W51" s="335" t="s">
        <v>184</v>
      </c>
      <c r="X51" s="335" t="s">
        <v>184</v>
      </c>
      <c r="Y51" s="335" t="s">
        <v>185</v>
      </c>
      <c r="Z51" s="335"/>
      <c r="AA51" s="336" t="e">
        <f>_xlfn.XLOOKUP($A51,'2026 Approved Budget'!$B:$B,'2026 Approved Budget'!C:C)</f>
        <v>#N/A</v>
      </c>
      <c r="AB51" s="332" t="s">
        <v>185</v>
      </c>
      <c r="AC51" s="336" t="e">
        <f>_xlfn.XLOOKUP($A51,'2026 Approved Budget'!$B:$B,'2026 Approved Budget'!D:D)</f>
        <v>#N/A</v>
      </c>
      <c r="AD51" s="336" t="e">
        <f>_xlfn.XLOOKUP($A51,'2026 Approved Budget'!$B:$B,'2026 Approved Budget'!E:E)</f>
        <v>#N/A</v>
      </c>
      <c r="AE51" s="336" t="e">
        <f>_xlfn.XLOOKUP($A51,'2026 Approved Budget'!$B:$B,'2026 Approved Budget'!F:F)</f>
        <v>#N/A</v>
      </c>
      <c r="AF51" s="338" t="e">
        <f>_xlfn.XLOOKUP($A51,'2026 Approved Budget'!$B:$B,'2026 Approved Budget'!H:H)</f>
        <v>#N/A</v>
      </c>
      <c r="AG51" s="252"/>
    </row>
    <row r="52" spans="1:33" customFormat="1" ht="15.75" customHeight="1" x14ac:dyDescent="0.2">
      <c r="A52" s="239">
        <v>1043</v>
      </c>
      <c r="B52" s="248" t="s">
        <v>77</v>
      </c>
      <c r="C52" s="248" t="s">
        <v>122</v>
      </c>
      <c r="D52" s="248" t="s">
        <v>156</v>
      </c>
      <c r="E52" s="250" t="s">
        <v>34</v>
      </c>
      <c r="F52" s="251" t="s">
        <v>138</v>
      </c>
      <c r="G52" s="252" t="s">
        <v>194</v>
      </c>
      <c r="H52" s="251" t="s">
        <v>37</v>
      </c>
      <c r="I52" s="250">
        <v>14</v>
      </c>
      <c r="J52" s="250"/>
      <c r="K52" s="250" t="s">
        <v>71</v>
      </c>
      <c r="L52" s="250" t="s">
        <v>62</v>
      </c>
      <c r="M52" s="250" t="s">
        <v>83</v>
      </c>
      <c r="N52" s="248" t="s">
        <v>224</v>
      </c>
      <c r="O52" s="239"/>
      <c r="P52" s="250" t="s">
        <v>159</v>
      </c>
      <c r="Q52" s="248" t="s">
        <v>225</v>
      </c>
      <c r="R52" s="248"/>
      <c r="S52" s="248"/>
      <c r="T52" s="248"/>
      <c r="U52" s="248"/>
      <c r="V52" s="252"/>
      <c r="W52" s="332" t="s">
        <v>75</v>
      </c>
      <c r="X52" s="332" t="s">
        <v>76</v>
      </c>
      <c r="Y52" s="275" t="s">
        <v>69</v>
      </c>
      <c r="Z52" s="337" t="s">
        <v>45</v>
      </c>
      <c r="AA52" s="336" t="str">
        <f>_xlfn.XLOOKUP($A52,'2026 Approved Budget'!$B:$B,'2026 Approved Budget'!C:C)</f>
        <v>210 Clinical Operations</v>
      </c>
      <c r="AB52" s="332" t="s">
        <v>46</v>
      </c>
      <c r="AC52" s="336" t="str">
        <f>_xlfn.XLOOKUP($A52,'2026 Approved Budget'!$B:$B,'2026 Approved Budget'!D:D)</f>
        <v>Anyi Ihiasota</v>
      </c>
      <c r="AD52" s="336" t="str">
        <f>_xlfn.XLOOKUP($A52,'2026 Approved Budget'!$B:$B,'2026 Approved Budget'!E:E)</f>
        <v>03. Sr. Manager / Sr. Scientist</v>
      </c>
      <c r="AE52" s="336" t="str">
        <f>_xlfn.XLOOKUP($A52,'2026 Approved Budget'!$B:$B,'2026 Approved Budget'!F:F)</f>
        <v>Clinical Trial Lead</v>
      </c>
      <c r="AF52" s="338">
        <f>_xlfn.XLOOKUP($A52,'2026 Approved Budget'!$B:$B,'2026 Approved Budget'!H:H)</f>
        <v>45740</v>
      </c>
      <c r="AG52" s="261"/>
    </row>
    <row r="53" spans="1:33" customFormat="1" ht="15.75" customHeight="1" x14ac:dyDescent="0.2">
      <c r="A53" s="239">
        <v>5077</v>
      </c>
      <c r="B53" s="248" t="s">
        <v>77</v>
      </c>
      <c r="C53" s="248" t="s">
        <v>122</v>
      </c>
      <c r="D53" s="249" t="s">
        <v>234</v>
      </c>
      <c r="E53" s="250" t="s">
        <v>34</v>
      </c>
      <c r="F53" s="250" t="s">
        <v>138</v>
      </c>
      <c r="G53" s="252" t="s">
        <v>220</v>
      </c>
      <c r="H53" s="251" t="s">
        <v>37</v>
      </c>
      <c r="I53" s="250">
        <v>15</v>
      </c>
      <c r="J53" s="250"/>
      <c r="K53" s="250" t="s">
        <v>61</v>
      </c>
      <c r="L53" s="250" t="s">
        <v>62</v>
      </c>
      <c r="M53" s="250" t="s">
        <v>240</v>
      </c>
      <c r="N53" s="249"/>
      <c r="O53" s="239"/>
      <c r="P53" s="239" t="s">
        <v>41</v>
      </c>
      <c r="Q53" s="248"/>
      <c r="R53" s="248"/>
      <c r="S53" s="249"/>
      <c r="T53" s="249"/>
      <c r="U53" s="261" t="s">
        <v>120</v>
      </c>
      <c r="V53" s="252"/>
      <c r="W53" s="332" t="s">
        <v>43</v>
      </c>
      <c r="X53" s="332" t="s">
        <v>43</v>
      </c>
      <c r="Y53" s="275" t="s">
        <v>69</v>
      </c>
      <c r="Z53" s="337" t="s">
        <v>45</v>
      </c>
      <c r="AA53" s="336" t="str">
        <f>_xlfn.XLOOKUP($A53,'2026 Approved Budget'!$B:$B,'2026 Approved Budget'!C:C)</f>
        <v>210 Clinical Operations</v>
      </c>
      <c r="AB53" s="332" t="s">
        <v>46</v>
      </c>
      <c r="AC53" s="336" t="str">
        <f>_xlfn.XLOOKUP($A53,'2026 Approved Budget'!$B:$B,'2026 Approved Budget'!D:D)</f>
        <v>TBD</v>
      </c>
      <c r="AD53" s="336" t="str">
        <f>_xlfn.XLOOKUP($A53,'2026 Approved Budget'!$B:$B,'2026 Approved Budget'!E:E)</f>
        <v>04. AD / Staff Scientist</v>
      </c>
      <c r="AE53" s="336" t="str">
        <f>_xlfn.XLOOKUP($A53,'2026 Approved Budget'!$B:$B,'2026 Approved Budget'!F:F)</f>
        <v>Development Business Operations</v>
      </c>
      <c r="AF53" s="338">
        <f>_xlfn.XLOOKUP($A53,'2026 Approved Budget'!$B:$B,'2026 Approved Budget'!H:H)</f>
        <v>46096</v>
      </c>
      <c r="AG53" s="254"/>
    </row>
    <row r="54" spans="1:33" customFormat="1" ht="15.75" customHeight="1" x14ac:dyDescent="0.2">
      <c r="A54" s="239">
        <v>5385</v>
      </c>
      <c r="B54" s="248" t="s">
        <v>77</v>
      </c>
      <c r="C54" s="248" t="s">
        <v>122</v>
      </c>
      <c r="D54" s="249" t="s">
        <v>79</v>
      </c>
      <c r="E54" s="250" t="s">
        <v>34</v>
      </c>
      <c r="F54" s="239" t="s">
        <v>48</v>
      </c>
      <c r="G54" s="256" t="s">
        <v>219</v>
      </c>
      <c r="H54" s="250" t="s">
        <v>50</v>
      </c>
      <c r="I54" s="250">
        <v>16</v>
      </c>
      <c r="J54" s="250"/>
      <c r="K54" s="253" t="s">
        <v>61</v>
      </c>
      <c r="L54" s="250" t="s">
        <v>62</v>
      </c>
      <c r="M54" s="250" t="s">
        <v>83</v>
      </c>
      <c r="N54" s="249"/>
      <c r="O54" s="239"/>
      <c r="P54" s="239" t="s">
        <v>41</v>
      </c>
      <c r="Q54" s="248"/>
      <c r="R54" s="248"/>
      <c r="S54" s="248"/>
      <c r="T54" s="248"/>
      <c r="U54" s="248"/>
      <c r="V54" s="256"/>
      <c r="W54" s="103" t="s">
        <v>75</v>
      </c>
      <c r="X54" s="332" t="s">
        <v>103</v>
      </c>
      <c r="Y54" s="275" t="s">
        <v>69</v>
      </c>
      <c r="Z54" s="337" t="s">
        <v>45</v>
      </c>
      <c r="AA54" s="336" t="str">
        <f>_xlfn.XLOOKUP($A54,'2026 Approved Budget'!$B:$B,'2026 Approved Budget'!C:C)</f>
        <v>901 Executive G&amp;A</v>
      </c>
      <c r="AB54" s="332" t="s">
        <v>88</v>
      </c>
      <c r="AC54" s="336" t="str">
        <f>_xlfn.XLOOKUP($A54,'2026 Approved Budget'!$B:$B,'2026 Approved Budget'!D:D)</f>
        <v>TBD</v>
      </c>
      <c r="AD54" s="336" t="str">
        <f>_xlfn.XLOOKUP($A54,'2026 Approved Budget'!$B:$B,'2026 Approved Budget'!E:E)</f>
        <v>05. Director</v>
      </c>
      <c r="AE54" s="336" t="str">
        <f>_xlfn.XLOOKUP($A54,'2026 Approved Budget'!$B:$B,'2026 Approved Budget'!F:F)</f>
        <v>Buffer Role</v>
      </c>
      <c r="AF54" s="338">
        <f>_xlfn.XLOOKUP($A54,'2026 Approved Budget'!$B:$B,'2026 Approved Budget'!H:H)</f>
        <v>46280</v>
      </c>
      <c r="AG54" s="252" t="s">
        <v>218</v>
      </c>
    </row>
    <row r="55" spans="1:33" customFormat="1" ht="30" customHeight="1" x14ac:dyDescent="0.2">
      <c r="A55" s="239">
        <v>5386</v>
      </c>
      <c r="B55" s="248" t="s">
        <v>77</v>
      </c>
      <c r="C55" s="248" t="s">
        <v>122</v>
      </c>
      <c r="D55" s="249" t="s">
        <v>79</v>
      </c>
      <c r="E55" s="250" t="s">
        <v>34</v>
      </c>
      <c r="F55" s="239" t="s">
        <v>48</v>
      </c>
      <c r="G55" s="256" t="s">
        <v>220</v>
      </c>
      <c r="H55" s="250" t="s">
        <v>50</v>
      </c>
      <c r="I55" s="250">
        <v>17</v>
      </c>
      <c r="J55" s="250"/>
      <c r="K55" s="253" t="s">
        <v>61</v>
      </c>
      <c r="L55" s="250" t="s">
        <v>62</v>
      </c>
      <c r="M55" s="250" t="s">
        <v>83</v>
      </c>
      <c r="N55" s="249"/>
      <c r="O55" s="239"/>
      <c r="P55" s="239" t="s">
        <v>41</v>
      </c>
      <c r="Q55" s="248"/>
      <c r="R55" s="248"/>
      <c r="S55" s="248"/>
      <c r="T55" s="248"/>
      <c r="U55" s="248"/>
      <c r="V55" s="256"/>
      <c r="W55" s="103" t="s">
        <v>75</v>
      </c>
      <c r="X55" s="332" t="s">
        <v>103</v>
      </c>
      <c r="Y55" s="275" t="s">
        <v>69</v>
      </c>
      <c r="Z55" s="337" t="s">
        <v>45</v>
      </c>
      <c r="AA55" s="336" t="str">
        <f>_xlfn.XLOOKUP($A55,'2026 Approved Budget'!$B:$B,'2026 Approved Budget'!C:C)</f>
        <v>901 Executive G&amp;A</v>
      </c>
      <c r="AB55" s="332" t="s">
        <v>88</v>
      </c>
      <c r="AC55" s="336" t="str">
        <f>_xlfn.XLOOKUP($A55,'2026 Approved Budget'!$B:$B,'2026 Approved Budget'!D:D)</f>
        <v>TBD</v>
      </c>
      <c r="AD55" s="336" t="str">
        <f>_xlfn.XLOOKUP($A55,'2026 Approved Budget'!$B:$B,'2026 Approved Budget'!E:E)</f>
        <v>05. Director</v>
      </c>
      <c r="AE55" s="336" t="str">
        <f>_xlfn.XLOOKUP($A55,'2026 Approved Budget'!$B:$B,'2026 Approved Budget'!F:F)</f>
        <v>Buffer Role</v>
      </c>
      <c r="AF55" s="338">
        <f>_xlfn.XLOOKUP($A55,'2026 Approved Budget'!$B:$B,'2026 Approved Budget'!H:H)</f>
        <v>46280</v>
      </c>
      <c r="AG55" s="252" t="s">
        <v>218</v>
      </c>
    </row>
    <row r="56" spans="1:33" ht="15" hidden="1" customHeight="1" x14ac:dyDescent="0.2">
      <c r="A56" s="239">
        <v>5102</v>
      </c>
      <c r="B56" s="248" t="s">
        <v>77</v>
      </c>
      <c r="C56" s="248" t="s">
        <v>122</v>
      </c>
      <c r="D56" s="249" t="s">
        <v>161</v>
      </c>
      <c r="E56" s="250" t="s">
        <v>180</v>
      </c>
      <c r="F56" s="250" t="s">
        <v>117</v>
      </c>
      <c r="G56" s="252" t="s">
        <v>194</v>
      </c>
      <c r="H56" s="251" t="s">
        <v>50</v>
      </c>
      <c r="I56" s="250"/>
      <c r="J56" s="250"/>
      <c r="K56" s="250" t="s">
        <v>61</v>
      </c>
      <c r="L56" s="250"/>
      <c r="M56" s="250"/>
      <c r="N56" s="249" t="s">
        <v>249</v>
      </c>
      <c r="O56" s="239"/>
      <c r="P56" s="250" t="s">
        <v>132</v>
      </c>
      <c r="Q56" s="248"/>
      <c r="R56" s="258"/>
      <c r="S56" s="257"/>
      <c r="T56" s="249"/>
      <c r="U56" s="292" t="s">
        <v>120</v>
      </c>
      <c r="V56" s="252"/>
      <c r="W56" s="335" t="s">
        <v>184</v>
      </c>
      <c r="X56" s="335" t="s">
        <v>184</v>
      </c>
      <c r="Y56" s="335" t="s">
        <v>185</v>
      </c>
      <c r="Z56" s="335"/>
      <c r="AA56" s="336" t="e">
        <f>_xlfn.XLOOKUP($A56,'2026 Approved Budget'!$B:$B,'2026 Approved Budget'!C:C)</f>
        <v>#N/A</v>
      </c>
      <c r="AB56" s="332" t="s">
        <v>185</v>
      </c>
      <c r="AC56" s="336" t="e">
        <f>_xlfn.XLOOKUP($A56,'2026 Approved Budget'!$B:$B,'2026 Approved Budget'!D:D)</f>
        <v>#N/A</v>
      </c>
      <c r="AD56" s="336" t="e">
        <f>_xlfn.XLOOKUP($A56,'2026 Approved Budget'!$B:$B,'2026 Approved Budget'!E:E)</f>
        <v>#N/A</v>
      </c>
      <c r="AE56" s="336" t="e">
        <f>_xlfn.XLOOKUP($A56,'2026 Approved Budget'!$B:$B,'2026 Approved Budget'!F:F)</f>
        <v>#N/A</v>
      </c>
      <c r="AF56" s="338" t="e">
        <f>_xlfn.XLOOKUP($A56,'2026 Approved Budget'!$B:$B,'2026 Approved Budget'!H:H)</f>
        <v>#N/A</v>
      </c>
      <c r="AG56" s="275"/>
    </row>
    <row r="57" spans="1:33" ht="32" hidden="1" x14ac:dyDescent="0.2">
      <c r="A57" s="239">
        <v>5074</v>
      </c>
      <c r="B57" s="248" t="s">
        <v>77</v>
      </c>
      <c r="C57" s="248" t="s">
        <v>122</v>
      </c>
      <c r="D57" s="249" t="s">
        <v>134</v>
      </c>
      <c r="E57" s="250" t="s">
        <v>180</v>
      </c>
      <c r="F57" s="250" t="s">
        <v>117</v>
      </c>
      <c r="G57" s="252" t="s">
        <v>250</v>
      </c>
      <c r="H57" s="251" t="s">
        <v>50</v>
      </c>
      <c r="I57" s="250"/>
      <c r="J57" s="250"/>
      <c r="K57" s="250" t="s">
        <v>71</v>
      </c>
      <c r="L57" s="250"/>
      <c r="M57" s="250"/>
      <c r="N57" s="249"/>
      <c r="O57" s="239"/>
      <c r="P57" s="239" t="s">
        <v>41</v>
      </c>
      <c r="Q57" s="248"/>
      <c r="R57" s="248"/>
      <c r="S57" s="249"/>
      <c r="T57" s="249"/>
      <c r="U57" s="248"/>
      <c r="V57" s="252"/>
      <c r="W57" s="335" t="s">
        <v>184</v>
      </c>
      <c r="X57" s="335" t="s">
        <v>184</v>
      </c>
      <c r="Y57" s="335" t="s">
        <v>185</v>
      </c>
      <c r="Z57" s="335"/>
      <c r="AA57" s="336" t="e">
        <f>_xlfn.XLOOKUP($A57,'2026 Approved Budget'!$B:$B,'2026 Approved Budget'!C:C)</f>
        <v>#N/A</v>
      </c>
      <c r="AB57" s="332" t="s">
        <v>185</v>
      </c>
      <c r="AC57" s="336" t="e">
        <f>_xlfn.XLOOKUP($A57,'2026 Approved Budget'!$B:$B,'2026 Approved Budget'!D:D)</f>
        <v>#N/A</v>
      </c>
      <c r="AD57" s="336" t="e">
        <f>_xlfn.XLOOKUP($A57,'2026 Approved Budget'!$B:$B,'2026 Approved Budget'!E:E)</f>
        <v>#N/A</v>
      </c>
      <c r="AE57" s="336" t="e">
        <f>_xlfn.XLOOKUP($A57,'2026 Approved Budget'!$B:$B,'2026 Approved Budget'!F:F)</f>
        <v>#N/A</v>
      </c>
      <c r="AF57" s="338" t="e">
        <f>_xlfn.XLOOKUP($A57,'2026 Approved Budget'!$B:$B,'2026 Approved Budget'!H:H)</f>
        <v>#N/A</v>
      </c>
      <c r="AG57" s="275"/>
    </row>
    <row r="58" spans="1:33" s="73" customFormat="1" ht="15" customHeight="1" x14ac:dyDescent="0.2">
      <c r="A58" s="239">
        <v>1369</v>
      </c>
      <c r="B58" s="248" t="s">
        <v>77</v>
      </c>
      <c r="C58" s="255" t="s">
        <v>122</v>
      </c>
      <c r="D58" s="248" t="s">
        <v>134</v>
      </c>
      <c r="E58" s="250" t="s">
        <v>34</v>
      </c>
      <c r="F58" s="239" t="s">
        <v>117</v>
      </c>
      <c r="G58" s="256" t="s">
        <v>194</v>
      </c>
      <c r="H58" s="251" t="s">
        <v>50</v>
      </c>
      <c r="I58" s="250">
        <v>18</v>
      </c>
      <c r="J58" s="250"/>
      <c r="K58" s="250" t="s">
        <v>61</v>
      </c>
      <c r="L58" s="239"/>
      <c r="M58" s="239" t="s">
        <v>83</v>
      </c>
      <c r="N58" s="249"/>
      <c r="O58" s="239"/>
      <c r="P58" s="250" t="s">
        <v>128</v>
      </c>
      <c r="Q58" s="248" t="s">
        <v>251</v>
      </c>
      <c r="R58" s="248"/>
      <c r="S58" s="249" t="s">
        <v>208</v>
      </c>
      <c r="T58" s="249"/>
      <c r="U58" s="261" t="s">
        <v>120</v>
      </c>
      <c r="V58" s="256"/>
      <c r="W58" s="332" t="s">
        <v>43</v>
      </c>
      <c r="X58" s="332" t="s">
        <v>43</v>
      </c>
      <c r="Y58" s="275" t="s">
        <v>69</v>
      </c>
      <c r="Z58" s="337" t="s">
        <v>45</v>
      </c>
      <c r="AA58" s="336" t="str">
        <f>_xlfn.XLOOKUP($A58,'2026 Approved Budget'!$B:$B,'2026 Approved Budget'!C:C)</f>
        <v>210 Clinical Operations</v>
      </c>
      <c r="AB58" s="332" t="s">
        <v>46</v>
      </c>
      <c r="AC58" s="336" t="str">
        <f>_xlfn.XLOOKUP($A58,'2026 Approved Budget'!$B:$B,'2026 Approved Budget'!D:D)</f>
        <v>TBD</v>
      </c>
      <c r="AD58" s="336" t="str">
        <f>_xlfn.XLOOKUP($A58,'2026 Approved Budget'!$B:$B,'2026 Approved Budget'!E:E)</f>
        <v>03. Sr. Manager / Sr. Scientist</v>
      </c>
      <c r="AE58" s="336" t="str">
        <f>_xlfn.XLOOKUP($A58,'2026 Approved Budget'!$B:$B,'2026 Approved Budget'!F:F)</f>
        <v>Clinical Trial Lead (dani)</v>
      </c>
      <c r="AF58" s="338">
        <f>_xlfn.XLOOKUP($A58,'2026 Approved Budget'!$B:$B,'2026 Approved Budget'!H:H)</f>
        <v>46096</v>
      </c>
      <c r="AG58" s="254"/>
    </row>
    <row r="59" spans="1:33" s="73" customFormat="1" ht="15" customHeight="1" x14ac:dyDescent="0.2">
      <c r="A59" s="239">
        <v>5150</v>
      </c>
      <c r="B59" s="248" t="s">
        <v>77</v>
      </c>
      <c r="C59" s="248" t="s">
        <v>429</v>
      </c>
      <c r="D59" s="249" t="s">
        <v>430</v>
      </c>
      <c r="E59" s="250" t="s">
        <v>34</v>
      </c>
      <c r="F59" s="250" t="s">
        <v>138</v>
      </c>
      <c r="G59" s="252" t="s">
        <v>459</v>
      </c>
      <c r="H59" s="251" t="s">
        <v>37</v>
      </c>
      <c r="I59" s="250">
        <v>19</v>
      </c>
      <c r="J59" s="250"/>
      <c r="K59" s="253" t="s">
        <v>71</v>
      </c>
      <c r="L59" s="250"/>
      <c r="M59" s="250" t="s">
        <v>52</v>
      </c>
      <c r="N59" s="249"/>
      <c r="O59" s="239"/>
      <c r="P59" s="239" t="s">
        <v>41</v>
      </c>
      <c r="Q59" s="248" t="s">
        <v>439</v>
      </c>
      <c r="R59" s="248"/>
      <c r="S59" s="249" t="s">
        <v>460</v>
      </c>
      <c r="T59" s="249"/>
      <c r="U59" s="261" t="s">
        <v>120</v>
      </c>
      <c r="V59" s="252" t="s">
        <v>102</v>
      </c>
      <c r="W59" s="332" t="s">
        <v>43</v>
      </c>
      <c r="X59" s="332" t="s">
        <v>43</v>
      </c>
      <c r="Y59" s="275" t="s">
        <v>69</v>
      </c>
      <c r="Z59" s="337" t="s">
        <v>45</v>
      </c>
      <c r="AA59" s="336" t="str">
        <f>_xlfn.XLOOKUP($A59,'2026 Approved Budget'!$B:$B,'2026 Approved Budget'!C:C)</f>
        <v>235 Regulatory</v>
      </c>
      <c r="AB59" s="332" t="s">
        <v>46</v>
      </c>
      <c r="AC59" s="336" t="str">
        <f>_xlfn.XLOOKUP($A59,'2026 Approved Budget'!$B:$B,'2026 Approved Budget'!D:D)</f>
        <v>TBD</v>
      </c>
      <c r="AD59" s="336" t="str">
        <f>_xlfn.XLOOKUP($A59,'2026 Approved Budget'!$B:$B,'2026 Approved Budget'!E:E)</f>
        <v>04. AD / Staff Scientist</v>
      </c>
      <c r="AE59" s="336" t="str">
        <f>_xlfn.XLOOKUP($A59,'2026 Approved Budget'!$B:$B,'2026 Approved Budget'!F:F)</f>
        <v>Associate Director, Regulatory Strategy (TLA/ATA)</v>
      </c>
      <c r="AF59" s="338">
        <f>_xlfn.XLOOKUP($A59,'2026 Approved Budget'!$B:$B,'2026 Approved Budget'!H:H)</f>
        <v>46188</v>
      </c>
      <c r="AG59" s="252" t="s">
        <v>461</v>
      </c>
    </row>
    <row r="60" spans="1:33" s="73" customFormat="1" ht="15" customHeight="1" x14ac:dyDescent="0.2">
      <c r="A60" s="239">
        <v>5153</v>
      </c>
      <c r="B60" s="248" t="s">
        <v>77</v>
      </c>
      <c r="C60" s="248" t="s">
        <v>429</v>
      </c>
      <c r="D60" s="249" t="s">
        <v>440</v>
      </c>
      <c r="E60" s="250" t="s">
        <v>34</v>
      </c>
      <c r="F60" s="250" t="s">
        <v>58</v>
      </c>
      <c r="G60" s="252" t="s">
        <v>462</v>
      </c>
      <c r="H60" s="251" t="s">
        <v>50</v>
      </c>
      <c r="I60" s="250">
        <v>20</v>
      </c>
      <c r="J60" s="250"/>
      <c r="K60" s="253" t="s">
        <v>100</v>
      </c>
      <c r="L60" s="250"/>
      <c r="M60" s="250"/>
      <c r="N60" s="249"/>
      <c r="O60" s="239"/>
      <c r="P60" s="239" t="s">
        <v>41</v>
      </c>
      <c r="Q60" s="248" t="s">
        <v>433</v>
      </c>
      <c r="R60" s="248"/>
      <c r="S60" s="249" t="s">
        <v>460</v>
      </c>
      <c r="T60" s="249"/>
      <c r="U60" s="261" t="s">
        <v>120</v>
      </c>
      <c r="V60" s="252"/>
      <c r="W60" s="332" t="s">
        <v>43</v>
      </c>
      <c r="X60" s="332" t="s">
        <v>43</v>
      </c>
      <c r="Y60" s="275" t="s">
        <v>69</v>
      </c>
      <c r="Z60" s="337" t="s">
        <v>45</v>
      </c>
      <c r="AA60" s="336" t="str">
        <f>_xlfn.XLOOKUP($A60,'2026 Approved Budget'!$B:$B,'2026 Approved Budget'!C:C)</f>
        <v>235 Regulatory</v>
      </c>
      <c r="AB60" s="332" t="s">
        <v>46</v>
      </c>
      <c r="AC60" s="336" t="str">
        <f>_xlfn.XLOOKUP($A60,'2026 Approved Budget'!$B:$B,'2026 Approved Budget'!D:D)</f>
        <v>TBD</v>
      </c>
      <c r="AD60" s="336" t="str">
        <f>_xlfn.XLOOKUP($A60,'2026 Approved Budget'!$B:$B,'2026 Approved Budget'!E:E)</f>
        <v>06. Sr. Director</v>
      </c>
      <c r="AE60" s="336" t="str">
        <f>_xlfn.XLOOKUP($A60,'2026 Approved Budget'!$B:$B,'2026 Approved Budget'!F:F)</f>
        <v>Sr. Director, CMC Regulatory (ATA)</v>
      </c>
      <c r="AF60" s="338">
        <f>_xlfn.XLOOKUP($A60,'2026 Approved Budget'!$B:$B,'2026 Approved Budget'!H:H)</f>
        <v>46280</v>
      </c>
      <c r="AG60" s="252" t="s">
        <v>463</v>
      </c>
    </row>
    <row r="61" spans="1:33" s="73" customFormat="1" ht="15" customHeight="1" x14ac:dyDescent="0.2">
      <c r="A61" s="239">
        <v>5152</v>
      </c>
      <c r="B61" s="248" t="s">
        <v>77</v>
      </c>
      <c r="C61" s="248" t="s">
        <v>429</v>
      </c>
      <c r="D61" s="249" t="s">
        <v>430</v>
      </c>
      <c r="E61" s="250" t="s">
        <v>34</v>
      </c>
      <c r="F61" s="250" t="s">
        <v>58</v>
      </c>
      <c r="G61" s="252" t="s">
        <v>455</v>
      </c>
      <c r="H61" s="260" t="s">
        <v>359</v>
      </c>
      <c r="I61" s="250">
        <v>21</v>
      </c>
      <c r="J61" s="250"/>
      <c r="K61" s="253" t="s">
        <v>71</v>
      </c>
      <c r="L61" s="250"/>
      <c r="M61" s="250" t="s">
        <v>52</v>
      </c>
      <c r="N61" s="249"/>
      <c r="O61" s="239"/>
      <c r="P61" s="239" t="s">
        <v>41</v>
      </c>
      <c r="Q61" s="248" t="s">
        <v>456</v>
      </c>
      <c r="R61" s="248"/>
      <c r="S61" s="249" t="s">
        <v>457</v>
      </c>
      <c r="T61" s="249"/>
      <c r="U61" s="249"/>
      <c r="V61" s="252" t="s">
        <v>451</v>
      </c>
      <c r="W61" s="332" t="s">
        <v>43</v>
      </c>
      <c r="X61" s="332" t="s">
        <v>43</v>
      </c>
      <c r="Y61" s="275" t="s">
        <v>69</v>
      </c>
      <c r="Z61" s="337" t="s">
        <v>45</v>
      </c>
      <c r="AA61" s="336" t="str">
        <f>_xlfn.XLOOKUP($A61,'2026 Approved Budget'!$B:$B,'2026 Approved Budget'!C:C)</f>
        <v>235 Regulatory</v>
      </c>
      <c r="AB61" s="332" t="s">
        <v>46</v>
      </c>
      <c r="AC61" s="336" t="str">
        <f>_xlfn.XLOOKUP($A61,'2026 Approved Budget'!$B:$B,'2026 Approved Budget'!D:D)</f>
        <v>TBD</v>
      </c>
      <c r="AD61" s="336" t="str">
        <f>_xlfn.XLOOKUP($A61,'2026 Approved Budget'!$B:$B,'2026 Approved Budget'!E:E)</f>
        <v>06. Sr. Director</v>
      </c>
      <c r="AE61" s="336" t="str">
        <f>_xlfn.XLOOKUP($A61,'2026 Approved Budget'!$B:$B,'2026 Approved Budget'!F:F)</f>
        <v>Sr. Director, Regulatory Science Communication (X-portfolio)</v>
      </c>
      <c r="AF61" s="338">
        <f>_xlfn.XLOOKUP($A61,'2026 Approved Budget'!$B:$B,'2026 Approved Budget'!H:H)</f>
        <v>46188</v>
      </c>
      <c r="AG61" s="252" t="s">
        <v>458</v>
      </c>
    </row>
    <row r="62" spans="1:33" s="73" customFormat="1" ht="15" hidden="1" customHeight="1" x14ac:dyDescent="0.2">
      <c r="A62" s="239">
        <v>5089</v>
      </c>
      <c r="B62" s="248" t="s">
        <v>77</v>
      </c>
      <c r="C62" s="248" t="s">
        <v>122</v>
      </c>
      <c r="D62" s="249" t="s">
        <v>161</v>
      </c>
      <c r="E62" s="250" t="s">
        <v>180</v>
      </c>
      <c r="F62" s="250" t="s">
        <v>81</v>
      </c>
      <c r="G62" s="252" t="s">
        <v>252</v>
      </c>
      <c r="H62" s="251" t="s">
        <v>146</v>
      </c>
      <c r="I62" s="250"/>
      <c r="J62" s="250"/>
      <c r="K62" s="250" t="s">
        <v>61</v>
      </c>
      <c r="L62" s="250"/>
      <c r="M62" s="250"/>
      <c r="N62" s="249"/>
      <c r="O62" s="239"/>
      <c r="P62" s="250" t="s">
        <v>132</v>
      </c>
      <c r="Q62" s="248"/>
      <c r="R62" s="248"/>
      <c r="S62" s="249"/>
      <c r="T62" s="249"/>
      <c r="U62" s="259"/>
      <c r="V62" s="252"/>
      <c r="W62" s="335" t="s">
        <v>184</v>
      </c>
      <c r="X62" s="335" t="s">
        <v>184</v>
      </c>
      <c r="Y62" s="335" t="s">
        <v>185</v>
      </c>
      <c r="Z62" s="335"/>
      <c r="AA62" s="336" t="e">
        <f>_xlfn.XLOOKUP($A62,'2026 Approved Budget'!$B:$B,'2026 Approved Budget'!C:C)</f>
        <v>#N/A</v>
      </c>
      <c r="AB62" s="332" t="s">
        <v>185</v>
      </c>
      <c r="AC62" s="336" t="e">
        <f>_xlfn.XLOOKUP($A62,'2026 Approved Budget'!$B:$B,'2026 Approved Budget'!D:D)</f>
        <v>#N/A</v>
      </c>
      <c r="AD62" s="336" t="e">
        <f>_xlfn.XLOOKUP($A62,'2026 Approved Budget'!$B:$B,'2026 Approved Budget'!E:E)</f>
        <v>#N/A</v>
      </c>
      <c r="AE62" s="336" t="e">
        <f>_xlfn.XLOOKUP($A62,'2026 Approved Budget'!$B:$B,'2026 Approved Budget'!F:F)</f>
        <v>#N/A</v>
      </c>
      <c r="AF62" s="338" t="e">
        <f>_xlfn.XLOOKUP($A62,'2026 Approved Budget'!$B:$B,'2026 Approved Budget'!H:H)</f>
        <v>#N/A</v>
      </c>
      <c r="AG62" s="292"/>
    </row>
    <row r="63" spans="1:33" s="73" customFormat="1" ht="15" hidden="1" customHeight="1" x14ac:dyDescent="0.2">
      <c r="A63" s="239">
        <v>5075</v>
      </c>
      <c r="B63" s="248" t="s">
        <v>77</v>
      </c>
      <c r="C63" s="248" t="s">
        <v>122</v>
      </c>
      <c r="D63" s="249" t="s">
        <v>134</v>
      </c>
      <c r="E63" s="250" t="s">
        <v>180</v>
      </c>
      <c r="F63" s="250" t="s">
        <v>81</v>
      </c>
      <c r="G63" s="252" t="s">
        <v>253</v>
      </c>
      <c r="H63" s="251" t="s">
        <v>50</v>
      </c>
      <c r="I63" s="250"/>
      <c r="J63" s="250"/>
      <c r="K63" s="250" t="s">
        <v>100</v>
      </c>
      <c r="L63" s="250"/>
      <c r="M63" s="250"/>
      <c r="N63" s="249"/>
      <c r="O63" s="239"/>
      <c r="P63" s="239" t="s">
        <v>41</v>
      </c>
      <c r="Q63" s="248"/>
      <c r="R63" s="248"/>
      <c r="S63" s="249"/>
      <c r="T63" s="249"/>
      <c r="U63" s="248"/>
      <c r="V63" s="252"/>
      <c r="W63" s="335" t="s">
        <v>184</v>
      </c>
      <c r="X63" s="335" t="s">
        <v>184</v>
      </c>
      <c r="Y63" s="335" t="s">
        <v>185</v>
      </c>
      <c r="Z63" s="335"/>
      <c r="AA63" s="336" t="e">
        <f>_xlfn.XLOOKUP($A63,'2026 Approved Budget'!$B:$B,'2026 Approved Budget'!C:C)</f>
        <v>#N/A</v>
      </c>
      <c r="AB63" s="332" t="s">
        <v>185</v>
      </c>
      <c r="AC63" s="336" t="e">
        <f>_xlfn.XLOOKUP($A63,'2026 Approved Budget'!$B:$B,'2026 Approved Budget'!D:D)</f>
        <v>#N/A</v>
      </c>
      <c r="AD63" s="336" t="e">
        <f>_xlfn.XLOOKUP($A63,'2026 Approved Budget'!$B:$B,'2026 Approved Budget'!E:E)</f>
        <v>#N/A</v>
      </c>
      <c r="AE63" s="336" t="e">
        <f>_xlfn.XLOOKUP($A63,'2026 Approved Budget'!$B:$B,'2026 Approved Budget'!F:F)</f>
        <v>#N/A</v>
      </c>
      <c r="AF63" s="338" t="e">
        <f>_xlfn.XLOOKUP($A63,'2026 Approved Budget'!$B:$B,'2026 Approved Budget'!H:H)</f>
        <v>#N/A</v>
      </c>
      <c r="AG63" s="275"/>
    </row>
    <row r="64" spans="1:33" s="73" customFormat="1" ht="15" hidden="1" customHeight="1" x14ac:dyDescent="0.2">
      <c r="A64" s="239">
        <v>5098</v>
      </c>
      <c r="B64" s="248" t="s">
        <v>77</v>
      </c>
      <c r="C64" s="248" t="s">
        <v>122</v>
      </c>
      <c r="D64" s="249" t="s">
        <v>134</v>
      </c>
      <c r="E64" s="250" t="s">
        <v>180</v>
      </c>
      <c r="F64" s="250" t="s">
        <v>81</v>
      </c>
      <c r="G64" s="252" t="s">
        <v>210</v>
      </c>
      <c r="H64" s="251" t="s">
        <v>50</v>
      </c>
      <c r="I64" s="250"/>
      <c r="J64" s="250"/>
      <c r="K64" s="250" t="s">
        <v>100</v>
      </c>
      <c r="L64" s="250"/>
      <c r="M64" s="250"/>
      <c r="N64" s="249"/>
      <c r="O64" s="239"/>
      <c r="P64" s="250" t="s">
        <v>128</v>
      </c>
      <c r="Q64" s="248"/>
      <c r="R64" s="248"/>
      <c r="S64" s="249"/>
      <c r="T64" s="249"/>
      <c r="U64" s="248"/>
      <c r="V64" s="252"/>
      <c r="W64" s="335" t="s">
        <v>184</v>
      </c>
      <c r="X64" s="335" t="s">
        <v>184</v>
      </c>
      <c r="Y64" s="335" t="s">
        <v>185</v>
      </c>
      <c r="Z64" s="335"/>
      <c r="AA64" s="336" t="e">
        <f>_xlfn.XLOOKUP($A64,'2026 Approved Budget'!$B:$B,'2026 Approved Budget'!C:C)</f>
        <v>#N/A</v>
      </c>
      <c r="AB64" s="332" t="s">
        <v>185</v>
      </c>
      <c r="AC64" s="336" t="e">
        <f>_xlfn.XLOOKUP($A64,'2026 Approved Budget'!$B:$B,'2026 Approved Budget'!D:D)</f>
        <v>#N/A</v>
      </c>
      <c r="AD64" s="336" t="e">
        <f>_xlfn.XLOOKUP($A64,'2026 Approved Budget'!$B:$B,'2026 Approved Budget'!E:E)</f>
        <v>#N/A</v>
      </c>
      <c r="AE64" s="336" t="e">
        <f>_xlfn.XLOOKUP($A64,'2026 Approved Budget'!$B:$B,'2026 Approved Budget'!F:F)</f>
        <v>#N/A</v>
      </c>
      <c r="AF64" s="338" t="e">
        <f>_xlfn.XLOOKUP($A64,'2026 Approved Budget'!$B:$B,'2026 Approved Budget'!H:H)</f>
        <v>#N/A</v>
      </c>
      <c r="AG64" s="275"/>
    </row>
    <row r="65" spans="1:33" s="73" customFormat="1" ht="15" hidden="1" customHeight="1" x14ac:dyDescent="0.2">
      <c r="A65" s="251">
        <v>5393</v>
      </c>
      <c r="B65" s="248" t="s">
        <v>77</v>
      </c>
      <c r="C65" s="248" t="s">
        <v>122</v>
      </c>
      <c r="D65" s="249" t="s">
        <v>134</v>
      </c>
      <c r="E65" s="251" t="s">
        <v>180</v>
      </c>
      <c r="F65" s="251" t="s">
        <v>81</v>
      </c>
      <c r="G65" s="249" t="s">
        <v>254</v>
      </c>
      <c r="H65" s="251" t="s">
        <v>146</v>
      </c>
      <c r="I65" s="251"/>
      <c r="J65" s="251"/>
      <c r="K65" s="251" t="s">
        <v>242</v>
      </c>
      <c r="L65" s="251"/>
      <c r="M65" s="251"/>
      <c r="N65" s="249"/>
      <c r="O65" s="251"/>
      <c r="P65" s="251" t="s">
        <v>41</v>
      </c>
      <c r="Q65" s="249" t="s">
        <v>255</v>
      </c>
      <c r="R65" s="249"/>
      <c r="S65" s="249"/>
      <c r="T65" s="249"/>
      <c r="U65" s="254"/>
      <c r="V65" s="249"/>
      <c r="W65" s="335" t="s">
        <v>184</v>
      </c>
      <c r="X65" s="335" t="s">
        <v>184</v>
      </c>
      <c r="Y65" s="335" t="s">
        <v>185</v>
      </c>
      <c r="Z65" s="335"/>
      <c r="AA65" s="336" t="e">
        <f>_xlfn.XLOOKUP($A65,'2026 Approved Budget'!$B:$B,'2026 Approved Budget'!C:C)</f>
        <v>#N/A</v>
      </c>
      <c r="AB65" s="332" t="s">
        <v>185</v>
      </c>
      <c r="AC65" s="336" t="e">
        <f>_xlfn.XLOOKUP($A65,'2026 Approved Budget'!$B:$B,'2026 Approved Budget'!D:D)</f>
        <v>#N/A</v>
      </c>
      <c r="AD65" s="336" t="e">
        <f>_xlfn.XLOOKUP($A65,'2026 Approved Budget'!$B:$B,'2026 Approved Budget'!E:E)</f>
        <v>#N/A</v>
      </c>
      <c r="AE65" s="336" t="e">
        <f>_xlfn.XLOOKUP($A65,'2026 Approved Budget'!$B:$B,'2026 Approved Budget'!F:F)</f>
        <v>#N/A</v>
      </c>
      <c r="AF65" s="338" t="e">
        <f>_xlfn.XLOOKUP($A65,'2026 Approved Budget'!$B:$B,'2026 Approved Budget'!H:H)</f>
        <v>#N/A</v>
      </c>
      <c r="AG65" s="252"/>
    </row>
    <row r="66" spans="1:33" s="73" customFormat="1" ht="15" customHeight="1" x14ac:dyDescent="0.2">
      <c r="A66" s="239">
        <v>1302</v>
      </c>
      <c r="B66" s="248" t="s">
        <v>77</v>
      </c>
      <c r="C66" s="248" t="s">
        <v>104</v>
      </c>
      <c r="D66" s="248" t="s">
        <v>112</v>
      </c>
      <c r="E66" s="250" t="s">
        <v>34</v>
      </c>
      <c r="F66" s="251" t="s">
        <v>117</v>
      </c>
      <c r="G66" s="252" t="s">
        <v>118</v>
      </c>
      <c r="H66" s="251" t="s">
        <v>50</v>
      </c>
      <c r="I66" s="250">
        <v>22</v>
      </c>
      <c r="J66" s="250"/>
      <c r="K66" s="253" t="s">
        <v>100</v>
      </c>
      <c r="L66" s="250"/>
      <c r="M66" s="250"/>
      <c r="N66" s="249"/>
      <c r="O66" s="239"/>
      <c r="P66" s="250" t="s">
        <v>109</v>
      </c>
      <c r="Q66" s="248" t="s">
        <v>119</v>
      </c>
      <c r="R66" s="248"/>
      <c r="S66" s="249"/>
      <c r="T66" s="249"/>
      <c r="U66" s="261" t="s">
        <v>120</v>
      </c>
      <c r="V66" s="252" t="s">
        <v>102</v>
      </c>
      <c r="W66" s="332" t="s">
        <v>43</v>
      </c>
      <c r="X66" s="332" t="s">
        <v>43</v>
      </c>
      <c r="Y66" s="275" t="s">
        <v>69</v>
      </c>
      <c r="Z66" s="337" t="s">
        <v>45</v>
      </c>
      <c r="AA66" s="336" t="str">
        <f>_xlfn.XLOOKUP($A66,'2026 Approved Budget'!$B:$B,'2026 Approved Budget'!C:C)</f>
        <v>208 Early Development</v>
      </c>
      <c r="AB66" s="332" t="s">
        <v>46</v>
      </c>
      <c r="AC66" s="336" t="str">
        <f>_xlfn.XLOOKUP($A66,'2026 Approved Budget'!$B:$B,'2026 Approved Budget'!D:D)</f>
        <v>TBD</v>
      </c>
      <c r="AD66" s="336" t="str">
        <f>_xlfn.XLOOKUP($A66,'2026 Approved Budget'!$B:$B,'2026 Approved Budget'!E:E)</f>
        <v>03. Sr. Manager / Sr. Scientist</v>
      </c>
      <c r="AE66" s="336" t="str">
        <f>_xlfn.XLOOKUP($A66,'2026 Approved Budget'!$B:$B,'2026 Approved Budget'!F:F)</f>
        <v>Sr. Scientist, Clinical Pharmacology</v>
      </c>
      <c r="AF66" s="338">
        <f>_xlfn.XLOOKUP($A66,'2026 Approved Budget'!$B:$B,'2026 Approved Budget'!H:H)</f>
        <v>46280</v>
      </c>
      <c r="AG66" s="254" t="s">
        <v>121</v>
      </c>
    </row>
    <row r="67" spans="1:33" ht="15" hidden="1" customHeight="1" x14ac:dyDescent="0.2">
      <c r="A67" s="239">
        <v>1029</v>
      </c>
      <c r="B67" s="240" t="s">
        <v>77</v>
      </c>
      <c r="C67" s="240" t="s">
        <v>256</v>
      </c>
      <c r="D67" s="245" t="s">
        <v>94</v>
      </c>
      <c r="E67" s="241" t="s">
        <v>34</v>
      </c>
      <c r="F67" s="243" t="s">
        <v>48</v>
      </c>
      <c r="G67" s="242" t="s">
        <v>257</v>
      </c>
      <c r="H67" s="243" t="s">
        <v>50</v>
      </c>
      <c r="I67" s="241"/>
      <c r="J67" s="241"/>
      <c r="K67" s="247" t="s">
        <v>166</v>
      </c>
      <c r="L67" s="241" t="s">
        <v>39</v>
      </c>
      <c r="M67" s="241"/>
      <c r="N67" s="245" t="s">
        <v>258</v>
      </c>
      <c r="O67" s="246">
        <v>10014</v>
      </c>
      <c r="P67" s="241" t="s">
        <v>159</v>
      </c>
      <c r="Q67" s="240" t="s">
        <v>259</v>
      </c>
      <c r="R67" s="240"/>
      <c r="S67" s="245"/>
      <c r="T67" s="240"/>
      <c r="U67" s="240"/>
      <c r="V67" s="242"/>
      <c r="W67" s="332" t="s">
        <v>43</v>
      </c>
      <c r="X67" s="332" t="s">
        <v>43</v>
      </c>
      <c r="Y67" s="336" t="s">
        <v>44</v>
      </c>
      <c r="Z67" s="337" t="s">
        <v>45</v>
      </c>
      <c r="AA67" s="336" t="str">
        <f>_xlfn.XLOOKUP($A67,'2026 Approved Budget'!$B:$B,'2026 Approved Budget'!C:C)</f>
        <v>215 Clinical Development</v>
      </c>
      <c r="AB67" s="332" t="s">
        <v>46</v>
      </c>
      <c r="AC67" s="336" t="str">
        <f>_xlfn.XLOOKUP($A67,'2026 Approved Budget'!$B:$B,'2026 Approved Budget'!D:D)</f>
        <v>Liz Moore</v>
      </c>
      <c r="AD67" s="336" t="str">
        <f>_xlfn.XLOOKUP($A67,'2026 Approved Budget'!$B:$B,'2026 Approved Budget'!E:E)</f>
        <v>07. Exec. Director</v>
      </c>
      <c r="AE67" s="336" t="str">
        <f>_xlfn.XLOOKUP($A67,'2026 Approved Budget'!$B:$B,'2026 Approved Budget'!F:F)</f>
        <v>Executive Medical Director (Clinical Research Ataciguat)</v>
      </c>
      <c r="AF67" s="338">
        <f>_xlfn.XLOOKUP($A67,'2026 Approved Budget'!$B:$B,'2026 Approved Budget'!H:H)</f>
        <v>45453</v>
      </c>
      <c r="AG67" s="254"/>
    </row>
    <row r="68" spans="1:33" s="73" customFormat="1" ht="15" hidden="1" customHeight="1" x14ac:dyDescent="0.2">
      <c r="A68" s="239">
        <v>1234</v>
      </c>
      <c r="B68" s="240" t="s">
        <v>77</v>
      </c>
      <c r="C68" s="240" t="s">
        <v>256</v>
      </c>
      <c r="D68" s="245" t="s">
        <v>94</v>
      </c>
      <c r="E68" s="241" t="s">
        <v>34</v>
      </c>
      <c r="F68" s="243" t="s">
        <v>48</v>
      </c>
      <c r="G68" s="242" t="s">
        <v>257</v>
      </c>
      <c r="H68" s="243" t="s">
        <v>50</v>
      </c>
      <c r="I68" s="241"/>
      <c r="J68" s="241"/>
      <c r="K68" s="247" t="s">
        <v>130</v>
      </c>
      <c r="L68" s="241" t="s">
        <v>39</v>
      </c>
      <c r="M68" s="241"/>
      <c r="N68" s="245" t="s">
        <v>260</v>
      </c>
      <c r="O68" s="246">
        <v>10168</v>
      </c>
      <c r="P68" s="241" t="s">
        <v>128</v>
      </c>
      <c r="Q68" s="240" t="s">
        <v>261</v>
      </c>
      <c r="R68" s="240"/>
      <c r="S68" s="245"/>
      <c r="T68" s="245" t="s">
        <v>111</v>
      </c>
      <c r="U68" s="245"/>
      <c r="V68" s="242"/>
      <c r="W68" s="332" t="s">
        <v>43</v>
      </c>
      <c r="X68" s="332" t="s">
        <v>43</v>
      </c>
      <c r="Y68" s="336" t="s">
        <v>44</v>
      </c>
      <c r="Z68" s="337" t="s">
        <v>45</v>
      </c>
      <c r="AA68" s="336" t="str">
        <f>_xlfn.XLOOKUP($A68,'2026 Approved Budget'!$B:$B,'2026 Approved Budget'!C:C)</f>
        <v>215 Clinical Development</v>
      </c>
      <c r="AB68" s="332" t="s">
        <v>46</v>
      </c>
      <c r="AC68" s="336" t="str">
        <f>_xlfn.XLOOKUP($A68,'2026 Approved Budget'!$B:$B,'2026 Approved Budget'!D:D)</f>
        <v>Juan Maya</v>
      </c>
      <c r="AD68" s="336" t="str">
        <f>_xlfn.XLOOKUP($A68,'2026 Approved Budget'!$B:$B,'2026 Approved Budget'!E:E)</f>
        <v>07. Exec. Director</v>
      </c>
      <c r="AE68" s="336" t="str">
        <f>_xlfn.XLOOKUP($A68,'2026 Approved Budget'!$B:$B,'2026 Approved Budget'!F:F)</f>
        <v>Executive Director, Clinical Research, Dani / DCM</v>
      </c>
      <c r="AF68" s="338">
        <f>_xlfn.XLOOKUP($A68,'2026 Approved Budget'!$B:$B,'2026 Approved Budget'!H:H)</f>
        <v>45726</v>
      </c>
      <c r="AG68" s="254"/>
    </row>
    <row r="69" spans="1:33" s="73" customFormat="1" ht="30" hidden="1" customHeight="1" x14ac:dyDescent="0.2">
      <c r="A69" s="239">
        <v>1027</v>
      </c>
      <c r="B69" s="240" t="s">
        <v>77</v>
      </c>
      <c r="C69" s="240" t="s">
        <v>256</v>
      </c>
      <c r="D69" s="245" t="s">
        <v>94</v>
      </c>
      <c r="E69" s="241" t="s">
        <v>34</v>
      </c>
      <c r="F69" s="243" t="s">
        <v>58</v>
      </c>
      <c r="G69" s="242" t="s">
        <v>262</v>
      </c>
      <c r="H69" s="243" t="s">
        <v>37</v>
      </c>
      <c r="I69" s="241"/>
      <c r="J69" s="241"/>
      <c r="K69" s="247" t="s">
        <v>114</v>
      </c>
      <c r="L69" s="241" t="s">
        <v>39</v>
      </c>
      <c r="M69" s="241"/>
      <c r="N69" s="245" t="s">
        <v>263</v>
      </c>
      <c r="O69" s="246">
        <v>10209</v>
      </c>
      <c r="P69" s="241" t="s">
        <v>132</v>
      </c>
      <c r="Q69" s="240" t="s">
        <v>259</v>
      </c>
      <c r="R69" s="240"/>
      <c r="S69" s="245"/>
      <c r="T69" s="245" t="s">
        <v>111</v>
      </c>
      <c r="U69" s="245"/>
      <c r="V69" s="242"/>
      <c r="W69" s="332" t="s">
        <v>43</v>
      </c>
      <c r="X69" s="103" t="s">
        <v>43</v>
      </c>
      <c r="Y69" s="336" t="s">
        <v>44</v>
      </c>
      <c r="Z69" s="337" t="s">
        <v>45</v>
      </c>
      <c r="AA69" s="336" t="str">
        <f>_xlfn.XLOOKUP($A69,'2026 Approved Budget'!$B:$B,'2026 Approved Budget'!C:C)</f>
        <v>215 Clinical Development</v>
      </c>
      <c r="AB69" s="332" t="s">
        <v>46</v>
      </c>
      <c r="AC69" s="336" t="str">
        <f>_xlfn.XLOOKUP($A69,'2026 Approved Budget'!$B:$B,'2026 Approved Budget'!D:D)</f>
        <v>Prameela Ramesan</v>
      </c>
      <c r="AD69" s="336" t="str">
        <f>_xlfn.XLOOKUP($A69,'2026 Approved Budget'!$B:$B,'2026 Approved Budget'!E:E)</f>
        <v>06. Sr. Director</v>
      </c>
      <c r="AE69" s="336" t="str">
        <f>_xlfn.XLOOKUP($A69,'2026 Approved Budget'!$B:$B,'2026 Approved Budget'!F:F)</f>
        <v>Sr. Medical Director (Clinical Lead TLA)</v>
      </c>
      <c r="AF69" s="338">
        <f>_xlfn.XLOOKUP($A69,'2026 Approved Budget'!$B:$B,'2026 Approved Budget'!H:H)</f>
        <v>45775</v>
      </c>
      <c r="AG69" s="254"/>
    </row>
    <row r="70" spans="1:33" s="73" customFormat="1" ht="15" hidden="1" customHeight="1" x14ac:dyDescent="0.2">
      <c r="A70" s="239">
        <v>1318</v>
      </c>
      <c r="B70" s="248" t="s">
        <v>77</v>
      </c>
      <c r="C70" s="248" t="s">
        <v>256</v>
      </c>
      <c r="D70" s="249" t="s">
        <v>281</v>
      </c>
      <c r="E70" s="250" t="s">
        <v>180</v>
      </c>
      <c r="F70" s="251" t="s">
        <v>138</v>
      </c>
      <c r="G70" s="252" t="s">
        <v>273</v>
      </c>
      <c r="H70" s="251" t="s">
        <v>50</v>
      </c>
      <c r="I70" s="250"/>
      <c r="J70" s="250"/>
      <c r="K70" s="253" t="s">
        <v>124</v>
      </c>
      <c r="L70" s="239" t="s">
        <v>182</v>
      </c>
      <c r="M70" s="239"/>
      <c r="N70" s="249" t="s">
        <v>282</v>
      </c>
      <c r="O70" s="239"/>
      <c r="P70" s="250" t="s">
        <v>132</v>
      </c>
      <c r="Q70" s="248" t="s">
        <v>278</v>
      </c>
      <c r="R70" s="248" t="s">
        <v>283</v>
      </c>
      <c r="S70" s="249" t="s">
        <v>284</v>
      </c>
      <c r="T70" s="249"/>
      <c r="U70" s="292" t="s">
        <v>151</v>
      </c>
      <c r="V70" s="252"/>
      <c r="W70" s="335" t="s">
        <v>184</v>
      </c>
      <c r="X70" s="335" t="s">
        <v>184</v>
      </c>
      <c r="Y70" s="335" t="s">
        <v>185</v>
      </c>
      <c r="Z70" s="335"/>
      <c r="AA70" s="336" t="e">
        <f>_xlfn.XLOOKUP($A70,'2026 Approved Budget'!$B:$B,'2026 Approved Budget'!C:C)</f>
        <v>#N/A</v>
      </c>
      <c r="AB70" s="332" t="s">
        <v>185</v>
      </c>
      <c r="AC70" s="336" t="e">
        <f>_xlfn.XLOOKUP($A70,'2026 Approved Budget'!$B:$B,'2026 Approved Budget'!D:D)</f>
        <v>#N/A</v>
      </c>
      <c r="AD70" s="336" t="e">
        <f>_xlfn.XLOOKUP($A70,'2026 Approved Budget'!$B:$B,'2026 Approved Budget'!E:E)</f>
        <v>#N/A</v>
      </c>
      <c r="AE70" s="336" t="e">
        <f>_xlfn.XLOOKUP($A70,'2026 Approved Budget'!$B:$B,'2026 Approved Budget'!F:F)</f>
        <v>#N/A</v>
      </c>
      <c r="AF70" s="338" t="e">
        <f>_xlfn.XLOOKUP($A70,'2026 Approved Budget'!$B:$B,'2026 Approved Budget'!H:H)</f>
        <v>#N/A</v>
      </c>
      <c r="AG70" s="254"/>
    </row>
    <row r="71" spans="1:33" s="73" customFormat="1" ht="45" hidden="1" customHeight="1" x14ac:dyDescent="0.2">
      <c r="A71" s="239">
        <v>1319</v>
      </c>
      <c r="B71" s="248" t="s">
        <v>77</v>
      </c>
      <c r="C71" s="248" t="s">
        <v>256</v>
      </c>
      <c r="D71" s="249" t="s">
        <v>272</v>
      </c>
      <c r="E71" s="250" t="s">
        <v>180</v>
      </c>
      <c r="F71" s="251" t="s">
        <v>138</v>
      </c>
      <c r="G71" s="252" t="s">
        <v>273</v>
      </c>
      <c r="H71" s="251" t="s">
        <v>50</v>
      </c>
      <c r="I71" s="250"/>
      <c r="J71" s="250"/>
      <c r="K71" s="253" t="s">
        <v>124</v>
      </c>
      <c r="L71" s="239" t="s">
        <v>182</v>
      </c>
      <c r="M71" s="239"/>
      <c r="N71" s="249" t="s">
        <v>285</v>
      </c>
      <c r="O71" s="239"/>
      <c r="P71" s="260" t="s">
        <v>159</v>
      </c>
      <c r="Q71" s="248" t="s">
        <v>286</v>
      </c>
      <c r="R71" s="248"/>
      <c r="S71" s="249" t="s">
        <v>287</v>
      </c>
      <c r="T71" s="249" t="s">
        <v>288</v>
      </c>
      <c r="U71" s="292" t="s">
        <v>120</v>
      </c>
      <c r="V71" s="252"/>
      <c r="W71" s="335" t="s">
        <v>184</v>
      </c>
      <c r="X71" s="335" t="s">
        <v>184</v>
      </c>
      <c r="Y71" s="335" t="s">
        <v>185</v>
      </c>
      <c r="Z71" s="335"/>
      <c r="AA71" s="336" t="e">
        <f>_xlfn.XLOOKUP($A71,'2026 Approved Budget'!$B:$B,'2026 Approved Budget'!C:C)</f>
        <v>#N/A</v>
      </c>
      <c r="AB71" s="332" t="s">
        <v>185</v>
      </c>
      <c r="AC71" s="336" t="e">
        <f>_xlfn.XLOOKUP($A71,'2026 Approved Budget'!$B:$B,'2026 Approved Budget'!D:D)</f>
        <v>#N/A</v>
      </c>
      <c r="AD71" s="336" t="e">
        <f>_xlfn.XLOOKUP($A71,'2026 Approved Budget'!$B:$B,'2026 Approved Budget'!E:E)</f>
        <v>#N/A</v>
      </c>
      <c r="AE71" s="336" t="e">
        <f>_xlfn.XLOOKUP($A71,'2026 Approved Budget'!$B:$B,'2026 Approved Budget'!F:F)</f>
        <v>#N/A</v>
      </c>
      <c r="AF71" s="338" t="e">
        <f>_xlfn.XLOOKUP($A71,'2026 Approved Budget'!$B:$B,'2026 Approved Budget'!H:H)</f>
        <v>#N/A</v>
      </c>
      <c r="AG71" s="254" t="s">
        <v>289</v>
      </c>
    </row>
    <row r="72" spans="1:33" s="73" customFormat="1" ht="45" hidden="1" customHeight="1" x14ac:dyDescent="0.2">
      <c r="A72" s="239">
        <v>1368</v>
      </c>
      <c r="B72" s="248" t="s">
        <v>77</v>
      </c>
      <c r="C72" s="248" t="s">
        <v>256</v>
      </c>
      <c r="D72" s="249" t="s">
        <v>275</v>
      </c>
      <c r="E72" s="250" t="s">
        <v>276</v>
      </c>
      <c r="F72" s="251" t="s">
        <v>138</v>
      </c>
      <c r="G72" s="252" t="s">
        <v>273</v>
      </c>
      <c r="H72" s="251" t="s">
        <v>50</v>
      </c>
      <c r="I72" s="250"/>
      <c r="J72" s="250"/>
      <c r="K72" s="253" t="s">
        <v>100</v>
      </c>
      <c r="L72" s="239" t="s">
        <v>182</v>
      </c>
      <c r="M72" s="239"/>
      <c r="N72" s="249" t="s">
        <v>277</v>
      </c>
      <c r="O72" s="239"/>
      <c r="P72" s="250" t="s">
        <v>128</v>
      </c>
      <c r="Q72" s="248" t="s">
        <v>278</v>
      </c>
      <c r="R72" s="248" t="s">
        <v>279</v>
      </c>
      <c r="S72" s="249"/>
      <c r="T72" s="249"/>
      <c r="U72" s="249"/>
      <c r="V72" s="252"/>
      <c r="W72" s="335" t="s">
        <v>184</v>
      </c>
      <c r="X72" s="335" t="s">
        <v>184</v>
      </c>
      <c r="Y72" s="335" t="s">
        <v>185</v>
      </c>
      <c r="Z72" s="335"/>
      <c r="AA72" s="336" t="e">
        <f>_xlfn.XLOOKUP($A72,'2026 Approved Budget'!$B:$B,'2026 Approved Budget'!C:C)</f>
        <v>#N/A</v>
      </c>
      <c r="AB72" s="332" t="s">
        <v>185</v>
      </c>
      <c r="AC72" s="336" t="e">
        <f>_xlfn.XLOOKUP($A72,'2026 Approved Budget'!$B:$B,'2026 Approved Budget'!D:D)</f>
        <v>#N/A</v>
      </c>
      <c r="AD72" s="336" t="e">
        <f>_xlfn.XLOOKUP($A72,'2026 Approved Budget'!$B:$B,'2026 Approved Budget'!E:E)</f>
        <v>#N/A</v>
      </c>
      <c r="AE72" s="336" t="e">
        <f>_xlfn.XLOOKUP($A72,'2026 Approved Budget'!$B:$B,'2026 Approved Budget'!F:F)</f>
        <v>#N/A</v>
      </c>
      <c r="AF72" s="338" t="e">
        <f>_xlfn.XLOOKUP($A72,'2026 Approved Budget'!$B:$B,'2026 Approved Budget'!H:H)</f>
        <v>#N/A</v>
      </c>
      <c r="AG72" s="254" t="s">
        <v>280</v>
      </c>
    </row>
    <row r="73" spans="1:33" ht="45" customHeight="1" x14ac:dyDescent="0.2">
      <c r="A73" s="239">
        <v>5088</v>
      </c>
      <c r="B73" s="248" t="s">
        <v>77</v>
      </c>
      <c r="C73" s="248" t="s">
        <v>122</v>
      </c>
      <c r="D73" s="249" t="s">
        <v>161</v>
      </c>
      <c r="E73" s="250" t="s">
        <v>34</v>
      </c>
      <c r="F73" s="250" t="s">
        <v>117</v>
      </c>
      <c r="G73" s="252" t="s">
        <v>194</v>
      </c>
      <c r="H73" s="251" t="s">
        <v>50</v>
      </c>
      <c r="I73" s="250">
        <v>23</v>
      </c>
      <c r="J73" s="250"/>
      <c r="K73" s="250" t="s">
        <v>71</v>
      </c>
      <c r="L73" s="250"/>
      <c r="M73" s="250" t="s">
        <v>83</v>
      </c>
      <c r="N73" s="249"/>
      <c r="O73" s="239"/>
      <c r="P73" s="250" t="s">
        <v>132</v>
      </c>
      <c r="Q73" s="248"/>
      <c r="R73" s="248"/>
      <c r="S73" s="249"/>
      <c r="T73" s="249"/>
      <c r="U73" s="248"/>
      <c r="V73" s="252"/>
      <c r="W73" s="332" t="s">
        <v>43</v>
      </c>
      <c r="X73" s="332" t="s">
        <v>43</v>
      </c>
      <c r="Y73" s="275" t="s">
        <v>69</v>
      </c>
      <c r="Z73" s="337" t="s">
        <v>45</v>
      </c>
      <c r="AA73" s="336" t="str">
        <f>_xlfn.XLOOKUP($A73,'2026 Approved Budget'!$B:$B,'2026 Approved Budget'!C:C)</f>
        <v>210 Clinical Operations</v>
      </c>
      <c r="AB73" s="332" t="s">
        <v>46</v>
      </c>
      <c r="AC73" s="336" t="str">
        <f>_xlfn.XLOOKUP($A73,'2026 Approved Budget'!$B:$B,'2026 Approved Budget'!D:D)</f>
        <v>TBD</v>
      </c>
      <c r="AD73" s="336" t="str">
        <f>_xlfn.XLOOKUP($A73,'2026 Approved Budget'!$B:$B,'2026 Approved Budget'!E:E)</f>
        <v>03. Sr. Manager / Sr. Scientist</v>
      </c>
      <c r="AE73" s="336" t="str">
        <f>_xlfn.XLOOKUP($A73,'2026 Approved Budget'!$B:$B,'2026 Approved Budget'!F:F)</f>
        <v>Clinical Trial Lead</v>
      </c>
      <c r="AF73" s="338">
        <f>_xlfn.XLOOKUP($A73,'2026 Approved Budget'!$B:$B,'2026 Approved Budget'!H:H)</f>
        <v>46188</v>
      </c>
      <c r="AG73" s="254"/>
    </row>
    <row r="74" spans="1:33" ht="60" customHeight="1" x14ac:dyDescent="0.2">
      <c r="A74" s="239">
        <v>5070</v>
      </c>
      <c r="B74" s="248" t="s">
        <v>77</v>
      </c>
      <c r="C74" s="248" t="s">
        <v>122</v>
      </c>
      <c r="D74" s="249" t="s">
        <v>79</v>
      </c>
      <c r="E74" s="250" t="s">
        <v>34</v>
      </c>
      <c r="F74" s="250" t="s">
        <v>48</v>
      </c>
      <c r="G74" s="256" t="s">
        <v>227</v>
      </c>
      <c r="H74" s="251" t="s">
        <v>50</v>
      </c>
      <c r="I74" s="250">
        <v>24</v>
      </c>
      <c r="J74" s="250"/>
      <c r="K74" s="250" t="s">
        <v>100</v>
      </c>
      <c r="L74" s="250"/>
      <c r="M74" s="250" t="s">
        <v>83</v>
      </c>
      <c r="N74" s="249"/>
      <c r="O74" s="239"/>
      <c r="P74" s="239" t="s">
        <v>41</v>
      </c>
      <c r="Q74" s="248"/>
      <c r="R74" s="248"/>
      <c r="S74" s="249"/>
      <c r="T74" s="249" t="s">
        <v>228</v>
      </c>
      <c r="U74" s="248"/>
      <c r="V74" s="252"/>
      <c r="W74" s="103" t="s">
        <v>75</v>
      </c>
      <c r="X74" s="103" t="s">
        <v>76</v>
      </c>
      <c r="Y74" s="275" t="s">
        <v>69</v>
      </c>
      <c r="Z74" s="337" t="s">
        <v>45</v>
      </c>
      <c r="AA74" s="336" t="str">
        <f>_xlfn.XLOOKUP($A74,'2026 Approved Budget'!$B:$B,'2026 Approved Budget'!C:C)</f>
        <v>210 Clinical Operations</v>
      </c>
      <c r="AB74" s="332" t="s">
        <v>46</v>
      </c>
      <c r="AC74" s="336" t="str">
        <f>_xlfn.XLOOKUP($A74,'2026 Approved Budget'!$B:$B,'2026 Approved Budget'!D:D)</f>
        <v>TBD</v>
      </c>
      <c r="AD74" s="336" t="str">
        <f>_xlfn.XLOOKUP($A74,'2026 Approved Budget'!$B:$B,'2026 Approved Budget'!E:E)</f>
        <v>06. Sr. Director</v>
      </c>
      <c r="AE74" s="336" t="str">
        <f>_xlfn.XLOOKUP($A74,'2026 Approved Budget'!$B:$B,'2026 Approved Budget'!F:F)</f>
        <v>Head of TMF Operations (ClinOps Systems)</v>
      </c>
      <c r="AF74" s="338">
        <f>_xlfn.XLOOKUP($A74,'2026 Approved Budget'!$B:$B,'2026 Approved Budget'!H:H)</f>
        <v>46188</v>
      </c>
      <c r="AG74" s="254"/>
    </row>
    <row r="75" spans="1:33" ht="30" customHeight="1" x14ac:dyDescent="0.2">
      <c r="A75" s="239">
        <v>5095</v>
      </c>
      <c r="B75" s="248" t="s">
        <v>77</v>
      </c>
      <c r="C75" s="248" t="s">
        <v>122</v>
      </c>
      <c r="D75" s="248" t="s">
        <v>204</v>
      </c>
      <c r="E75" s="250" t="s">
        <v>34</v>
      </c>
      <c r="F75" s="250" t="s">
        <v>81</v>
      </c>
      <c r="G75" s="252" t="s">
        <v>252</v>
      </c>
      <c r="H75" s="251" t="s">
        <v>37</v>
      </c>
      <c r="I75" s="250">
        <v>25</v>
      </c>
      <c r="J75" s="250"/>
      <c r="K75" s="250" t="s">
        <v>61</v>
      </c>
      <c r="L75" s="250"/>
      <c r="M75" s="250" t="s">
        <v>240</v>
      </c>
      <c r="N75" s="249" t="s">
        <v>302</v>
      </c>
      <c r="O75" s="239"/>
      <c r="P75" s="250" t="s">
        <v>128</v>
      </c>
      <c r="Q75" s="248"/>
      <c r="R75" s="248"/>
      <c r="S75" s="249"/>
      <c r="T75" s="249"/>
      <c r="U75" s="261" t="s">
        <v>120</v>
      </c>
      <c r="V75" s="252"/>
      <c r="W75" s="332" t="s">
        <v>43</v>
      </c>
      <c r="X75" s="332" t="s">
        <v>43</v>
      </c>
      <c r="Y75" s="275" t="s">
        <v>69</v>
      </c>
      <c r="Z75" s="337" t="s">
        <v>45</v>
      </c>
      <c r="AA75" s="336" t="str">
        <f>_xlfn.XLOOKUP($A75,'2026 Approved Budget'!$B:$B,'2026 Approved Budget'!C:C)</f>
        <v>210 Clinical Operations</v>
      </c>
      <c r="AB75" s="332" t="s">
        <v>46</v>
      </c>
      <c r="AC75" s="336" t="str">
        <f>_xlfn.XLOOKUP($A75,'2026 Approved Budget'!$B:$B,'2026 Approved Budget'!D:D)</f>
        <v>Planned conversion for Karrin</v>
      </c>
      <c r="AD75" s="336" t="str">
        <f>_xlfn.XLOOKUP($A75,'2026 Approved Budget'!$B:$B,'2026 Approved Budget'!E:E)</f>
        <v>01. IC / Coordinator</v>
      </c>
      <c r="AE75" s="336" t="str">
        <f>_xlfn.XLOOKUP($A75,'2026 Approved Budget'!$B:$B,'2026 Approved Budget'!F:F)</f>
        <v>Associate Clinical Trial Manager</v>
      </c>
      <c r="AF75" s="338">
        <f>_xlfn.XLOOKUP($A75,'2026 Approved Budget'!$B:$B,'2026 Approved Budget'!H:H)</f>
        <v>46096</v>
      </c>
      <c r="AG75" s="254"/>
    </row>
    <row r="76" spans="1:33" ht="90" customHeight="1" x14ac:dyDescent="0.2">
      <c r="A76" s="239">
        <v>5051</v>
      </c>
      <c r="B76" s="248" t="s">
        <v>77</v>
      </c>
      <c r="C76" s="248" t="s">
        <v>122</v>
      </c>
      <c r="D76" s="249" t="s">
        <v>156</v>
      </c>
      <c r="E76" s="250" t="s">
        <v>34</v>
      </c>
      <c r="F76" s="250" t="s">
        <v>117</v>
      </c>
      <c r="G76" s="252" t="s">
        <v>194</v>
      </c>
      <c r="H76" s="251" t="s">
        <v>50</v>
      </c>
      <c r="I76" s="250">
        <v>26</v>
      </c>
      <c r="J76" s="250"/>
      <c r="K76" s="250" t="s">
        <v>100</v>
      </c>
      <c r="L76" s="250"/>
      <c r="M76" s="250"/>
      <c r="N76" s="249"/>
      <c r="O76" s="239"/>
      <c r="P76" s="250" t="s">
        <v>159</v>
      </c>
      <c r="Q76" s="248" t="s">
        <v>300</v>
      </c>
      <c r="R76" s="248"/>
      <c r="S76" s="249"/>
      <c r="T76" s="250" t="s">
        <v>243</v>
      </c>
      <c r="U76" s="261" t="s">
        <v>120</v>
      </c>
      <c r="V76" s="302" t="s">
        <v>301</v>
      </c>
      <c r="W76" s="332" t="s">
        <v>43</v>
      </c>
      <c r="X76" s="103" t="s">
        <v>76</v>
      </c>
      <c r="Y76" s="275" t="s">
        <v>69</v>
      </c>
      <c r="Z76" s="337" t="s">
        <v>45</v>
      </c>
      <c r="AA76" s="336" t="str">
        <f>_xlfn.XLOOKUP($A76,'2026 Approved Budget'!$B:$B,'2026 Approved Budget'!C:C)</f>
        <v>210 Clinical Operations</v>
      </c>
      <c r="AB76" s="332" t="s">
        <v>46</v>
      </c>
      <c r="AC76" s="336" t="str">
        <f>_xlfn.XLOOKUP($A76,'2026 Approved Budget'!$B:$B,'2026 Approved Budget'!D:D)</f>
        <v>TBD</v>
      </c>
      <c r="AD76" s="336" t="str">
        <f>_xlfn.XLOOKUP($A76,'2026 Approved Budget'!$B:$B,'2026 Approved Budget'!E:E)</f>
        <v>03. Sr. Manager / Sr. Scientist</v>
      </c>
      <c r="AE76" s="336" t="str">
        <f>_xlfn.XLOOKUP($A76,'2026 Approved Budget'!$B:$B,'2026 Approved Budget'!F:F)</f>
        <v>Clinical Trial Lead</v>
      </c>
      <c r="AF76" s="338">
        <f>_xlfn.XLOOKUP($A76,'2026 Approved Budget'!$B:$B,'2026 Approved Budget'!H:H)</f>
        <v>46188</v>
      </c>
      <c r="AG76" s="254"/>
    </row>
    <row r="77" spans="1:33" ht="30" hidden="1" customHeight="1" x14ac:dyDescent="0.2">
      <c r="A77" s="239">
        <v>1047</v>
      </c>
      <c r="B77" s="240" t="s">
        <v>77</v>
      </c>
      <c r="C77" s="240" t="s">
        <v>303</v>
      </c>
      <c r="D77" s="240" t="s">
        <v>79</v>
      </c>
      <c r="E77" s="241" t="s">
        <v>34</v>
      </c>
      <c r="F77" s="241" t="s">
        <v>58</v>
      </c>
      <c r="G77" s="242" t="s">
        <v>304</v>
      </c>
      <c r="H77" s="243" t="s">
        <v>37</v>
      </c>
      <c r="I77" s="241"/>
      <c r="J77" s="241"/>
      <c r="K77" s="247" t="s">
        <v>166</v>
      </c>
      <c r="L77" s="241" t="s">
        <v>39</v>
      </c>
      <c r="M77" s="241"/>
      <c r="N77" s="245" t="s">
        <v>305</v>
      </c>
      <c r="O77" s="246">
        <v>10010</v>
      </c>
      <c r="P77" s="241" t="s">
        <v>109</v>
      </c>
      <c r="Q77" s="240" t="s">
        <v>306</v>
      </c>
      <c r="R77" s="240"/>
      <c r="S77" s="245"/>
      <c r="T77" s="240"/>
      <c r="U77" s="240"/>
      <c r="V77" s="242"/>
      <c r="W77" s="332" t="s">
        <v>43</v>
      </c>
      <c r="X77" s="332" t="s">
        <v>43</v>
      </c>
      <c r="Y77" s="336" t="s">
        <v>44</v>
      </c>
      <c r="Z77" s="337" t="s">
        <v>45</v>
      </c>
      <c r="AA77" s="336" t="str">
        <f>_xlfn.XLOOKUP($A77,'2026 Approved Budget'!$B:$B,'2026 Approved Budget'!C:C)</f>
        <v>220 Clinical Data Science</v>
      </c>
      <c r="AB77" s="332" t="s">
        <v>46</v>
      </c>
      <c r="AC77" s="336" t="str">
        <f>_xlfn.XLOOKUP($A77,'2026 Approved Budget'!$B:$B,'2026 Approved Budget'!D:D)</f>
        <v>Wanying Li</v>
      </c>
      <c r="AD77" s="336" t="str">
        <f>_xlfn.XLOOKUP($A77,'2026 Approved Budget'!$B:$B,'2026 Approved Budget'!E:E)</f>
        <v>06. Sr. Director</v>
      </c>
      <c r="AE77" s="336" t="str">
        <f>_xlfn.XLOOKUP($A77,'2026 Approved Budget'!$B:$B,'2026 Approved Budget'!F:F)</f>
        <v>Senior Director, Biostatistics</v>
      </c>
      <c r="AF77" s="338">
        <f>_xlfn.XLOOKUP($A77,'2026 Approved Budget'!$B:$B,'2026 Approved Budget'!H:H)</f>
        <v>45425</v>
      </c>
      <c r="AG77" s="254"/>
    </row>
    <row r="78" spans="1:33" ht="30" hidden="1" customHeight="1" x14ac:dyDescent="0.2">
      <c r="A78" s="239">
        <v>1012</v>
      </c>
      <c r="B78" s="240" t="s">
        <v>77</v>
      </c>
      <c r="C78" s="240" t="s">
        <v>303</v>
      </c>
      <c r="D78" s="245" t="s">
        <v>307</v>
      </c>
      <c r="E78" s="241" t="s">
        <v>34</v>
      </c>
      <c r="F78" s="243" t="s">
        <v>58</v>
      </c>
      <c r="G78" s="242" t="s">
        <v>304</v>
      </c>
      <c r="H78" s="243" t="s">
        <v>37</v>
      </c>
      <c r="I78" s="241"/>
      <c r="J78" s="241"/>
      <c r="K78" s="247" t="s">
        <v>61</v>
      </c>
      <c r="L78" s="241" t="s">
        <v>39</v>
      </c>
      <c r="M78" s="246" t="s">
        <v>52</v>
      </c>
      <c r="N78" s="262" t="s">
        <v>308</v>
      </c>
      <c r="O78" s="246">
        <v>10312</v>
      </c>
      <c r="P78" s="241" t="s">
        <v>132</v>
      </c>
      <c r="Q78" s="240" t="s">
        <v>309</v>
      </c>
      <c r="R78" s="240"/>
      <c r="S78" s="245"/>
      <c r="T78" s="245" t="s">
        <v>111</v>
      </c>
      <c r="U78" s="245"/>
      <c r="V78" s="242"/>
      <c r="W78" s="103" t="s">
        <v>75</v>
      </c>
      <c r="X78" s="103" t="s">
        <v>43</v>
      </c>
      <c r="Y78" s="336" t="s">
        <v>44</v>
      </c>
      <c r="Z78" s="337" t="s">
        <v>45</v>
      </c>
      <c r="AA78" s="336" t="str">
        <f>_xlfn.XLOOKUP($A78,'2026 Approved Budget'!$B:$B,'2026 Approved Budget'!C:C)</f>
        <v>220 Clinical Data Science</v>
      </c>
      <c r="AB78" s="332" t="s">
        <v>46</v>
      </c>
      <c r="AC78" s="336" t="str">
        <f>_xlfn.XLOOKUP($A78,'2026 Approved Budget'!$B:$B,'2026 Approved Budget'!D:D)</f>
        <v>BACKFILL: Abbas</v>
      </c>
      <c r="AD78" s="336" t="str">
        <f>_xlfn.XLOOKUP($A78,'2026 Approved Budget'!$B:$B,'2026 Approved Budget'!E:E)</f>
        <v>05. Director</v>
      </c>
      <c r="AE78" s="336" t="str">
        <f>_xlfn.XLOOKUP($A78,'2026 Approved Budget'!$B:$B,'2026 Approved Budget'!F:F)</f>
        <v>Director, Biostatistician, TLA</v>
      </c>
      <c r="AF78" s="338">
        <f>_xlfn.XLOOKUP($A78,'2026 Approved Budget'!$B:$B,'2026 Approved Budget'!H:H)</f>
        <v>46006</v>
      </c>
      <c r="AG78" s="252"/>
    </row>
    <row r="79" spans="1:33" ht="45" hidden="1" customHeight="1" x14ac:dyDescent="0.2">
      <c r="A79" s="239">
        <v>1021</v>
      </c>
      <c r="B79" s="240" t="s">
        <v>77</v>
      </c>
      <c r="C79" s="240" t="s">
        <v>303</v>
      </c>
      <c r="D79" s="245" t="s">
        <v>307</v>
      </c>
      <c r="E79" s="241" t="s">
        <v>34</v>
      </c>
      <c r="F79" s="241" t="s">
        <v>98</v>
      </c>
      <c r="G79" s="263" t="s">
        <v>310</v>
      </c>
      <c r="H79" s="243" t="s">
        <v>50</v>
      </c>
      <c r="I79" s="241"/>
      <c r="J79" s="241"/>
      <c r="K79" s="247" t="s">
        <v>38</v>
      </c>
      <c r="L79" s="241" t="s">
        <v>39</v>
      </c>
      <c r="M79" s="241"/>
      <c r="N79" s="240" t="s">
        <v>311</v>
      </c>
      <c r="O79" s="246">
        <v>10076</v>
      </c>
      <c r="P79" s="241" t="s">
        <v>109</v>
      </c>
      <c r="Q79" s="240" t="s">
        <v>312</v>
      </c>
      <c r="R79" s="240"/>
      <c r="S79" s="240"/>
      <c r="T79" s="240"/>
      <c r="U79" s="240"/>
      <c r="V79" s="242"/>
      <c r="W79" s="332" t="s">
        <v>43</v>
      </c>
      <c r="X79" s="332" t="s">
        <v>43</v>
      </c>
      <c r="Y79" s="336" t="s">
        <v>44</v>
      </c>
      <c r="Z79" s="337" t="s">
        <v>45</v>
      </c>
      <c r="AA79" s="336" t="str">
        <f>_xlfn.XLOOKUP($A79,'2026 Approved Budget'!$B:$B,'2026 Approved Budget'!C:C)</f>
        <v>220 Clinical Data Science</v>
      </c>
      <c r="AB79" s="332" t="s">
        <v>46</v>
      </c>
      <c r="AC79" s="336" t="str">
        <f>_xlfn.XLOOKUP($A79,'2026 Approved Budget'!$B:$B,'2026 Approved Budget'!D:D)</f>
        <v>Jessie Yan</v>
      </c>
      <c r="AD79" s="336" t="str">
        <f>_xlfn.XLOOKUP($A79,'2026 Approved Budget'!$B:$B,'2026 Approved Budget'!E:E)</f>
        <v>05. Director</v>
      </c>
      <c r="AE79" s="336" t="str">
        <f>_xlfn.XLOOKUP($A79,'2026 Approved Budget'!$B:$B,'2026 Approved Budget'!F:F)</f>
        <v>Director, Statistical Programming</v>
      </c>
      <c r="AF79" s="338">
        <f>_xlfn.XLOOKUP($A79,'2026 Approved Budget'!$B:$B,'2026 Approved Budget'!H:H)</f>
        <v>45551</v>
      </c>
      <c r="AG79" s="261"/>
    </row>
    <row r="80" spans="1:33" ht="30" hidden="1" customHeight="1" x14ac:dyDescent="0.2">
      <c r="A80" s="239">
        <v>1010</v>
      </c>
      <c r="B80" s="240" t="s">
        <v>77</v>
      </c>
      <c r="C80" s="240" t="s">
        <v>303</v>
      </c>
      <c r="D80" s="245" t="s">
        <v>307</v>
      </c>
      <c r="E80" s="241" t="s">
        <v>34</v>
      </c>
      <c r="F80" s="241" t="s">
        <v>98</v>
      </c>
      <c r="G80" s="242" t="s">
        <v>313</v>
      </c>
      <c r="H80" s="243" t="s">
        <v>37</v>
      </c>
      <c r="I80" s="241"/>
      <c r="J80" s="241"/>
      <c r="K80" s="247" t="s">
        <v>107</v>
      </c>
      <c r="L80" s="246" t="s">
        <v>39</v>
      </c>
      <c r="M80" s="246"/>
      <c r="N80" s="245" t="s">
        <v>314</v>
      </c>
      <c r="O80" s="246">
        <v>10116</v>
      </c>
      <c r="P80" s="241" t="s">
        <v>159</v>
      </c>
      <c r="Q80" s="240" t="s">
        <v>315</v>
      </c>
      <c r="R80" s="240"/>
      <c r="S80" s="245" t="s">
        <v>316</v>
      </c>
      <c r="T80" s="245" t="s">
        <v>111</v>
      </c>
      <c r="U80" s="240"/>
      <c r="V80" s="242"/>
      <c r="W80" s="332" t="s">
        <v>43</v>
      </c>
      <c r="X80" s="332" t="s">
        <v>43</v>
      </c>
      <c r="Y80" s="336" t="s">
        <v>44</v>
      </c>
      <c r="Z80" s="337" t="s">
        <v>45</v>
      </c>
      <c r="AA80" s="336" t="str">
        <f>_xlfn.XLOOKUP($A80,'2026 Approved Budget'!$B:$B,'2026 Approved Budget'!C:C)</f>
        <v>220 Clinical Data Science</v>
      </c>
      <c r="AB80" s="332" t="s">
        <v>46</v>
      </c>
      <c r="AC80" s="336" t="str">
        <f>_xlfn.XLOOKUP($A80,'2026 Approved Budget'!$B:$B,'2026 Approved Budget'!D:D)</f>
        <v>Peiwen Wu</v>
      </c>
      <c r="AD80" s="336" t="str">
        <f>_xlfn.XLOOKUP($A80,'2026 Approved Budget'!$B:$B,'2026 Approved Budget'!E:E)</f>
        <v>05. Director</v>
      </c>
      <c r="AE80" s="336" t="str">
        <f>_xlfn.XLOOKUP($A80,'2026 Approved Budget'!$B:$B,'2026 Approved Budget'!F:F)</f>
        <v>Director, Biostatistician ATA</v>
      </c>
      <c r="AF80" s="338">
        <f>_xlfn.XLOOKUP($A80,'2026 Approved Budget'!$B:$B,'2026 Approved Budget'!H:H)</f>
        <v>45642</v>
      </c>
      <c r="AG80" s="254"/>
    </row>
    <row r="81" spans="1:33" ht="16" hidden="1" x14ac:dyDescent="0.2">
      <c r="A81" s="239">
        <v>1011</v>
      </c>
      <c r="B81" s="240" t="s">
        <v>77</v>
      </c>
      <c r="C81" s="240" t="s">
        <v>303</v>
      </c>
      <c r="D81" s="245" t="s">
        <v>307</v>
      </c>
      <c r="E81" s="241" t="s">
        <v>34</v>
      </c>
      <c r="F81" s="241" t="s">
        <v>98</v>
      </c>
      <c r="G81" s="242" t="s">
        <v>317</v>
      </c>
      <c r="H81" s="243" t="s">
        <v>50</v>
      </c>
      <c r="I81" s="241"/>
      <c r="J81" s="241"/>
      <c r="K81" s="247" t="s">
        <v>114</v>
      </c>
      <c r="L81" s="241" t="s">
        <v>39</v>
      </c>
      <c r="M81" s="241"/>
      <c r="N81" s="240" t="s">
        <v>318</v>
      </c>
      <c r="O81" s="246">
        <v>10224</v>
      </c>
      <c r="P81" s="241" t="s">
        <v>128</v>
      </c>
      <c r="Q81" s="240" t="s">
        <v>319</v>
      </c>
      <c r="R81" s="240"/>
      <c r="S81" s="240"/>
      <c r="T81" s="240" t="s">
        <v>111</v>
      </c>
      <c r="U81" s="240"/>
      <c r="V81" s="242"/>
      <c r="W81" s="332" t="s">
        <v>43</v>
      </c>
      <c r="X81" s="103" t="s">
        <v>43</v>
      </c>
      <c r="Y81" s="336" t="s">
        <v>44</v>
      </c>
      <c r="Z81" s="337" t="s">
        <v>45</v>
      </c>
      <c r="AA81" s="336" t="str">
        <f>_xlfn.XLOOKUP($A81,'2026 Approved Budget'!$B:$B,'2026 Approved Budget'!C:C)</f>
        <v>220 Clinical Data Science</v>
      </c>
      <c r="AB81" s="332" t="s">
        <v>46</v>
      </c>
      <c r="AC81" s="336" t="str">
        <f>_xlfn.XLOOKUP($A81,'2026 Approved Budget'!$B:$B,'2026 Approved Budget'!D:D)</f>
        <v>Angela Gao</v>
      </c>
      <c r="AD81" s="336" t="str">
        <f>_xlfn.XLOOKUP($A81,'2026 Approved Budget'!$B:$B,'2026 Approved Budget'!E:E)</f>
        <v>05. Director</v>
      </c>
      <c r="AE81" s="336" t="str">
        <f>_xlfn.XLOOKUP($A81,'2026 Approved Budget'!$B:$B,'2026 Approved Budget'!F:F)</f>
        <v xml:space="preserve">Director, Biostatistician Dani </v>
      </c>
      <c r="AF81" s="338">
        <f>_xlfn.XLOOKUP($A81,'2026 Approved Budget'!$B:$B,'2026 Approved Budget'!H:H)</f>
        <v>45804</v>
      </c>
      <c r="AG81" s="261"/>
    </row>
    <row r="82" spans="1:33" ht="30" hidden="1" customHeight="1" x14ac:dyDescent="0.2">
      <c r="A82" s="239">
        <v>1022</v>
      </c>
      <c r="B82" s="240" t="s">
        <v>77</v>
      </c>
      <c r="C82" s="240" t="s">
        <v>303</v>
      </c>
      <c r="D82" s="245" t="s">
        <v>325</v>
      </c>
      <c r="E82" s="241" t="s">
        <v>34</v>
      </c>
      <c r="F82" s="243" t="s">
        <v>138</v>
      </c>
      <c r="G82" s="242" t="s">
        <v>342</v>
      </c>
      <c r="H82" s="243" t="s">
        <v>50</v>
      </c>
      <c r="I82" s="241"/>
      <c r="J82" s="241"/>
      <c r="K82" s="247" t="s">
        <v>114</v>
      </c>
      <c r="L82" s="241" t="s">
        <v>39</v>
      </c>
      <c r="M82" s="241"/>
      <c r="N82" s="240" t="s">
        <v>343</v>
      </c>
      <c r="O82" s="246">
        <v>10217</v>
      </c>
      <c r="P82" s="241" t="s">
        <v>132</v>
      </c>
      <c r="Q82" s="240" t="s">
        <v>344</v>
      </c>
      <c r="R82" s="240"/>
      <c r="S82" s="240"/>
      <c r="T82" s="240"/>
      <c r="U82" s="240"/>
      <c r="V82" s="242"/>
      <c r="W82" s="332" t="s">
        <v>43</v>
      </c>
      <c r="X82" s="103" t="s">
        <v>43</v>
      </c>
      <c r="Y82" s="336" t="s">
        <v>44</v>
      </c>
      <c r="Z82" s="337" t="s">
        <v>45</v>
      </c>
      <c r="AA82" s="336" t="str">
        <f>_xlfn.XLOOKUP($A82,'2026 Approved Budget'!$B:$B,'2026 Approved Budget'!C:C)</f>
        <v>220 Clinical Data Science</v>
      </c>
      <c r="AB82" s="332" t="s">
        <v>46</v>
      </c>
      <c r="AC82" s="336" t="str">
        <f>_xlfn.XLOOKUP($A82,'2026 Approved Budget'!$B:$B,'2026 Approved Budget'!D:D)</f>
        <v>Sri Byrapuneni</v>
      </c>
      <c r="AD82" s="336" t="str">
        <f>_xlfn.XLOOKUP($A82,'2026 Approved Budget'!$B:$B,'2026 Approved Budget'!E:E)</f>
        <v>04. AD / Staff Scientist</v>
      </c>
      <c r="AE82" s="336" t="str">
        <f>_xlfn.XLOOKUP($A82,'2026 Approved Budget'!$B:$B,'2026 Approved Budget'!F:F)</f>
        <v>Associate Director, Statistical Programming ATA</v>
      </c>
      <c r="AF82" s="338">
        <f>_xlfn.XLOOKUP($A82,'2026 Approved Budget'!$B:$B,'2026 Approved Budget'!H:H)</f>
        <v>45789</v>
      </c>
      <c r="AG82" s="254"/>
    </row>
    <row r="83" spans="1:33" ht="15" hidden="1" customHeight="1" x14ac:dyDescent="0.2">
      <c r="A83" s="239">
        <v>1331</v>
      </c>
      <c r="B83" s="240" t="s">
        <v>77</v>
      </c>
      <c r="C83" s="240" t="s">
        <v>303</v>
      </c>
      <c r="D83" s="245" t="s">
        <v>307</v>
      </c>
      <c r="E83" s="241" t="s">
        <v>34</v>
      </c>
      <c r="F83" s="243" t="s">
        <v>117</v>
      </c>
      <c r="G83" s="242" t="s">
        <v>345</v>
      </c>
      <c r="H83" s="243" t="s">
        <v>37</v>
      </c>
      <c r="I83" s="241"/>
      <c r="J83" s="241"/>
      <c r="K83" s="247" t="s">
        <v>130</v>
      </c>
      <c r="L83" s="241" t="s">
        <v>39</v>
      </c>
      <c r="M83" s="241"/>
      <c r="N83" s="240" t="s">
        <v>346</v>
      </c>
      <c r="O83" s="246">
        <v>10156</v>
      </c>
      <c r="P83" s="241" t="s">
        <v>132</v>
      </c>
      <c r="Q83" s="240" t="s">
        <v>347</v>
      </c>
      <c r="R83" s="240"/>
      <c r="S83" s="240"/>
      <c r="T83" s="245"/>
      <c r="U83" s="245"/>
      <c r="V83" s="242"/>
      <c r="W83" s="332" t="s">
        <v>43</v>
      </c>
      <c r="X83" s="332" t="s">
        <v>43</v>
      </c>
      <c r="Y83" s="336" t="s">
        <v>44</v>
      </c>
      <c r="Z83" s="337" t="s">
        <v>45</v>
      </c>
      <c r="AA83" s="336" t="str">
        <f>_xlfn.XLOOKUP($A83,'2026 Approved Budget'!$B:$B,'2026 Approved Budget'!C:C)</f>
        <v>220 Clinical Data Science</v>
      </c>
      <c r="AB83" s="332" t="s">
        <v>46</v>
      </c>
      <c r="AC83" s="336" t="str">
        <f>_xlfn.XLOOKUP($A83,'2026 Approved Budget'!$B:$B,'2026 Approved Budget'!D:D)</f>
        <v>Gene Chen</v>
      </c>
      <c r="AD83" s="336" t="str">
        <f>_xlfn.XLOOKUP($A83,'2026 Approved Budget'!$B:$B,'2026 Approved Budget'!E:E)</f>
        <v>03. Sr. Manager / Sr. Scientist</v>
      </c>
      <c r="AE83" s="336" t="str">
        <f>_xlfn.XLOOKUP($A83,'2026 Approved Budget'!$B:$B,'2026 Approved Budget'!F:F)</f>
        <v>Sr Manager, Data Science</v>
      </c>
      <c r="AF83" s="338">
        <f>_xlfn.XLOOKUP($A83,'2026 Approved Budget'!$B:$B,'2026 Approved Budget'!H:H)</f>
        <v>45719</v>
      </c>
      <c r="AG83" s="254"/>
    </row>
    <row r="84" spans="1:33" s="73" customFormat="1" ht="15" hidden="1" customHeight="1" x14ac:dyDescent="0.2">
      <c r="A84" s="239">
        <v>1024</v>
      </c>
      <c r="B84" s="240" t="s">
        <v>77</v>
      </c>
      <c r="C84" s="240" t="s">
        <v>303</v>
      </c>
      <c r="D84" s="245" t="s">
        <v>325</v>
      </c>
      <c r="E84" s="241" t="s">
        <v>34</v>
      </c>
      <c r="F84" s="243" t="s">
        <v>117</v>
      </c>
      <c r="G84" s="242" t="s">
        <v>348</v>
      </c>
      <c r="H84" s="243" t="s">
        <v>50</v>
      </c>
      <c r="I84" s="241"/>
      <c r="J84" s="241"/>
      <c r="K84" s="247" t="s">
        <v>51</v>
      </c>
      <c r="L84" s="241" t="s">
        <v>39</v>
      </c>
      <c r="M84" s="246" t="s">
        <v>52</v>
      </c>
      <c r="N84" s="240" t="s">
        <v>349</v>
      </c>
      <c r="O84" s="246">
        <v>10231</v>
      </c>
      <c r="P84" s="241" t="s">
        <v>159</v>
      </c>
      <c r="Q84" s="240" t="s">
        <v>350</v>
      </c>
      <c r="R84" s="240"/>
      <c r="S84" s="240"/>
      <c r="T84" s="240"/>
      <c r="U84" s="240"/>
      <c r="V84" s="242"/>
      <c r="W84" s="332" t="s">
        <v>43</v>
      </c>
      <c r="X84" s="332" t="s">
        <v>43</v>
      </c>
      <c r="Y84" s="336" t="s">
        <v>44</v>
      </c>
      <c r="Z84" s="337" t="s">
        <v>45</v>
      </c>
      <c r="AA84" s="336" t="str">
        <f>_xlfn.XLOOKUP($A84,'2026 Approved Budget'!$B:$B,'2026 Approved Budget'!C:C)</f>
        <v>220 Clinical Data Science</v>
      </c>
      <c r="AB84" s="332" t="s">
        <v>46</v>
      </c>
      <c r="AC84" s="336" t="str">
        <f>_xlfn.XLOOKUP($A84,'2026 Approved Budget'!$B:$B,'2026 Approved Budget'!D:D)</f>
        <v>George Wu</v>
      </c>
      <c r="AD84" s="336" t="str">
        <f>_xlfn.XLOOKUP($A84,'2026 Approved Budget'!$B:$B,'2026 Approved Budget'!E:E)</f>
        <v>03. Sr. Manager / Sr. Scientist</v>
      </c>
      <c r="AE84" s="336" t="str">
        <f>_xlfn.XLOOKUP($A84,'2026 Approved Budget'!$B:$B,'2026 Approved Budget'!F:F)</f>
        <v>Senior Manager, Statistical Programming TLA</v>
      </c>
      <c r="AF84" s="338">
        <f>_xlfn.XLOOKUP($A84,'2026 Approved Budget'!$B:$B,'2026 Approved Budget'!H:H)</f>
        <v>45852</v>
      </c>
      <c r="AG84" s="254"/>
    </row>
    <row r="85" spans="1:33" ht="30" hidden="1" customHeight="1" x14ac:dyDescent="0.2">
      <c r="A85" s="264">
        <v>1007</v>
      </c>
      <c r="B85" s="248" t="s">
        <v>77</v>
      </c>
      <c r="C85" s="248" t="s">
        <v>303</v>
      </c>
      <c r="D85" s="249" t="s">
        <v>307</v>
      </c>
      <c r="E85" s="250" t="s">
        <v>180</v>
      </c>
      <c r="F85" s="250" t="s">
        <v>320</v>
      </c>
      <c r="G85" s="252" t="s">
        <v>321</v>
      </c>
      <c r="H85" s="251" t="s">
        <v>146</v>
      </c>
      <c r="I85" s="250"/>
      <c r="J85" s="250"/>
      <c r="K85" s="253" t="s">
        <v>38</v>
      </c>
      <c r="L85" s="239" t="s">
        <v>182</v>
      </c>
      <c r="M85" s="239"/>
      <c r="N85" s="248" t="s">
        <v>322</v>
      </c>
      <c r="O85" s="264"/>
      <c r="P85" s="250" t="s">
        <v>128</v>
      </c>
      <c r="Q85" s="248" t="s">
        <v>323</v>
      </c>
      <c r="R85" s="248"/>
      <c r="S85" s="248"/>
      <c r="T85" s="248"/>
      <c r="U85" s="261" t="s">
        <v>324</v>
      </c>
      <c r="V85" s="252"/>
      <c r="W85" s="335" t="s">
        <v>184</v>
      </c>
      <c r="X85" s="335" t="s">
        <v>184</v>
      </c>
      <c r="Y85" s="335" t="s">
        <v>185</v>
      </c>
      <c r="Z85" s="335"/>
      <c r="AA85" s="336" t="e">
        <f>_xlfn.XLOOKUP($A85,'2026 Approved Budget'!$B:$B,'2026 Approved Budget'!C:C)</f>
        <v>#N/A</v>
      </c>
      <c r="AB85" s="332" t="s">
        <v>185</v>
      </c>
      <c r="AC85" s="336" t="e">
        <f>_xlfn.XLOOKUP($A85,'2026 Approved Budget'!$B:$B,'2026 Approved Budget'!D:D)</f>
        <v>#N/A</v>
      </c>
      <c r="AD85" s="336" t="e">
        <f>_xlfn.XLOOKUP($A85,'2026 Approved Budget'!$B:$B,'2026 Approved Budget'!E:E)</f>
        <v>#N/A</v>
      </c>
      <c r="AE85" s="336" t="e">
        <f>_xlfn.XLOOKUP($A85,'2026 Approved Budget'!$B:$B,'2026 Approved Budget'!F:F)</f>
        <v>#N/A</v>
      </c>
      <c r="AF85" s="338" t="e">
        <f>_xlfn.XLOOKUP($A85,'2026 Approved Budget'!$B:$B,'2026 Approved Budget'!H:H)</f>
        <v>#N/A</v>
      </c>
      <c r="AG85" s="254"/>
    </row>
    <row r="86" spans="1:33" ht="60" hidden="1" customHeight="1" x14ac:dyDescent="0.2">
      <c r="A86" s="264">
        <v>1017</v>
      </c>
      <c r="B86" s="248" t="s">
        <v>77</v>
      </c>
      <c r="C86" s="248" t="s">
        <v>303</v>
      </c>
      <c r="D86" s="249" t="s">
        <v>325</v>
      </c>
      <c r="E86" s="250" t="s">
        <v>180</v>
      </c>
      <c r="F86" s="251" t="s">
        <v>320</v>
      </c>
      <c r="G86" s="252" t="s">
        <v>326</v>
      </c>
      <c r="H86" s="251" t="s">
        <v>146</v>
      </c>
      <c r="I86" s="250"/>
      <c r="J86" s="250"/>
      <c r="K86" s="253" t="s">
        <v>38</v>
      </c>
      <c r="L86" s="239" t="s">
        <v>182</v>
      </c>
      <c r="M86" s="239"/>
      <c r="N86" s="265" t="s">
        <v>327</v>
      </c>
      <c r="O86" s="264"/>
      <c r="P86" s="250" t="s">
        <v>132</v>
      </c>
      <c r="Q86" s="248" t="s">
        <v>328</v>
      </c>
      <c r="R86" s="248"/>
      <c r="S86" s="248"/>
      <c r="T86" s="248"/>
      <c r="U86" s="248"/>
      <c r="V86" s="252"/>
      <c r="W86" s="335" t="s">
        <v>184</v>
      </c>
      <c r="X86" s="335" t="s">
        <v>184</v>
      </c>
      <c r="Y86" s="335" t="s">
        <v>185</v>
      </c>
      <c r="Z86" s="335"/>
      <c r="AA86" s="336" t="e">
        <f>_xlfn.XLOOKUP($A86,'2026 Approved Budget'!$B:$B,'2026 Approved Budget'!C:C)</f>
        <v>#N/A</v>
      </c>
      <c r="AB86" s="332" t="s">
        <v>185</v>
      </c>
      <c r="AC86" s="336" t="e">
        <f>_xlfn.XLOOKUP($A86,'2026 Approved Budget'!$B:$B,'2026 Approved Budget'!D:D)</f>
        <v>#N/A</v>
      </c>
      <c r="AD86" s="336" t="e">
        <f>_xlfn.XLOOKUP($A86,'2026 Approved Budget'!$B:$B,'2026 Approved Budget'!E:E)</f>
        <v>#N/A</v>
      </c>
      <c r="AE86" s="336" t="e">
        <f>_xlfn.XLOOKUP($A86,'2026 Approved Budget'!$B:$B,'2026 Approved Budget'!F:F)</f>
        <v>#N/A</v>
      </c>
      <c r="AF86" s="338" t="e">
        <f>_xlfn.XLOOKUP($A86,'2026 Approved Budget'!$B:$B,'2026 Approved Budget'!H:H)</f>
        <v>#N/A</v>
      </c>
      <c r="AG86" s="254"/>
    </row>
    <row r="87" spans="1:33" ht="15" hidden="1" customHeight="1" x14ac:dyDescent="0.2">
      <c r="A87" s="264">
        <v>1025</v>
      </c>
      <c r="B87" s="248" t="s">
        <v>77</v>
      </c>
      <c r="C87" s="248" t="s">
        <v>303</v>
      </c>
      <c r="D87" s="249" t="s">
        <v>325</v>
      </c>
      <c r="E87" s="250" t="s">
        <v>180</v>
      </c>
      <c r="F87" s="251" t="s">
        <v>320</v>
      </c>
      <c r="G87" s="252" t="s">
        <v>329</v>
      </c>
      <c r="H87" s="251" t="s">
        <v>146</v>
      </c>
      <c r="I87" s="250"/>
      <c r="J87" s="250"/>
      <c r="K87" s="253" t="s">
        <v>114</v>
      </c>
      <c r="L87" s="239" t="s">
        <v>182</v>
      </c>
      <c r="M87" s="239"/>
      <c r="N87" s="248" t="s">
        <v>330</v>
      </c>
      <c r="O87" s="264"/>
      <c r="P87" s="250" t="s">
        <v>109</v>
      </c>
      <c r="Q87" s="248" t="s">
        <v>331</v>
      </c>
      <c r="R87" s="248"/>
      <c r="S87" s="248"/>
      <c r="T87" s="248"/>
      <c r="U87" s="248"/>
      <c r="V87" s="252"/>
      <c r="W87" s="335" t="s">
        <v>184</v>
      </c>
      <c r="X87" s="335" t="s">
        <v>184</v>
      </c>
      <c r="Y87" s="335" t="s">
        <v>185</v>
      </c>
      <c r="Z87" s="335"/>
      <c r="AA87" s="336" t="e">
        <f>_xlfn.XLOOKUP($A87,'2026 Approved Budget'!$B:$B,'2026 Approved Budget'!C:C)</f>
        <v>#N/A</v>
      </c>
      <c r="AB87" s="332" t="s">
        <v>185</v>
      </c>
      <c r="AC87" s="336" t="e">
        <f>_xlfn.XLOOKUP($A87,'2026 Approved Budget'!$B:$B,'2026 Approved Budget'!D:D)</f>
        <v>#N/A</v>
      </c>
      <c r="AD87" s="336" t="e">
        <f>_xlfn.XLOOKUP($A87,'2026 Approved Budget'!$B:$B,'2026 Approved Budget'!E:E)</f>
        <v>#N/A</v>
      </c>
      <c r="AE87" s="336" t="e">
        <f>_xlfn.XLOOKUP($A87,'2026 Approved Budget'!$B:$B,'2026 Approved Budget'!F:F)</f>
        <v>#N/A</v>
      </c>
      <c r="AF87" s="338" t="e">
        <f>_xlfn.XLOOKUP($A87,'2026 Approved Budget'!$B:$B,'2026 Approved Budget'!H:H)</f>
        <v>#N/A</v>
      </c>
      <c r="AG87" s="254"/>
    </row>
    <row r="88" spans="1:33" ht="30" hidden="1" customHeight="1" x14ac:dyDescent="0.2">
      <c r="A88" s="264">
        <v>1009</v>
      </c>
      <c r="B88" s="248" t="s">
        <v>77</v>
      </c>
      <c r="C88" s="248" t="s">
        <v>303</v>
      </c>
      <c r="D88" s="249" t="s">
        <v>307</v>
      </c>
      <c r="E88" s="250" t="s">
        <v>180</v>
      </c>
      <c r="F88" s="250" t="s">
        <v>320</v>
      </c>
      <c r="G88" s="252" t="s">
        <v>332</v>
      </c>
      <c r="H88" s="251" t="s">
        <v>146</v>
      </c>
      <c r="I88" s="250"/>
      <c r="J88" s="250"/>
      <c r="K88" s="253" t="s">
        <v>124</v>
      </c>
      <c r="L88" s="250" t="s">
        <v>182</v>
      </c>
      <c r="M88" s="239" t="s">
        <v>52</v>
      </c>
      <c r="N88" s="249" t="s">
        <v>333</v>
      </c>
      <c r="O88" s="264"/>
      <c r="P88" s="250" t="s">
        <v>132</v>
      </c>
      <c r="Q88" s="248" t="s">
        <v>334</v>
      </c>
      <c r="R88" s="248"/>
      <c r="S88" s="249" t="s">
        <v>335</v>
      </c>
      <c r="T88" s="249"/>
      <c r="U88" s="261" t="s">
        <v>324</v>
      </c>
      <c r="V88" s="252"/>
      <c r="W88" s="335" t="s">
        <v>184</v>
      </c>
      <c r="X88" s="335" t="s">
        <v>184</v>
      </c>
      <c r="Y88" s="335" t="s">
        <v>185</v>
      </c>
      <c r="Z88" s="335"/>
      <c r="AA88" s="336" t="e">
        <f>_xlfn.XLOOKUP($A88,'2026 Approved Budget'!$B:$B,'2026 Approved Budget'!C:C)</f>
        <v>#N/A</v>
      </c>
      <c r="AB88" s="332" t="s">
        <v>185</v>
      </c>
      <c r="AC88" s="336" t="e">
        <f>_xlfn.XLOOKUP($A88,'2026 Approved Budget'!$B:$B,'2026 Approved Budget'!D:D)</f>
        <v>#N/A</v>
      </c>
      <c r="AD88" s="336" t="e">
        <f>_xlfn.XLOOKUP($A88,'2026 Approved Budget'!$B:$B,'2026 Approved Budget'!E:E)</f>
        <v>#N/A</v>
      </c>
      <c r="AE88" s="336" t="e">
        <f>_xlfn.XLOOKUP($A88,'2026 Approved Budget'!$B:$B,'2026 Approved Budget'!F:F)</f>
        <v>#N/A</v>
      </c>
      <c r="AF88" s="338" t="e">
        <f>_xlfn.XLOOKUP($A88,'2026 Approved Budget'!$B:$B,'2026 Approved Budget'!H:H)</f>
        <v>#N/A</v>
      </c>
      <c r="AG88" s="275"/>
    </row>
    <row r="89" spans="1:33" ht="15" hidden="1" customHeight="1" x14ac:dyDescent="0.2">
      <c r="A89" s="264">
        <v>5004</v>
      </c>
      <c r="B89" s="248" t="s">
        <v>77</v>
      </c>
      <c r="C89" s="248" t="s">
        <v>303</v>
      </c>
      <c r="D89" s="249" t="s">
        <v>307</v>
      </c>
      <c r="E89" s="250" t="s">
        <v>180</v>
      </c>
      <c r="F89" s="250" t="s">
        <v>320</v>
      </c>
      <c r="G89" s="252" t="s">
        <v>336</v>
      </c>
      <c r="H89" s="251" t="s">
        <v>146</v>
      </c>
      <c r="I89" s="250"/>
      <c r="J89" s="250"/>
      <c r="K89" s="253" t="s">
        <v>124</v>
      </c>
      <c r="L89" s="250" t="s">
        <v>182</v>
      </c>
      <c r="M89" s="239" t="s">
        <v>52</v>
      </c>
      <c r="N89" s="248" t="s">
        <v>337</v>
      </c>
      <c r="O89" s="264"/>
      <c r="P89" s="239" t="s">
        <v>41</v>
      </c>
      <c r="Q89" s="248" t="s">
        <v>338</v>
      </c>
      <c r="R89" s="248"/>
      <c r="S89" s="249"/>
      <c r="T89" s="249"/>
      <c r="U89" s="292" t="s">
        <v>120</v>
      </c>
      <c r="V89" s="252"/>
      <c r="W89" s="335" t="s">
        <v>184</v>
      </c>
      <c r="X89" s="335" t="s">
        <v>184</v>
      </c>
      <c r="Y89" s="335" t="s">
        <v>185</v>
      </c>
      <c r="Z89" s="335"/>
      <c r="AA89" s="336" t="e">
        <f>_xlfn.XLOOKUP($A89,'2026 Approved Budget'!$B:$B,'2026 Approved Budget'!C:C)</f>
        <v>#N/A</v>
      </c>
      <c r="AB89" s="332" t="s">
        <v>185</v>
      </c>
      <c r="AC89" s="336" t="e">
        <f>_xlfn.XLOOKUP($A89,'2026 Approved Budget'!$B:$B,'2026 Approved Budget'!D:D)</f>
        <v>#N/A</v>
      </c>
      <c r="AD89" s="336" t="e">
        <f>_xlfn.XLOOKUP($A89,'2026 Approved Budget'!$B:$B,'2026 Approved Budget'!E:E)</f>
        <v>#N/A</v>
      </c>
      <c r="AE89" s="336" t="e">
        <f>_xlfn.XLOOKUP($A89,'2026 Approved Budget'!$B:$B,'2026 Approved Budget'!F:F)</f>
        <v>#N/A</v>
      </c>
      <c r="AF89" s="338" t="e">
        <f>_xlfn.XLOOKUP($A89,'2026 Approved Budget'!$B:$B,'2026 Approved Budget'!H:H)</f>
        <v>#N/A</v>
      </c>
      <c r="AG89" s="275"/>
    </row>
    <row r="90" spans="1:33" ht="15" hidden="1" customHeight="1" x14ac:dyDescent="0.2">
      <c r="A90" s="264">
        <v>1330</v>
      </c>
      <c r="B90" s="248" t="s">
        <v>77</v>
      </c>
      <c r="C90" s="248" t="s">
        <v>303</v>
      </c>
      <c r="D90" s="248" t="s">
        <v>307</v>
      </c>
      <c r="E90" s="250" t="s">
        <v>180</v>
      </c>
      <c r="F90" s="251" t="s">
        <v>138</v>
      </c>
      <c r="G90" s="252" t="s">
        <v>339</v>
      </c>
      <c r="H90" s="251" t="s">
        <v>146</v>
      </c>
      <c r="I90" s="250"/>
      <c r="J90" s="250"/>
      <c r="K90" s="253" t="s">
        <v>51</v>
      </c>
      <c r="L90" s="250" t="s">
        <v>182</v>
      </c>
      <c r="M90" s="239" t="s">
        <v>52</v>
      </c>
      <c r="N90" s="248" t="s">
        <v>340</v>
      </c>
      <c r="O90" s="264"/>
      <c r="P90" s="250" t="s">
        <v>132</v>
      </c>
      <c r="Q90" s="248" t="s">
        <v>341</v>
      </c>
      <c r="R90" s="248"/>
      <c r="S90" s="248"/>
      <c r="T90" s="248"/>
      <c r="U90" s="248"/>
      <c r="V90" s="252"/>
      <c r="W90" s="335" t="s">
        <v>184</v>
      </c>
      <c r="X90" s="335" t="s">
        <v>184</v>
      </c>
      <c r="Y90" s="335" t="s">
        <v>185</v>
      </c>
      <c r="Z90" s="335"/>
      <c r="AA90" s="336" t="e">
        <f>_xlfn.XLOOKUP($A90,'2026 Approved Budget'!$B:$B,'2026 Approved Budget'!C:C)</f>
        <v>#N/A</v>
      </c>
      <c r="AB90" s="332" t="s">
        <v>185</v>
      </c>
      <c r="AC90" s="336" t="e">
        <f>_xlfn.XLOOKUP($A90,'2026 Approved Budget'!$B:$B,'2026 Approved Budget'!D:D)</f>
        <v>#N/A</v>
      </c>
      <c r="AD90" s="336" t="e">
        <f>_xlfn.XLOOKUP($A90,'2026 Approved Budget'!$B:$B,'2026 Approved Budget'!E:E)</f>
        <v>#N/A</v>
      </c>
      <c r="AE90" s="336" t="e">
        <f>_xlfn.XLOOKUP($A90,'2026 Approved Budget'!$B:$B,'2026 Approved Budget'!F:F)</f>
        <v>#N/A</v>
      </c>
      <c r="AF90" s="338" t="e">
        <f>_xlfn.XLOOKUP($A90,'2026 Approved Budget'!$B:$B,'2026 Approved Budget'!H:H)</f>
        <v>#N/A</v>
      </c>
      <c r="AG90" s="275"/>
    </row>
    <row r="91" spans="1:33" ht="60" customHeight="1" x14ac:dyDescent="0.2">
      <c r="A91" s="239">
        <v>5052</v>
      </c>
      <c r="B91" s="248" t="s">
        <v>77</v>
      </c>
      <c r="C91" s="248" t="s">
        <v>122</v>
      </c>
      <c r="D91" s="249" t="s">
        <v>156</v>
      </c>
      <c r="E91" s="250" t="s">
        <v>34</v>
      </c>
      <c r="F91" s="250" t="s">
        <v>138</v>
      </c>
      <c r="G91" s="252" t="s">
        <v>241</v>
      </c>
      <c r="H91" s="251" t="s">
        <v>37</v>
      </c>
      <c r="I91" s="250">
        <v>27</v>
      </c>
      <c r="J91" s="250"/>
      <c r="K91" s="250" t="s">
        <v>242</v>
      </c>
      <c r="L91" s="250"/>
      <c r="M91" s="250"/>
      <c r="N91" s="249"/>
      <c r="O91" s="239"/>
      <c r="P91" s="250" t="s">
        <v>159</v>
      </c>
      <c r="Q91" s="248"/>
      <c r="R91" s="248"/>
      <c r="S91" s="249"/>
      <c r="T91" s="250" t="s">
        <v>243</v>
      </c>
      <c r="U91" s="261" t="s">
        <v>120</v>
      </c>
      <c r="V91" s="302" t="s">
        <v>102</v>
      </c>
      <c r="W91" s="103" t="s">
        <v>75</v>
      </c>
      <c r="X91" s="332" t="s">
        <v>76</v>
      </c>
      <c r="Y91" s="103" t="s">
        <v>69</v>
      </c>
      <c r="Z91" s="337" t="s">
        <v>45</v>
      </c>
      <c r="AA91" s="336" t="str">
        <f>_xlfn.XLOOKUP($A91,'2026 Approved Budget'!$B:$B,'2026 Approved Budget'!C:C)</f>
        <v>210 Clinical Operations</v>
      </c>
      <c r="AB91" s="332" t="s">
        <v>88</v>
      </c>
      <c r="AC91" s="336" t="str">
        <f>_xlfn.XLOOKUP($A91,'2026 Approved Budget'!$B:$B,'2026 Approved Budget'!D:D)</f>
        <v>TBD</v>
      </c>
      <c r="AD91" s="336" t="str">
        <f>_xlfn.XLOOKUP($A91,'2026 Approved Budget'!$B:$B,'2026 Approved Budget'!E:E)</f>
        <v>02. Manager / Scientist</v>
      </c>
      <c r="AE91" s="336" t="str">
        <f>_xlfn.XLOOKUP($A91,'2026 Approved Budget'!$B:$B,'2026 Approved Budget'!F:F)</f>
        <v>Clinical Operations</v>
      </c>
      <c r="AF91" s="338">
        <f>_xlfn.XLOOKUP($A91,'2026 Approved Budget'!$B:$B,'2026 Approved Budget'!H:H)</f>
        <v>46188</v>
      </c>
      <c r="AG91" s="254"/>
    </row>
    <row r="92" spans="1:33" ht="15" customHeight="1" x14ac:dyDescent="0.2">
      <c r="A92" s="239">
        <v>5123</v>
      </c>
      <c r="B92" s="248" t="s">
        <v>77</v>
      </c>
      <c r="C92" s="248" t="s">
        <v>405</v>
      </c>
      <c r="D92" s="249" t="s">
        <v>409</v>
      </c>
      <c r="E92" s="250" t="s">
        <v>34</v>
      </c>
      <c r="F92" s="250" t="s">
        <v>98</v>
      </c>
      <c r="G92" s="252" t="s">
        <v>413</v>
      </c>
      <c r="H92" s="251" t="s">
        <v>50</v>
      </c>
      <c r="I92" s="250">
        <v>28</v>
      </c>
      <c r="J92" s="250"/>
      <c r="K92" s="253" t="s">
        <v>242</v>
      </c>
      <c r="L92" s="250"/>
      <c r="M92" s="250"/>
      <c r="N92" s="249"/>
      <c r="O92" s="239"/>
      <c r="P92" s="250" t="s">
        <v>128</v>
      </c>
      <c r="Q92" s="248" t="s">
        <v>428</v>
      </c>
      <c r="R92" s="248" t="s">
        <v>416</v>
      </c>
      <c r="S92" s="249" t="s">
        <v>417</v>
      </c>
      <c r="T92" s="249" t="s">
        <v>418</v>
      </c>
      <c r="U92" s="261" t="s">
        <v>120</v>
      </c>
      <c r="V92" s="252" t="s">
        <v>102</v>
      </c>
      <c r="W92" s="332" t="s">
        <v>43</v>
      </c>
      <c r="X92" s="332" t="s">
        <v>43</v>
      </c>
      <c r="Y92" s="275" t="s">
        <v>69</v>
      </c>
      <c r="Z92" s="337" t="s">
        <v>45</v>
      </c>
      <c r="AA92" s="336" t="str">
        <f>_xlfn.XLOOKUP($A92,'2026 Approved Budget'!$B:$B,'2026 Approved Budget'!C:C)</f>
        <v>230 Pharmacovigilance</v>
      </c>
      <c r="AB92" s="332" t="s">
        <v>46</v>
      </c>
      <c r="AC92" s="336" t="str">
        <f>_xlfn.XLOOKUP($A92,'2026 Approved Budget'!$B:$B,'2026 Approved Budget'!D:D)</f>
        <v>TBD</v>
      </c>
      <c r="AD92" s="336" t="str">
        <f>_xlfn.XLOOKUP($A92,'2026 Approved Budget'!$B:$B,'2026 Approved Budget'!E:E)</f>
        <v>05. Director</v>
      </c>
      <c r="AE92" s="336" t="str">
        <f>_xlfn.XLOOKUP($A92,'2026 Approved Budget'!$B:$B,'2026 Approved Budget'!F:F)</f>
        <v>Director, PV Scientist</v>
      </c>
      <c r="AF92" s="338">
        <f>_xlfn.XLOOKUP($A92,'2026 Approved Budget'!$B:$B,'2026 Approved Budget'!H:H)</f>
        <v>46371</v>
      </c>
      <c r="AG92" s="254"/>
    </row>
    <row r="93" spans="1:33" ht="15" customHeight="1" x14ac:dyDescent="0.2">
      <c r="A93" s="239">
        <v>5388</v>
      </c>
      <c r="B93" s="248" t="s">
        <v>77</v>
      </c>
      <c r="C93" s="248" t="s">
        <v>78</v>
      </c>
      <c r="D93" s="248" t="s">
        <v>94</v>
      </c>
      <c r="E93" s="250" t="s">
        <v>34</v>
      </c>
      <c r="F93" s="250" t="s">
        <v>98</v>
      </c>
      <c r="G93" s="252" t="s">
        <v>99</v>
      </c>
      <c r="H93" s="251" t="s">
        <v>50</v>
      </c>
      <c r="I93" s="250">
        <v>29</v>
      </c>
      <c r="J93" s="250"/>
      <c r="K93" s="250" t="s">
        <v>100</v>
      </c>
      <c r="L93" s="250"/>
      <c r="M93" s="250"/>
      <c r="N93" s="249"/>
      <c r="O93" s="239"/>
      <c r="P93" s="239" t="s">
        <v>41</v>
      </c>
      <c r="Q93" s="248" t="s">
        <v>101</v>
      </c>
      <c r="R93" s="248"/>
      <c r="S93" s="248"/>
      <c r="T93" s="248"/>
      <c r="U93" s="248"/>
      <c r="V93" s="252" t="s">
        <v>102</v>
      </c>
      <c r="W93" s="332" t="s">
        <v>43</v>
      </c>
      <c r="X93" s="332" t="s">
        <v>103</v>
      </c>
      <c r="Y93" s="275" t="s">
        <v>69</v>
      </c>
      <c r="Z93" s="337" t="s">
        <v>45</v>
      </c>
      <c r="AA93" s="336" t="str">
        <f>_xlfn.XLOOKUP($A93,'2026 Approved Budget'!$B:$B,'2026 Approved Budget'!C:C)</f>
        <v>901 Executive G&amp;A</v>
      </c>
      <c r="AB93" s="336" t="s">
        <v>88</v>
      </c>
      <c r="AC93" s="336" t="str">
        <f>_xlfn.XLOOKUP($A93,'2026 Approved Budget'!$B:$B,'2026 Approved Budget'!D:D)</f>
        <v>TBD</v>
      </c>
      <c r="AD93" s="336" t="str">
        <f>_xlfn.XLOOKUP($A93,'2026 Approved Budget'!$B:$B,'2026 Approved Budget'!E:E)</f>
        <v>05. Director</v>
      </c>
      <c r="AE93" s="336" t="str">
        <f>_xlfn.XLOOKUP($A93,'2026 Approved Budget'!$B:$B,'2026 Approved Budget'!F:F)</f>
        <v>Buffer Role</v>
      </c>
      <c r="AF93" s="338">
        <f>_xlfn.XLOOKUP($A93,'2026 Approved Budget'!$B:$B,'2026 Approved Budget'!H:H)</f>
        <v>46280</v>
      </c>
      <c r="AG93" s="252"/>
    </row>
    <row r="94" spans="1:33" ht="30" customHeight="1" x14ac:dyDescent="0.2">
      <c r="A94" s="239">
        <v>5387</v>
      </c>
      <c r="B94" s="248" t="s">
        <v>77</v>
      </c>
      <c r="C94" s="248" t="s">
        <v>122</v>
      </c>
      <c r="D94" s="249" t="s">
        <v>79</v>
      </c>
      <c r="E94" s="250" t="s">
        <v>34</v>
      </c>
      <c r="F94" s="239" t="s">
        <v>48</v>
      </c>
      <c r="G94" s="256" t="s">
        <v>226</v>
      </c>
      <c r="H94" s="250" t="s">
        <v>50</v>
      </c>
      <c r="I94" s="250">
        <v>30</v>
      </c>
      <c r="J94" s="250"/>
      <c r="K94" s="253" t="s">
        <v>100</v>
      </c>
      <c r="L94" s="250"/>
      <c r="M94" s="250" t="s">
        <v>83</v>
      </c>
      <c r="N94" s="249"/>
      <c r="O94" s="239"/>
      <c r="P94" s="239" t="s">
        <v>41</v>
      </c>
      <c r="Q94" s="248"/>
      <c r="R94" s="248"/>
      <c r="S94" s="248"/>
      <c r="T94" s="248"/>
      <c r="U94" s="248"/>
      <c r="V94" s="256"/>
      <c r="W94" s="103" t="s">
        <v>75</v>
      </c>
      <c r="X94" s="332" t="s">
        <v>43</v>
      </c>
      <c r="Y94" s="336" t="s">
        <v>69</v>
      </c>
      <c r="Z94" s="337" t="s">
        <v>45</v>
      </c>
      <c r="AA94" s="336" t="str">
        <f>_xlfn.XLOOKUP($A94,'2026 Approved Budget'!$B:$B,'2026 Approved Budget'!C:C)</f>
        <v>901 Executive G&amp;A</v>
      </c>
      <c r="AB94" s="332" t="s">
        <v>88</v>
      </c>
      <c r="AC94" s="336" t="str">
        <f>_xlfn.XLOOKUP($A94,'2026 Approved Budget'!$B:$B,'2026 Approved Budget'!D:D)</f>
        <v>TBD</v>
      </c>
      <c r="AD94" s="336" t="str">
        <f>_xlfn.XLOOKUP($A94,'2026 Approved Budget'!$B:$B,'2026 Approved Budget'!E:E)</f>
        <v>05. Director</v>
      </c>
      <c r="AE94" s="336" t="str">
        <f>_xlfn.XLOOKUP($A94,'2026 Approved Budget'!$B:$B,'2026 Approved Budget'!F:F)</f>
        <v>Buffer Role</v>
      </c>
      <c r="AF94" s="338">
        <f>_xlfn.XLOOKUP($A94,'2026 Approved Budget'!$B:$B,'2026 Approved Budget'!H:H)</f>
        <v>46280</v>
      </c>
      <c r="AG94" s="12" t="s">
        <v>218</v>
      </c>
    </row>
    <row r="95" spans="1:33" ht="30" hidden="1" customHeight="1" x14ac:dyDescent="0.2">
      <c r="A95" s="239">
        <v>5390</v>
      </c>
      <c r="B95" s="248" t="s">
        <v>77</v>
      </c>
      <c r="C95" s="248" t="s">
        <v>303</v>
      </c>
      <c r="D95" s="249" t="s">
        <v>307</v>
      </c>
      <c r="E95" s="260" t="s">
        <v>276</v>
      </c>
      <c r="F95" s="260" t="s">
        <v>138</v>
      </c>
      <c r="G95" s="261" t="s">
        <v>352</v>
      </c>
      <c r="H95" s="251" t="s">
        <v>101</v>
      </c>
      <c r="I95" s="260"/>
      <c r="J95" s="260"/>
      <c r="K95" s="253" t="s">
        <v>100</v>
      </c>
      <c r="L95" s="260"/>
      <c r="M95" s="260"/>
      <c r="N95" s="266"/>
      <c r="O95" s="239"/>
      <c r="P95" s="250" t="s">
        <v>353</v>
      </c>
      <c r="Q95" s="261" t="s">
        <v>354</v>
      </c>
      <c r="R95" s="261"/>
      <c r="S95" s="261"/>
      <c r="T95" s="261"/>
      <c r="U95" s="261"/>
      <c r="V95" s="261"/>
      <c r="W95" s="335" t="s">
        <v>184</v>
      </c>
      <c r="X95" s="335" t="s">
        <v>184</v>
      </c>
      <c r="Y95" s="335" t="s">
        <v>185</v>
      </c>
      <c r="Z95" s="335"/>
      <c r="AA95" s="336" t="e">
        <f>_xlfn.XLOOKUP($A95,'2026 Approved Budget'!$B:$B,'2026 Approved Budget'!C:C)</f>
        <v>#N/A</v>
      </c>
      <c r="AB95" s="332" t="s">
        <v>185</v>
      </c>
      <c r="AC95" s="336" t="e">
        <f>_xlfn.XLOOKUP($A95,'2026 Approved Budget'!$B:$B,'2026 Approved Budget'!D:D)</f>
        <v>#N/A</v>
      </c>
      <c r="AD95" s="336" t="e">
        <f>_xlfn.XLOOKUP($A95,'2026 Approved Budget'!$B:$B,'2026 Approved Budget'!E:E)</f>
        <v>#N/A</v>
      </c>
      <c r="AE95" s="336" t="e">
        <f>_xlfn.XLOOKUP($A95,'2026 Approved Budget'!$B:$B,'2026 Approved Budget'!F:F)</f>
        <v>#N/A</v>
      </c>
      <c r="AF95" s="338" t="e">
        <f>_xlfn.XLOOKUP($A95,'2026 Approved Budget'!$B:$B,'2026 Approved Budget'!H:H)</f>
        <v>#N/A</v>
      </c>
      <c r="AG95" s="254"/>
    </row>
    <row r="96" spans="1:33" ht="30" hidden="1" customHeight="1" x14ac:dyDescent="0.2">
      <c r="A96" s="239">
        <v>5391</v>
      </c>
      <c r="B96" s="248" t="s">
        <v>77</v>
      </c>
      <c r="C96" s="248" t="s">
        <v>303</v>
      </c>
      <c r="D96" s="249" t="s">
        <v>307</v>
      </c>
      <c r="E96" s="260" t="s">
        <v>276</v>
      </c>
      <c r="F96" s="260" t="s">
        <v>138</v>
      </c>
      <c r="G96" s="261" t="s">
        <v>355</v>
      </c>
      <c r="H96" s="251" t="s">
        <v>101</v>
      </c>
      <c r="I96" s="260"/>
      <c r="J96" s="260"/>
      <c r="K96" s="253" t="s">
        <v>100</v>
      </c>
      <c r="L96" s="260"/>
      <c r="M96" s="260"/>
      <c r="N96" s="266"/>
      <c r="O96" s="239"/>
      <c r="P96" s="250" t="s">
        <v>353</v>
      </c>
      <c r="Q96" s="261" t="s">
        <v>354</v>
      </c>
      <c r="R96" s="261"/>
      <c r="S96" s="261"/>
      <c r="T96" s="261"/>
      <c r="U96" s="261"/>
      <c r="V96" s="261"/>
      <c r="W96" s="335" t="s">
        <v>184</v>
      </c>
      <c r="X96" s="335" t="s">
        <v>184</v>
      </c>
      <c r="Y96" s="335" t="s">
        <v>185</v>
      </c>
      <c r="Z96" s="335"/>
      <c r="AA96" s="336" t="e">
        <f>_xlfn.XLOOKUP($A96,'2026 Approved Budget'!$B:$B,'2026 Approved Budget'!C:C)</f>
        <v>#N/A</v>
      </c>
      <c r="AB96" s="332" t="s">
        <v>185</v>
      </c>
      <c r="AC96" s="336" t="e">
        <f>_xlfn.XLOOKUP($A96,'2026 Approved Budget'!$B:$B,'2026 Approved Budget'!D:D)</f>
        <v>#N/A</v>
      </c>
      <c r="AD96" s="336" t="e">
        <f>_xlfn.XLOOKUP($A96,'2026 Approved Budget'!$B:$B,'2026 Approved Budget'!E:E)</f>
        <v>#N/A</v>
      </c>
      <c r="AE96" s="336" t="e">
        <f>_xlfn.XLOOKUP($A96,'2026 Approved Budget'!$B:$B,'2026 Approved Budget'!F:F)</f>
        <v>#N/A</v>
      </c>
      <c r="AF96" s="338" t="e">
        <f>_xlfn.XLOOKUP($A96,'2026 Approved Budget'!$B:$B,'2026 Approved Budget'!H:H)</f>
        <v>#N/A</v>
      </c>
      <c r="AG96" s="254"/>
    </row>
    <row r="97" spans="1:33" ht="15" customHeight="1" x14ac:dyDescent="0.2">
      <c r="A97" s="239">
        <v>5410</v>
      </c>
      <c r="B97" s="248" t="s">
        <v>77</v>
      </c>
      <c r="C97" s="248" t="s">
        <v>122</v>
      </c>
      <c r="D97" s="249" t="s">
        <v>79</v>
      </c>
      <c r="E97" s="250" t="s">
        <v>34</v>
      </c>
      <c r="F97" s="239" t="s">
        <v>58</v>
      </c>
      <c r="G97" s="256" t="s">
        <v>231</v>
      </c>
      <c r="H97" s="250" t="s">
        <v>50</v>
      </c>
      <c r="I97" s="250"/>
      <c r="J97" s="250"/>
      <c r="K97" s="253" t="s">
        <v>61</v>
      </c>
      <c r="L97" s="250"/>
      <c r="M97" s="250" t="s">
        <v>83</v>
      </c>
      <c r="N97" s="249"/>
      <c r="O97" s="239"/>
      <c r="P97" s="239" t="s">
        <v>41</v>
      </c>
      <c r="Q97" s="248"/>
      <c r="R97" s="248"/>
      <c r="S97" s="248"/>
      <c r="T97" s="248"/>
      <c r="U97" s="248"/>
      <c r="V97" s="263" t="s">
        <v>232</v>
      </c>
      <c r="W97" s="332" t="s">
        <v>75</v>
      </c>
      <c r="X97" s="332" t="s">
        <v>43</v>
      </c>
      <c r="Y97" s="332" t="s">
        <v>87</v>
      </c>
      <c r="Z97" s="332"/>
      <c r="AA97" s="336" t="e">
        <f>_xlfn.XLOOKUP($A97,'2026 Approved Budget'!$B:$B,'2026 Approved Budget'!C:C)</f>
        <v>#N/A</v>
      </c>
      <c r="AB97" s="332" t="s">
        <v>88</v>
      </c>
      <c r="AC97" s="336" t="e">
        <f>_xlfn.XLOOKUP($A97,'2026 Approved Budget'!$B:$B,'2026 Approved Budget'!D:D)</f>
        <v>#N/A</v>
      </c>
      <c r="AD97" s="336" t="e">
        <f>_xlfn.XLOOKUP($A97,'2026 Approved Budget'!$B:$B,'2026 Approved Budget'!E:E)</f>
        <v>#N/A</v>
      </c>
      <c r="AE97" s="336" t="e">
        <f>_xlfn.XLOOKUP($A97,'2026 Approved Budget'!$B:$B,'2026 Approved Budget'!F:F)</f>
        <v>#N/A</v>
      </c>
      <c r="AF97" s="338" t="e">
        <f>_xlfn.XLOOKUP($A97,'2026 Approved Budget'!$B:$B,'2026 Approved Budget'!H:H)</f>
        <v>#N/A</v>
      </c>
      <c r="AG97" s="306" t="s">
        <v>233</v>
      </c>
    </row>
    <row r="98" spans="1:33" ht="30" hidden="1" customHeight="1" x14ac:dyDescent="0.2">
      <c r="A98" s="239">
        <v>5009</v>
      </c>
      <c r="B98" s="248" t="s">
        <v>77</v>
      </c>
      <c r="C98" s="248" t="s">
        <v>303</v>
      </c>
      <c r="D98" s="249" t="s">
        <v>307</v>
      </c>
      <c r="E98" s="250" t="s">
        <v>180</v>
      </c>
      <c r="F98" s="251" t="s">
        <v>117</v>
      </c>
      <c r="G98" s="252" t="s">
        <v>332</v>
      </c>
      <c r="H98" s="260" t="s">
        <v>359</v>
      </c>
      <c r="I98" s="250"/>
      <c r="J98" s="250"/>
      <c r="K98" s="253" t="s">
        <v>71</v>
      </c>
      <c r="L98" s="250"/>
      <c r="M98" s="250"/>
      <c r="N98" s="248"/>
      <c r="O98" s="239"/>
      <c r="P98" s="250" t="s">
        <v>353</v>
      </c>
      <c r="Q98" s="248" t="s">
        <v>360</v>
      </c>
      <c r="R98" s="248"/>
      <c r="S98" s="249" t="s">
        <v>361</v>
      </c>
      <c r="T98" s="249"/>
      <c r="U98" s="292" t="s">
        <v>120</v>
      </c>
      <c r="V98" s="252"/>
      <c r="W98" s="335" t="s">
        <v>184</v>
      </c>
      <c r="X98" s="335" t="s">
        <v>184</v>
      </c>
      <c r="Y98" s="335" t="s">
        <v>185</v>
      </c>
      <c r="Z98" s="335"/>
      <c r="AA98" s="336" t="e">
        <f>_xlfn.XLOOKUP($A98,'2026 Approved Budget'!$B:$B,'2026 Approved Budget'!C:C)</f>
        <v>#N/A</v>
      </c>
      <c r="AB98" s="332" t="s">
        <v>185</v>
      </c>
      <c r="AC98" s="336" t="e">
        <f>_xlfn.XLOOKUP($A98,'2026 Approved Budget'!$B:$B,'2026 Approved Budget'!D:D)</f>
        <v>#N/A</v>
      </c>
      <c r="AD98" s="336" t="e">
        <f>_xlfn.XLOOKUP($A98,'2026 Approved Budget'!$B:$B,'2026 Approved Budget'!E:E)</f>
        <v>#N/A</v>
      </c>
      <c r="AE98" s="336" t="e">
        <f>_xlfn.XLOOKUP($A98,'2026 Approved Budget'!$B:$B,'2026 Approved Budget'!F:F)</f>
        <v>#N/A</v>
      </c>
      <c r="AF98" s="338" t="e">
        <f>_xlfn.XLOOKUP($A98,'2026 Approved Budget'!$B:$B,'2026 Approved Budget'!H:H)</f>
        <v>#N/A</v>
      </c>
      <c r="AG98" s="254"/>
    </row>
    <row r="99" spans="1:33" ht="15" hidden="1" customHeight="1" x14ac:dyDescent="0.2">
      <c r="A99" s="239">
        <v>5372</v>
      </c>
      <c r="B99" s="248" t="s">
        <v>77</v>
      </c>
      <c r="C99" s="248" t="s">
        <v>303</v>
      </c>
      <c r="D99" s="249" t="s">
        <v>307</v>
      </c>
      <c r="E99" s="250" t="s">
        <v>180</v>
      </c>
      <c r="F99" s="251" t="s">
        <v>117</v>
      </c>
      <c r="G99" s="252" t="s">
        <v>336</v>
      </c>
      <c r="H99" s="251" t="s">
        <v>146</v>
      </c>
      <c r="I99" s="250"/>
      <c r="J99" s="250"/>
      <c r="K99" s="253" t="s">
        <v>71</v>
      </c>
      <c r="L99" s="250"/>
      <c r="M99" s="250"/>
      <c r="N99" s="248"/>
      <c r="O99" s="239"/>
      <c r="P99" s="250" t="s">
        <v>128</v>
      </c>
      <c r="Q99" s="248" t="s">
        <v>338</v>
      </c>
      <c r="R99" s="248"/>
      <c r="S99" s="249"/>
      <c r="T99" s="249"/>
      <c r="U99" s="292" t="s">
        <v>120</v>
      </c>
      <c r="V99" s="252"/>
      <c r="W99" s="335" t="s">
        <v>184</v>
      </c>
      <c r="X99" s="335" t="s">
        <v>184</v>
      </c>
      <c r="Y99" s="335" t="s">
        <v>185</v>
      </c>
      <c r="Z99" s="335"/>
      <c r="AA99" s="336" t="e">
        <f>_xlfn.XLOOKUP($A99,'2026 Approved Budget'!$B:$B,'2026 Approved Budget'!C:C)</f>
        <v>#N/A</v>
      </c>
      <c r="AB99" s="332" t="s">
        <v>185</v>
      </c>
      <c r="AC99" s="336" t="e">
        <f>_xlfn.XLOOKUP($A99,'2026 Approved Budget'!$B:$B,'2026 Approved Budget'!D:D)</f>
        <v>#N/A</v>
      </c>
      <c r="AD99" s="336" t="e">
        <f>_xlfn.XLOOKUP($A99,'2026 Approved Budget'!$B:$B,'2026 Approved Budget'!E:E)</f>
        <v>#N/A</v>
      </c>
      <c r="AE99" s="336" t="e">
        <f>_xlfn.XLOOKUP($A99,'2026 Approved Budget'!$B:$B,'2026 Approved Budget'!F:F)</f>
        <v>#N/A</v>
      </c>
      <c r="AF99" s="338" t="e">
        <f>_xlfn.XLOOKUP($A99,'2026 Approved Budget'!$B:$B,'2026 Approved Budget'!H:H)</f>
        <v>#N/A</v>
      </c>
      <c r="AG99" s="275"/>
    </row>
    <row r="100" spans="1:33" s="27" customFormat="1" ht="30" hidden="1" customHeight="1" x14ac:dyDescent="0.2">
      <c r="A100" s="239">
        <v>1014</v>
      </c>
      <c r="B100" s="240" t="s">
        <v>77</v>
      </c>
      <c r="C100" s="240" t="s">
        <v>368</v>
      </c>
      <c r="D100" s="245" t="s">
        <v>373</v>
      </c>
      <c r="E100" s="241" t="s">
        <v>34</v>
      </c>
      <c r="F100" s="241" t="s">
        <v>98</v>
      </c>
      <c r="G100" s="242" t="s">
        <v>374</v>
      </c>
      <c r="H100" s="243" t="s">
        <v>37</v>
      </c>
      <c r="I100" s="241"/>
      <c r="J100" s="241"/>
      <c r="K100" s="247" t="s">
        <v>51</v>
      </c>
      <c r="L100" s="241" t="s">
        <v>39</v>
      </c>
      <c r="M100" s="246" t="s">
        <v>52</v>
      </c>
      <c r="N100" s="267" t="s">
        <v>375</v>
      </c>
      <c r="O100" s="246">
        <v>10233</v>
      </c>
      <c r="P100" s="241" t="s">
        <v>132</v>
      </c>
      <c r="Q100" s="240" t="s">
        <v>376</v>
      </c>
      <c r="R100" s="240"/>
      <c r="S100" s="240" t="s">
        <v>377</v>
      </c>
      <c r="T100" s="240"/>
      <c r="U100" s="240"/>
      <c r="V100" s="242"/>
      <c r="W100" s="332" t="s">
        <v>43</v>
      </c>
      <c r="X100" s="332" t="s">
        <v>43</v>
      </c>
      <c r="Y100" s="336" t="s">
        <v>44</v>
      </c>
      <c r="Z100" s="337" t="s">
        <v>45</v>
      </c>
      <c r="AA100" s="336" t="str">
        <f>_xlfn.XLOOKUP($A100,'2026 Approved Budget'!$B:$B,'2026 Approved Budget'!C:C)</f>
        <v>221 Clinical Data Management</v>
      </c>
      <c r="AB100" s="332" t="s">
        <v>46</v>
      </c>
      <c r="AC100" s="336" t="str">
        <f>_xlfn.XLOOKUP($A100,'2026 Approved Budget'!$B:$B,'2026 Approved Budget'!D:D)</f>
        <v>Frances Seput Dingle</v>
      </c>
      <c r="AD100" s="336" t="str">
        <f>_xlfn.XLOOKUP($A100,'2026 Approved Budget'!$B:$B,'2026 Approved Budget'!E:E)</f>
        <v>05. Director</v>
      </c>
      <c r="AE100" s="336" t="str">
        <f>_xlfn.XLOOKUP($A100,'2026 Approved Budget'!$B:$B,'2026 Approved Budget'!F:F)</f>
        <v>Associate Director, Clinical Data Management TLA</v>
      </c>
      <c r="AF100" s="338">
        <f>_xlfn.XLOOKUP($A100,'2026 Approved Budget'!$B:$B,'2026 Approved Budget'!H:H)</f>
        <v>45929</v>
      </c>
      <c r="AG100" s="261"/>
    </row>
    <row r="101" spans="1:33" s="27" customFormat="1" ht="30" hidden="1" customHeight="1" x14ac:dyDescent="0.2">
      <c r="A101" s="239">
        <v>5029</v>
      </c>
      <c r="B101" s="277" t="s">
        <v>77</v>
      </c>
      <c r="C101" s="277" t="s">
        <v>368</v>
      </c>
      <c r="D101" s="277" t="s">
        <v>373</v>
      </c>
      <c r="E101" s="276" t="s">
        <v>34</v>
      </c>
      <c r="F101" s="241" t="s">
        <v>98</v>
      </c>
      <c r="G101" s="277" t="s">
        <v>390</v>
      </c>
      <c r="H101" s="276" t="s">
        <v>359</v>
      </c>
      <c r="I101" s="276"/>
      <c r="J101" s="276"/>
      <c r="K101" s="247" t="s">
        <v>61</v>
      </c>
      <c r="L101" s="276" t="s">
        <v>39</v>
      </c>
      <c r="M101" s="246" t="s">
        <v>52</v>
      </c>
      <c r="N101" s="267" t="s">
        <v>391</v>
      </c>
      <c r="O101" s="246">
        <v>10350</v>
      </c>
      <c r="P101" s="276" t="s">
        <v>159</v>
      </c>
      <c r="Q101" s="277" t="s">
        <v>392</v>
      </c>
      <c r="R101" s="277" t="s">
        <v>393</v>
      </c>
      <c r="S101" s="277" t="s">
        <v>393</v>
      </c>
      <c r="T101" s="277"/>
      <c r="U101" s="277" t="s">
        <v>120</v>
      </c>
      <c r="V101" s="277"/>
      <c r="W101" s="332" t="s">
        <v>43</v>
      </c>
      <c r="X101" s="332" t="s">
        <v>43</v>
      </c>
      <c r="Y101" s="332" t="s">
        <v>394</v>
      </c>
      <c r="Z101" s="337" t="s">
        <v>45</v>
      </c>
      <c r="AA101" s="336" t="str">
        <f>_xlfn.XLOOKUP($A101,'2026 Approved Budget'!$B:$B,'2026 Approved Budget'!C:C)</f>
        <v>220 Clinical Data Science</v>
      </c>
      <c r="AB101" s="336" t="s">
        <v>88</v>
      </c>
      <c r="AC101" s="336" t="str">
        <f>_xlfn.XLOOKUP($A101,'2026 Approved Budget'!$B:$B,'2026 Approved Budget'!D:D)</f>
        <v>TBD</v>
      </c>
      <c r="AD101" s="336" t="str">
        <f>_xlfn.XLOOKUP($A101,'2026 Approved Budget'!$B:$B,'2026 Approved Budget'!E:E)</f>
        <v>05. Director</v>
      </c>
      <c r="AE101" s="336" t="str">
        <f>_xlfn.XLOOKUP($A101,'2026 Approved Budget'!$B:$B,'2026 Approved Budget'!F:F)</f>
        <v>Director, Data Management</v>
      </c>
      <c r="AF101" s="338">
        <f>_xlfn.XLOOKUP($A101,'2026 Approved Budget'!$B:$B,'2026 Approved Budget'!H:H)</f>
        <v>46096</v>
      </c>
      <c r="AG101" s="254"/>
    </row>
    <row r="102" spans="1:33" s="27" customFormat="1" ht="15.75" hidden="1" customHeight="1" x14ac:dyDescent="0.2">
      <c r="A102" s="239">
        <v>1015</v>
      </c>
      <c r="B102" s="240" t="s">
        <v>77</v>
      </c>
      <c r="C102" s="240" t="s">
        <v>368</v>
      </c>
      <c r="D102" s="245" t="s">
        <v>373</v>
      </c>
      <c r="E102" s="241" t="s">
        <v>34</v>
      </c>
      <c r="F102" s="243" t="s">
        <v>138</v>
      </c>
      <c r="G102" s="242" t="s">
        <v>506</v>
      </c>
      <c r="H102" s="243" t="s">
        <v>37</v>
      </c>
      <c r="I102" s="241"/>
      <c r="J102" s="241"/>
      <c r="K102" s="247" t="s">
        <v>114</v>
      </c>
      <c r="L102" s="241" t="s">
        <v>39</v>
      </c>
      <c r="M102" s="241"/>
      <c r="N102" s="268" t="s">
        <v>507</v>
      </c>
      <c r="O102" s="246">
        <v>10216</v>
      </c>
      <c r="P102" s="241" t="s">
        <v>128</v>
      </c>
      <c r="Q102" s="240" t="s">
        <v>508</v>
      </c>
      <c r="R102" s="240"/>
      <c r="S102" s="240"/>
      <c r="T102" s="240"/>
      <c r="U102" s="240"/>
      <c r="V102" s="242"/>
      <c r="W102" s="332" t="s">
        <v>43</v>
      </c>
      <c r="X102" s="103" t="s">
        <v>43</v>
      </c>
      <c r="Y102" s="336" t="s">
        <v>44</v>
      </c>
      <c r="Z102" s="337" t="s">
        <v>45</v>
      </c>
      <c r="AA102" s="336" t="str">
        <f>_xlfn.XLOOKUP($A102,'2026 Approved Budget'!$B:$B,'2026 Approved Budget'!C:C)</f>
        <v>221 Clinical Data Management</v>
      </c>
      <c r="AB102" s="332" t="s">
        <v>46</v>
      </c>
      <c r="AC102" s="336" t="str">
        <f>_xlfn.XLOOKUP($A102,'2026 Approved Budget'!$B:$B,'2026 Approved Budget'!D:D)</f>
        <v>Sheri Van Zandt</v>
      </c>
      <c r="AD102" s="336" t="str">
        <f>_xlfn.XLOOKUP($A102,'2026 Approved Budget'!$B:$B,'2026 Approved Budget'!E:E)</f>
        <v>04. AD / Staff Scientist</v>
      </c>
      <c r="AE102" s="336" t="str">
        <f>_xlfn.XLOOKUP($A102,'2026 Approved Budget'!$B:$B,'2026 Approved Budget'!F:F)</f>
        <v>Associate Director, Clinical Data Management Dani</v>
      </c>
      <c r="AF102" s="338">
        <f>_xlfn.XLOOKUP($A102,'2026 Approved Budget'!$B:$B,'2026 Approved Budget'!H:H)</f>
        <v>45824</v>
      </c>
      <c r="AG102" s="261"/>
    </row>
    <row r="103" spans="1:33" s="27" customFormat="1" ht="60" hidden="1" customHeight="1" x14ac:dyDescent="0.2">
      <c r="A103" s="239">
        <v>1013</v>
      </c>
      <c r="B103" s="240" t="s">
        <v>77</v>
      </c>
      <c r="C103" s="240" t="s">
        <v>368</v>
      </c>
      <c r="D103" s="245" t="s">
        <v>373</v>
      </c>
      <c r="E103" s="241" t="s">
        <v>34</v>
      </c>
      <c r="F103" s="243" t="s">
        <v>117</v>
      </c>
      <c r="G103" s="242" t="s">
        <v>386</v>
      </c>
      <c r="H103" s="243" t="s">
        <v>37</v>
      </c>
      <c r="I103" s="241"/>
      <c r="J103" s="241"/>
      <c r="K103" s="247" t="s">
        <v>107</v>
      </c>
      <c r="L103" s="241" t="s">
        <v>39</v>
      </c>
      <c r="M103" s="246" t="s">
        <v>52</v>
      </c>
      <c r="N103" s="240" t="s">
        <v>509</v>
      </c>
      <c r="O103" s="246">
        <v>10121</v>
      </c>
      <c r="P103" s="241" t="s">
        <v>159</v>
      </c>
      <c r="Q103" s="240" t="s">
        <v>510</v>
      </c>
      <c r="R103" s="240"/>
      <c r="S103" s="240"/>
      <c r="T103" s="240"/>
      <c r="U103" s="240"/>
      <c r="V103" s="242"/>
      <c r="W103" s="332" t="s">
        <v>43</v>
      </c>
      <c r="X103" s="332" t="s">
        <v>43</v>
      </c>
      <c r="Y103" s="336" t="s">
        <v>44</v>
      </c>
      <c r="Z103" s="337" t="s">
        <v>45</v>
      </c>
      <c r="AA103" s="336" t="str">
        <f>_xlfn.XLOOKUP($A103,'2026 Approved Budget'!$B:$B,'2026 Approved Budget'!C:C)</f>
        <v>221 Clinical Data Management</v>
      </c>
      <c r="AB103" s="332" t="s">
        <v>46</v>
      </c>
      <c r="AC103" s="336" t="str">
        <f>_xlfn.XLOOKUP($A103,'2026 Approved Budget'!$B:$B,'2026 Approved Budget'!D:D)</f>
        <v>David Lim</v>
      </c>
      <c r="AD103" s="336" t="str">
        <f>_xlfn.XLOOKUP($A103,'2026 Approved Budget'!$B:$B,'2026 Approved Budget'!E:E)</f>
        <v>03. Sr. Manager / Sr. Scientist</v>
      </c>
      <c r="AE103" s="336" t="str">
        <f>_xlfn.XLOOKUP($A103,'2026 Approved Budget'!$B:$B,'2026 Approved Budget'!F:F)</f>
        <v>Associate Director, Clinical Data Management ATA</v>
      </c>
      <c r="AF103" s="338">
        <f>_xlfn.XLOOKUP($A103,'2026 Approved Budget'!$B:$B,'2026 Approved Budget'!H:H)</f>
        <v>45642</v>
      </c>
      <c r="AG103" s="254"/>
    </row>
    <row r="104" spans="1:33" s="27" customFormat="1" ht="30" hidden="1" customHeight="1" x14ac:dyDescent="0.2">
      <c r="A104" s="264">
        <v>1016</v>
      </c>
      <c r="B104" s="248" t="s">
        <v>77</v>
      </c>
      <c r="C104" s="261" t="s">
        <v>368</v>
      </c>
      <c r="D104" s="249" t="s">
        <v>373</v>
      </c>
      <c r="E104" s="250" t="s">
        <v>180</v>
      </c>
      <c r="F104" s="251" t="s">
        <v>320</v>
      </c>
      <c r="G104" s="252" t="s">
        <v>378</v>
      </c>
      <c r="H104" s="251" t="s">
        <v>146</v>
      </c>
      <c r="I104" s="250"/>
      <c r="J104" s="250"/>
      <c r="K104" s="253" t="s">
        <v>51</v>
      </c>
      <c r="L104" s="239" t="s">
        <v>182</v>
      </c>
      <c r="M104" s="239"/>
      <c r="N104" s="265" t="s">
        <v>379</v>
      </c>
      <c r="O104" s="264"/>
      <c r="P104" s="250" t="s">
        <v>109</v>
      </c>
      <c r="Q104" s="248" t="s">
        <v>380</v>
      </c>
      <c r="R104" s="248"/>
      <c r="S104" s="248"/>
      <c r="T104" s="248"/>
      <c r="U104" s="248"/>
      <c r="V104" s="252"/>
      <c r="W104" s="335" t="s">
        <v>184</v>
      </c>
      <c r="X104" s="335" t="s">
        <v>184</v>
      </c>
      <c r="Y104" s="335" t="s">
        <v>185</v>
      </c>
      <c r="Z104" s="335"/>
      <c r="AA104" s="336" t="e">
        <f>_xlfn.XLOOKUP($A104,'2026 Approved Budget'!$B:$B,'2026 Approved Budget'!C:C)</f>
        <v>#N/A</v>
      </c>
      <c r="AB104" s="332" t="s">
        <v>185</v>
      </c>
      <c r="AC104" s="336" t="e">
        <f>_xlfn.XLOOKUP($A104,'2026 Approved Budget'!$B:$B,'2026 Approved Budget'!D:D)</f>
        <v>#N/A</v>
      </c>
      <c r="AD104" s="336" t="e">
        <f>_xlfn.XLOOKUP($A104,'2026 Approved Budget'!$B:$B,'2026 Approved Budget'!E:E)</f>
        <v>#N/A</v>
      </c>
      <c r="AE104" s="336" t="e">
        <f>_xlfn.XLOOKUP($A104,'2026 Approved Budget'!$B:$B,'2026 Approved Budget'!F:F)</f>
        <v>#N/A</v>
      </c>
      <c r="AF104" s="338" t="e">
        <f>_xlfn.XLOOKUP($A104,'2026 Approved Budget'!$B:$B,'2026 Approved Budget'!H:H)</f>
        <v>#N/A</v>
      </c>
      <c r="AG104" s="254"/>
    </row>
    <row r="105" spans="1:33" s="27" customFormat="1" ht="15.75" hidden="1" customHeight="1" x14ac:dyDescent="0.2">
      <c r="A105" s="264">
        <v>1332</v>
      </c>
      <c r="B105" s="248" t="s">
        <v>77</v>
      </c>
      <c r="C105" s="261" t="s">
        <v>368</v>
      </c>
      <c r="D105" s="248" t="s">
        <v>373</v>
      </c>
      <c r="E105" s="250" t="s">
        <v>180</v>
      </c>
      <c r="F105" s="248" t="s">
        <v>138</v>
      </c>
      <c r="G105" s="248" t="s">
        <v>381</v>
      </c>
      <c r="H105" s="251" t="s">
        <v>37</v>
      </c>
      <c r="I105" s="250"/>
      <c r="J105" s="250"/>
      <c r="K105" s="253" t="s">
        <v>124</v>
      </c>
      <c r="L105" s="250" t="s">
        <v>182</v>
      </c>
      <c r="M105" s="239" t="s">
        <v>52</v>
      </c>
      <c r="N105" s="248" t="s">
        <v>382</v>
      </c>
      <c r="O105" s="264"/>
      <c r="P105" s="250" t="s">
        <v>41</v>
      </c>
      <c r="Q105" s="248" t="s">
        <v>383</v>
      </c>
      <c r="R105" s="248"/>
      <c r="S105" s="248" t="s">
        <v>384</v>
      </c>
      <c r="T105" s="248"/>
      <c r="U105" s="292" t="s">
        <v>120</v>
      </c>
      <c r="V105" s="248"/>
      <c r="W105" s="335" t="s">
        <v>184</v>
      </c>
      <c r="X105" s="335" t="s">
        <v>184</v>
      </c>
      <c r="Y105" s="335" t="s">
        <v>185</v>
      </c>
      <c r="Z105" s="335"/>
      <c r="AA105" s="336" t="e">
        <f>_xlfn.XLOOKUP($A105,'2026 Approved Budget'!$B:$B,'2026 Approved Budget'!C:C)</f>
        <v>#N/A</v>
      </c>
      <c r="AB105" s="332" t="s">
        <v>185</v>
      </c>
      <c r="AC105" s="336" t="e">
        <f>_xlfn.XLOOKUP($A105,'2026 Approved Budget'!$B:$B,'2026 Approved Budget'!D:D)</f>
        <v>#N/A</v>
      </c>
      <c r="AD105" s="336" t="e">
        <f>_xlfn.XLOOKUP($A105,'2026 Approved Budget'!$B:$B,'2026 Approved Budget'!E:E)</f>
        <v>#N/A</v>
      </c>
      <c r="AE105" s="336" t="e">
        <f>_xlfn.XLOOKUP($A105,'2026 Approved Budget'!$B:$B,'2026 Approved Budget'!F:F)</f>
        <v>#N/A</v>
      </c>
      <c r="AF105" s="338" t="e">
        <f>_xlfn.XLOOKUP($A105,'2026 Approved Budget'!$B:$B,'2026 Approved Budget'!H:H)</f>
        <v>#N/A</v>
      </c>
      <c r="AG105" s="275"/>
    </row>
    <row r="106" spans="1:33" s="27" customFormat="1" ht="30" hidden="1" customHeight="1" x14ac:dyDescent="0.2">
      <c r="A106" s="239">
        <v>5022</v>
      </c>
      <c r="B106" s="261" t="s">
        <v>77</v>
      </c>
      <c r="C106" s="261" t="s">
        <v>368</v>
      </c>
      <c r="D106" s="261" t="s">
        <v>385</v>
      </c>
      <c r="E106" s="260" t="s">
        <v>180</v>
      </c>
      <c r="F106" s="260" t="s">
        <v>117</v>
      </c>
      <c r="G106" s="261" t="s">
        <v>386</v>
      </c>
      <c r="H106" s="251" t="s">
        <v>37</v>
      </c>
      <c r="I106" s="260"/>
      <c r="J106" s="260"/>
      <c r="K106" s="253" t="s">
        <v>124</v>
      </c>
      <c r="L106" s="260" t="s">
        <v>182</v>
      </c>
      <c r="M106" s="260"/>
      <c r="N106" s="266" t="s">
        <v>387</v>
      </c>
      <c r="O106" s="239"/>
      <c r="P106" s="260" t="s">
        <v>159</v>
      </c>
      <c r="Q106" s="261" t="s">
        <v>388</v>
      </c>
      <c r="R106" s="261" t="s">
        <v>389</v>
      </c>
      <c r="S106" s="261"/>
      <c r="T106" s="261"/>
      <c r="U106" s="261" t="s">
        <v>324</v>
      </c>
      <c r="V106" s="261"/>
      <c r="W106" s="335" t="s">
        <v>184</v>
      </c>
      <c r="X106" s="335" t="s">
        <v>184</v>
      </c>
      <c r="Y106" s="335" t="s">
        <v>185</v>
      </c>
      <c r="Z106" s="335"/>
      <c r="AA106" s="336" t="e">
        <f>_xlfn.XLOOKUP($A106,'2026 Approved Budget'!$B:$B,'2026 Approved Budget'!C:C)</f>
        <v>#N/A</v>
      </c>
      <c r="AB106" s="332" t="s">
        <v>185</v>
      </c>
      <c r="AC106" s="336" t="e">
        <f>_xlfn.XLOOKUP($A106,'2026 Approved Budget'!$B:$B,'2026 Approved Budget'!D:D)</f>
        <v>#N/A</v>
      </c>
      <c r="AD106" s="336" t="e">
        <f>_xlfn.XLOOKUP($A106,'2026 Approved Budget'!$B:$B,'2026 Approved Budget'!E:E)</f>
        <v>#N/A</v>
      </c>
      <c r="AE106" s="336" t="e">
        <f>_xlfn.XLOOKUP($A106,'2026 Approved Budget'!$B:$B,'2026 Approved Budget'!F:F)</f>
        <v>#N/A</v>
      </c>
      <c r="AF106" s="338" t="e">
        <f>_xlfn.XLOOKUP($A106,'2026 Approved Budget'!$B:$B,'2026 Approved Budget'!H:H)</f>
        <v>#N/A</v>
      </c>
      <c r="AG106" s="254"/>
    </row>
    <row r="107" spans="1:33" s="27" customFormat="1" ht="60" customHeight="1" x14ac:dyDescent="0.2">
      <c r="A107" s="239">
        <v>5407</v>
      </c>
      <c r="B107" s="248" t="s">
        <v>77</v>
      </c>
      <c r="C107" s="248" t="s">
        <v>122</v>
      </c>
      <c r="D107" s="249" t="s">
        <v>79</v>
      </c>
      <c r="E107" s="250" t="s">
        <v>80</v>
      </c>
      <c r="F107" s="239" t="s">
        <v>58</v>
      </c>
      <c r="G107" s="256" t="s">
        <v>229</v>
      </c>
      <c r="H107" s="250" t="s">
        <v>50</v>
      </c>
      <c r="I107" s="250"/>
      <c r="J107" s="250"/>
      <c r="K107" s="253" t="s">
        <v>100</v>
      </c>
      <c r="L107" s="250"/>
      <c r="M107" s="250" t="s">
        <v>83</v>
      </c>
      <c r="N107" s="249"/>
      <c r="O107" s="239"/>
      <c r="P107" s="239" t="s">
        <v>41</v>
      </c>
      <c r="Q107" s="248"/>
      <c r="R107" s="248"/>
      <c r="S107" s="248"/>
      <c r="T107" s="248"/>
      <c r="U107" s="248"/>
      <c r="V107" s="256"/>
      <c r="W107" s="332" t="s">
        <v>86</v>
      </c>
      <c r="X107" s="332" t="s">
        <v>86</v>
      </c>
      <c r="Y107" s="332" t="s">
        <v>87</v>
      </c>
      <c r="Z107" s="332"/>
      <c r="AA107" s="336" t="e">
        <f>_xlfn.XLOOKUP($A107,'2026 Approved Budget'!$B:$B,'2026 Approved Budget'!C:C)</f>
        <v>#N/A</v>
      </c>
      <c r="AB107" s="332" t="s">
        <v>88</v>
      </c>
      <c r="AC107" s="336" t="e">
        <f>_xlfn.XLOOKUP($A107,'2026 Approved Budget'!$B:$B,'2026 Approved Budget'!D:D)</f>
        <v>#N/A</v>
      </c>
      <c r="AD107" s="336" t="e">
        <f>_xlfn.XLOOKUP($A107,'2026 Approved Budget'!$B:$B,'2026 Approved Budget'!E:E)</f>
        <v>#N/A</v>
      </c>
      <c r="AE107" s="336" t="e">
        <f>_xlfn.XLOOKUP($A107,'2026 Approved Budget'!$B:$B,'2026 Approved Budget'!F:F)</f>
        <v>#N/A</v>
      </c>
      <c r="AF107" s="338" t="e">
        <f>_xlfn.XLOOKUP($A107,'2026 Approved Budget'!$B:$B,'2026 Approved Budget'!H:H)</f>
        <v>#N/A</v>
      </c>
      <c r="AG107" s="306" t="s">
        <v>89</v>
      </c>
    </row>
    <row r="108" spans="1:33" s="27" customFormat="1" ht="30" customHeight="1" x14ac:dyDescent="0.2">
      <c r="A108" s="239">
        <v>5408</v>
      </c>
      <c r="B108" s="248" t="s">
        <v>77</v>
      </c>
      <c r="C108" s="248" t="s">
        <v>122</v>
      </c>
      <c r="D108" s="249" t="s">
        <v>79</v>
      </c>
      <c r="E108" s="250" t="s">
        <v>80</v>
      </c>
      <c r="F108" s="239" t="s">
        <v>58</v>
      </c>
      <c r="G108" s="256" t="s">
        <v>230</v>
      </c>
      <c r="H108" s="250" t="s">
        <v>50</v>
      </c>
      <c r="I108" s="250"/>
      <c r="J108" s="250"/>
      <c r="K108" s="253" t="s">
        <v>100</v>
      </c>
      <c r="L108" s="250"/>
      <c r="M108" s="250" t="s">
        <v>83</v>
      </c>
      <c r="N108" s="249"/>
      <c r="O108" s="239"/>
      <c r="P108" s="239" t="s">
        <v>41</v>
      </c>
      <c r="Q108" s="248"/>
      <c r="R108" s="248"/>
      <c r="S108" s="248"/>
      <c r="T108" s="248"/>
      <c r="U108" s="248"/>
      <c r="V108" s="256"/>
      <c r="W108" s="332" t="s">
        <v>86</v>
      </c>
      <c r="X108" s="332" t="s">
        <v>86</v>
      </c>
      <c r="Y108" s="332" t="s">
        <v>87</v>
      </c>
      <c r="Z108" s="332"/>
      <c r="AA108" s="336" t="e">
        <f>_xlfn.XLOOKUP($A108,'2026 Approved Budget'!$B:$B,'2026 Approved Budget'!C:C)</f>
        <v>#N/A</v>
      </c>
      <c r="AB108" s="332" t="s">
        <v>88</v>
      </c>
      <c r="AC108" s="336" t="e">
        <f>_xlfn.XLOOKUP($A108,'2026 Approved Budget'!$B:$B,'2026 Approved Budget'!D:D)</f>
        <v>#N/A</v>
      </c>
      <c r="AD108" s="336" t="e">
        <f>_xlfn.XLOOKUP($A108,'2026 Approved Budget'!$B:$B,'2026 Approved Budget'!E:E)</f>
        <v>#N/A</v>
      </c>
      <c r="AE108" s="336" t="e">
        <f>_xlfn.XLOOKUP($A108,'2026 Approved Budget'!$B:$B,'2026 Approved Budget'!F:F)</f>
        <v>#N/A</v>
      </c>
      <c r="AF108" s="338" t="e">
        <f>_xlfn.XLOOKUP($A108,'2026 Approved Budget'!$B:$B,'2026 Approved Budget'!H:H)</f>
        <v>#N/A</v>
      </c>
      <c r="AG108" s="306" t="s">
        <v>89</v>
      </c>
    </row>
    <row r="109" spans="1:33" s="27" customFormat="1" ht="75" hidden="1" customHeight="1" x14ac:dyDescent="0.2">
      <c r="A109" s="239">
        <v>5021</v>
      </c>
      <c r="B109" s="261" t="s">
        <v>77</v>
      </c>
      <c r="C109" s="261" t="s">
        <v>368</v>
      </c>
      <c r="D109" s="261" t="s">
        <v>385</v>
      </c>
      <c r="E109" s="260" t="s">
        <v>180</v>
      </c>
      <c r="F109" s="260" t="s">
        <v>138</v>
      </c>
      <c r="G109" s="261" t="s">
        <v>395</v>
      </c>
      <c r="H109" s="251" t="s">
        <v>37</v>
      </c>
      <c r="I109" s="260"/>
      <c r="J109" s="260"/>
      <c r="K109" s="253" t="s">
        <v>61</v>
      </c>
      <c r="L109" s="250"/>
      <c r="M109" s="260"/>
      <c r="N109" s="266" t="s">
        <v>396</v>
      </c>
      <c r="O109" s="239"/>
      <c r="P109" s="260" t="s">
        <v>132</v>
      </c>
      <c r="Q109" s="261" t="s">
        <v>397</v>
      </c>
      <c r="R109" s="261"/>
      <c r="S109" s="261" t="s">
        <v>398</v>
      </c>
      <c r="T109" s="261"/>
      <c r="U109" s="261" t="s">
        <v>399</v>
      </c>
      <c r="V109" s="261"/>
      <c r="W109" s="335" t="s">
        <v>184</v>
      </c>
      <c r="X109" s="335" t="s">
        <v>184</v>
      </c>
      <c r="Y109" s="335" t="s">
        <v>185</v>
      </c>
      <c r="Z109" s="335"/>
      <c r="AA109" s="336" t="e">
        <f>_xlfn.XLOOKUP($A109,'2026 Approved Budget'!$B:$B,'2026 Approved Budget'!C:C)</f>
        <v>#N/A</v>
      </c>
      <c r="AB109" s="332" t="s">
        <v>185</v>
      </c>
      <c r="AC109" s="336" t="e">
        <f>_xlfn.XLOOKUP($A109,'2026 Approved Budget'!$B:$B,'2026 Approved Budget'!D:D)</f>
        <v>#N/A</v>
      </c>
      <c r="AD109" s="336" t="e">
        <f>_xlfn.XLOOKUP($A109,'2026 Approved Budget'!$B:$B,'2026 Approved Budget'!E:E)</f>
        <v>#N/A</v>
      </c>
      <c r="AE109" s="336" t="e">
        <f>_xlfn.XLOOKUP($A109,'2026 Approved Budget'!$B:$B,'2026 Approved Budget'!F:F)</f>
        <v>#N/A</v>
      </c>
      <c r="AF109" s="338" t="e">
        <f>_xlfn.XLOOKUP($A109,'2026 Approved Budget'!$B:$B,'2026 Approved Budget'!H:H)</f>
        <v>#N/A</v>
      </c>
      <c r="AG109" s="275"/>
    </row>
    <row r="110" spans="1:33" s="27" customFormat="1" ht="45" hidden="1" customHeight="1" x14ac:dyDescent="0.2">
      <c r="A110" s="239">
        <v>5023</v>
      </c>
      <c r="B110" s="261" t="s">
        <v>77</v>
      </c>
      <c r="C110" s="261" t="s">
        <v>368</v>
      </c>
      <c r="D110" s="261" t="s">
        <v>400</v>
      </c>
      <c r="E110" s="260" t="s">
        <v>180</v>
      </c>
      <c r="F110" s="260" t="s">
        <v>117</v>
      </c>
      <c r="G110" s="261" t="s">
        <v>401</v>
      </c>
      <c r="H110" s="251" t="s">
        <v>37</v>
      </c>
      <c r="I110" s="260"/>
      <c r="J110" s="260"/>
      <c r="K110" s="253" t="s">
        <v>61</v>
      </c>
      <c r="L110" s="250"/>
      <c r="M110" s="250"/>
      <c r="N110" s="265"/>
      <c r="O110" s="239"/>
      <c r="P110" s="250" t="s">
        <v>109</v>
      </c>
      <c r="Q110" s="261" t="s">
        <v>402</v>
      </c>
      <c r="R110" s="261" t="s">
        <v>403</v>
      </c>
      <c r="S110" s="261" t="s">
        <v>393</v>
      </c>
      <c r="T110" s="261"/>
      <c r="U110" s="261" t="s">
        <v>324</v>
      </c>
      <c r="V110" s="261"/>
      <c r="W110" s="335" t="s">
        <v>184</v>
      </c>
      <c r="X110" s="335" t="s">
        <v>184</v>
      </c>
      <c r="Y110" s="335" t="s">
        <v>185</v>
      </c>
      <c r="Z110" s="335"/>
      <c r="AA110" s="336" t="e">
        <f>_xlfn.XLOOKUP($A110,'2026 Approved Budget'!$B:$B,'2026 Approved Budget'!C:C)</f>
        <v>#N/A</v>
      </c>
      <c r="AB110" s="332" t="s">
        <v>185</v>
      </c>
      <c r="AC110" s="336" t="e">
        <f>_xlfn.XLOOKUP($A110,'2026 Approved Budget'!$B:$B,'2026 Approved Budget'!D:D)</f>
        <v>#N/A</v>
      </c>
      <c r="AD110" s="336" t="e">
        <f>_xlfn.XLOOKUP($A110,'2026 Approved Budget'!$B:$B,'2026 Approved Budget'!E:E)</f>
        <v>#N/A</v>
      </c>
      <c r="AE110" s="336" t="e">
        <f>_xlfn.XLOOKUP($A110,'2026 Approved Budget'!$B:$B,'2026 Approved Budget'!F:F)</f>
        <v>#N/A</v>
      </c>
      <c r="AF110" s="338" t="e">
        <f>_xlfn.XLOOKUP($A110,'2026 Approved Budget'!$B:$B,'2026 Approved Budget'!H:H)</f>
        <v>#N/A</v>
      </c>
      <c r="AG110" s="275"/>
    </row>
    <row r="111" spans="1:33" s="27" customFormat="1" ht="45" hidden="1" customHeight="1" x14ac:dyDescent="0.2">
      <c r="A111" s="251">
        <v>5389</v>
      </c>
      <c r="B111" s="261" t="s">
        <v>77</v>
      </c>
      <c r="C111" s="261" t="s">
        <v>368</v>
      </c>
      <c r="D111" s="261" t="s">
        <v>373</v>
      </c>
      <c r="E111" s="260" t="s">
        <v>180</v>
      </c>
      <c r="F111" s="260" t="s">
        <v>117</v>
      </c>
      <c r="G111" s="261" t="s">
        <v>395</v>
      </c>
      <c r="H111" s="251" t="s">
        <v>359</v>
      </c>
      <c r="I111" s="260"/>
      <c r="J111" s="260"/>
      <c r="K111" s="253" t="s">
        <v>71</v>
      </c>
      <c r="L111" s="260"/>
      <c r="M111" s="260"/>
      <c r="N111" s="266"/>
      <c r="O111" s="251"/>
      <c r="P111" s="250" t="s">
        <v>109</v>
      </c>
      <c r="Q111" s="261" t="s">
        <v>404</v>
      </c>
      <c r="R111" s="261"/>
      <c r="S111" s="261"/>
      <c r="T111" s="261"/>
      <c r="U111" s="261"/>
      <c r="V111" s="261"/>
      <c r="W111" s="335" t="s">
        <v>184</v>
      </c>
      <c r="X111" s="335" t="s">
        <v>184</v>
      </c>
      <c r="Y111" s="335" t="s">
        <v>185</v>
      </c>
      <c r="Z111" s="335"/>
      <c r="AA111" s="336" t="e">
        <f>_xlfn.XLOOKUP($A111,'2026 Approved Budget'!$B:$B,'2026 Approved Budget'!C:C)</f>
        <v>#N/A</v>
      </c>
      <c r="AB111" s="332" t="s">
        <v>185</v>
      </c>
      <c r="AC111" s="336" t="e">
        <f>_xlfn.XLOOKUP($A111,'2026 Approved Budget'!$B:$B,'2026 Approved Budget'!D:D)</f>
        <v>#N/A</v>
      </c>
      <c r="AD111" s="336" t="e">
        <f>_xlfn.XLOOKUP($A111,'2026 Approved Budget'!$B:$B,'2026 Approved Budget'!E:E)</f>
        <v>#N/A</v>
      </c>
      <c r="AE111" s="336" t="e">
        <f>_xlfn.XLOOKUP($A111,'2026 Approved Budget'!$B:$B,'2026 Approved Budget'!F:F)</f>
        <v>#N/A</v>
      </c>
      <c r="AF111" s="338" t="e">
        <f>_xlfn.XLOOKUP($A111,'2026 Approved Budget'!$B:$B,'2026 Approved Budget'!H:H)</f>
        <v>#N/A</v>
      </c>
      <c r="AG111" s="275"/>
    </row>
    <row r="112" spans="1:33" s="27" customFormat="1" ht="75" hidden="1" customHeight="1" x14ac:dyDescent="0.2">
      <c r="A112" s="239">
        <v>1311</v>
      </c>
      <c r="B112" s="269" t="s">
        <v>77</v>
      </c>
      <c r="C112" s="240" t="s">
        <v>405</v>
      </c>
      <c r="D112" s="240" t="s">
        <v>94</v>
      </c>
      <c r="E112" s="241" t="s">
        <v>34</v>
      </c>
      <c r="F112" s="243" t="s">
        <v>105</v>
      </c>
      <c r="G112" s="242" t="s">
        <v>406</v>
      </c>
      <c r="H112" s="243" t="s">
        <v>50</v>
      </c>
      <c r="I112" s="241"/>
      <c r="J112" s="241"/>
      <c r="K112" s="247" t="s">
        <v>130</v>
      </c>
      <c r="L112" s="241" t="s">
        <v>39</v>
      </c>
      <c r="M112" s="241"/>
      <c r="N112" s="240" t="s">
        <v>407</v>
      </c>
      <c r="O112" s="246">
        <v>10139</v>
      </c>
      <c r="P112" s="241" t="s">
        <v>159</v>
      </c>
      <c r="Q112" s="270" t="s">
        <v>408</v>
      </c>
      <c r="R112" s="271"/>
      <c r="S112" s="240"/>
      <c r="T112" s="245" t="s">
        <v>111</v>
      </c>
      <c r="U112" s="245"/>
      <c r="V112" s="242"/>
      <c r="W112" s="332" t="s">
        <v>43</v>
      </c>
      <c r="X112" s="332" t="s">
        <v>43</v>
      </c>
      <c r="Y112" s="336" t="s">
        <v>44</v>
      </c>
      <c r="Z112" s="337" t="s">
        <v>45</v>
      </c>
      <c r="AA112" s="336" t="str">
        <f>_xlfn.XLOOKUP($A112,'2026 Approved Budget'!$B:$B,'2026 Approved Budget'!C:C)</f>
        <v>230 Pharmacovigilance</v>
      </c>
      <c r="AB112" s="332" t="s">
        <v>46</v>
      </c>
      <c r="AC112" s="336" t="str">
        <f>_xlfn.XLOOKUP($A112,'2026 Approved Budget'!$B:$B,'2026 Approved Budget'!D:D)</f>
        <v>Krisztina Debreczeni</v>
      </c>
      <c r="AD112" s="336" t="str">
        <f>_xlfn.XLOOKUP($A112,'2026 Approved Budget'!$B:$B,'2026 Approved Budget'!E:E)</f>
        <v>08. VP</v>
      </c>
      <c r="AE112" s="336" t="str">
        <f>_xlfn.XLOOKUP($A112,'2026 Approved Budget'!$B:$B,'2026 Approved Budget'!F:F)</f>
        <v>Head PV</v>
      </c>
      <c r="AF112" s="338">
        <f>_xlfn.XLOOKUP($A112,'2026 Approved Budget'!$B:$B,'2026 Approved Budget'!H:H)</f>
        <v>45684</v>
      </c>
      <c r="AG112" s="254"/>
    </row>
    <row r="113" spans="1:33" s="27" customFormat="1" ht="30" hidden="1" customHeight="1" x14ac:dyDescent="0.2">
      <c r="A113" s="239">
        <v>1235</v>
      </c>
      <c r="B113" s="269" t="s">
        <v>77</v>
      </c>
      <c r="C113" s="240" t="s">
        <v>405</v>
      </c>
      <c r="D113" s="240" t="s">
        <v>409</v>
      </c>
      <c r="E113" s="241" t="s">
        <v>34</v>
      </c>
      <c r="F113" s="243" t="s">
        <v>58</v>
      </c>
      <c r="G113" s="242" t="s">
        <v>410</v>
      </c>
      <c r="H113" s="243" t="s">
        <v>50</v>
      </c>
      <c r="I113" s="241"/>
      <c r="J113" s="241"/>
      <c r="K113" s="247" t="s">
        <v>114</v>
      </c>
      <c r="L113" s="241" t="s">
        <v>39</v>
      </c>
      <c r="M113" s="241"/>
      <c r="N113" s="240" t="s">
        <v>411</v>
      </c>
      <c r="O113" s="246">
        <v>10220</v>
      </c>
      <c r="P113" s="241" t="s">
        <v>109</v>
      </c>
      <c r="Q113" s="270" t="s">
        <v>412</v>
      </c>
      <c r="R113" s="271"/>
      <c r="S113" s="240"/>
      <c r="T113" s="245" t="s">
        <v>111</v>
      </c>
      <c r="U113" s="245"/>
      <c r="V113" s="242"/>
      <c r="W113" s="332" t="s">
        <v>43</v>
      </c>
      <c r="X113" s="103" t="s">
        <v>43</v>
      </c>
      <c r="Y113" s="336" t="s">
        <v>44</v>
      </c>
      <c r="Z113" s="337" t="s">
        <v>45</v>
      </c>
      <c r="AA113" s="336" t="str">
        <f>_xlfn.XLOOKUP($A113,'2026 Approved Budget'!$B:$B,'2026 Approved Budget'!C:C)</f>
        <v>230 Pharmacovigilance</v>
      </c>
      <c r="AB113" s="332" t="s">
        <v>46</v>
      </c>
      <c r="AC113" s="336" t="str">
        <f>_xlfn.XLOOKUP($A113,'2026 Approved Budget'!$B:$B,'2026 Approved Budget'!D:D)</f>
        <v>Brian Burns</v>
      </c>
      <c r="AD113" s="336" t="str">
        <f>_xlfn.XLOOKUP($A113,'2026 Approved Budget'!$B:$B,'2026 Approved Budget'!E:E)</f>
        <v>06. Sr. Director</v>
      </c>
      <c r="AE113" s="336" t="str">
        <f>_xlfn.XLOOKUP($A113,'2026 Approved Budget'!$B:$B,'2026 Approved Budget'!F:F)</f>
        <v>Senior Director, Pharmacovigilance Functional Excellence and Inspection Readiness</v>
      </c>
      <c r="AF113" s="338">
        <f>_xlfn.XLOOKUP($A113,'2026 Approved Budget'!$B:$B,'2026 Approved Budget'!H:H)</f>
        <v>45810</v>
      </c>
      <c r="AG113" s="254"/>
    </row>
    <row r="114" spans="1:33" s="27" customFormat="1" ht="30" hidden="1" customHeight="1" x14ac:dyDescent="0.2">
      <c r="A114" s="239">
        <v>5122</v>
      </c>
      <c r="B114" s="240" t="s">
        <v>77</v>
      </c>
      <c r="C114" s="240" t="s">
        <v>405</v>
      </c>
      <c r="D114" s="245" t="s">
        <v>409</v>
      </c>
      <c r="E114" s="241" t="s">
        <v>34</v>
      </c>
      <c r="F114" s="241" t="s">
        <v>98</v>
      </c>
      <c r="G114" s="270" t="s">
        <v>413</v>
      </c>
      <c r="H114" s="243" t="s">
        <v>50</v>
      </c>
      <c r="I114" s="241"/>
      <c r="J114" s="241"/>
      <c r="K114" s="247" t="s">
        <v>71</v>
      </c>
      <c r="L114" s="241" t="s">
        <v>39</v>
      </c>
      <c r="M114" s="246" t="s">
        <v>52</v>
      </c>
      <c r="N114" s="245" t="s">
        <v>414</v>
      </c>
      <c r="O114" s="246">
        <v>10357</v>
      </c>
      <c r="P114" s="241" t="s">
        <v>132</v>
      </c>
      <c r="Q114" s="240" t="s">
        <v>415</v>
      </c>
      <c r="R114" s="240" t="s">
        <v>416</v>
      </c>
      <c r="S114" s="245" t="s">
        <v>417</v>
      </c>
      <c r="T114" s="245" t="s">
        <v>418</v>
      </c>
      <c r="U114" s="277" t="s">
        <v>120</v>
      </c>
      <c r="V114" s="270"/>
      <c r="W114" s="332" t="s">
        <v>43</v>
      </c>
      <c r="X114" s="332" t="s">
        <v>43</v>
      </c>
      <c r="Y114" s="336" t="s">
        <v>44</v>
      </c>
      <c r="Z114" s="337" t="s">
        <v>45</v>
      </c>
      <c r="AA114" s="336" t="str">
        <f>_xlfn.XLOOKUP($A114,'2026 Approved Budget'!$B:$B,'2026 Approved Budget'!C:C)</f>
        <v>230 Pharmacovigilance</v>
      </c>
      <c r="AB114" s="332" t="s">
        <v>46</v>
      </c>
      <c r="AC114" s="336" t="str">
        <f>_xlfn.XLOOKUP($A114,'2026 Approved Budget'!$B:$B,'2026 Approved Budget'!D:D)</f>
        <v>TBD</v>
      </c>
      <c r="AD114" s="336" t="str">
        <f>_xlfn.XLOOKUP($A114,'2026 Approved Budget'!$B:$B,'2026 Approved Budget'!E:E)</f>
        <v>05. Director</v>
      </c>
      <c r="AE114" s="336" t="str">
        <f>_xlfn.XLOOKUP($A114,'2026 Approved Budget'!$B:$B,'2026 Approved Budget'!F:F)</f>
        <v>Director, PV Scientist</v>
      </c>
      <c r="AF114" s="338">
        <f>_xlfn.XLOOKUP($A114,'2026 Approved Budget'!$B:$B,'2026 Approved Budget'!H:H)</f>
        <v>46096</v>
      </c>
      <c r="AG114" s="254" t="s">
        <v>419</v>
      </c>
    </row>
    <row r="115" spans="1:33" s="27" customFormat="1" ht="30" hidden="1" customHeight="1" x14ac:dyDescent="0.2">
      <c r="A115" s="239">
        <v>5121</v>
      </c>
      <c r="B115" s="240" t="s">
        <v>77</v>
      </c>
      <c r="C115" s="240" t="s">
        <v>405</v>
      </c>
      <c r="D115" s="245" t="s">
        <v>420</v>
      </c>
      <c r="E115" s="241" t="s">
        <v>34</v>
      </c>
      <c r="F115" s="241" t="s">
        <v>138</v>
      </c>
      <c r="G115" s="242" t="s">
        <v>421</v>
      </c>
      <c r="H115" s="243" t="s">
        <v>50</v>
      </c>
      <c r="I115" s="241"/>
      <c r="J115" s="241"/>
      <c r="K115" s="247" t="s">
        <v>61</v>
      </c>
      <c r="L115" s="241" t="s">
        <v>39</v>
      </c>
      <c r="M115" s="246" t="s">
        <v>52</v>
      </c>
      <c r="N115" s="245" t="s">
        <v>422</v>
      </c>
      <c r="O115" s="246">
        <v>10327</v>
      </c>
      <c r="P115" s="241" t="s">
        <v>109</v>
      </c>
      <c r="Q115" s="240" t="s">
        <v>423</v>
      </c>
      <c r="R115" s="240" t="s">
        <v>424</v>
      </c>
      <c r="S115" s="245" t="s">
        <v>425</v>
      </c>
      <c r="T115" s="245" t="s">
        <v>426</v>
      </c>
      <c r="U115" s="245"/>
      <c r="V115" s="242"/>
      <c r="W115" s="103" t="s">
        <v>165</v>
      </c>
      <c r="X115" s="332" t="s">
        <v>43</v>
      </c>
      <c r="Y115" s="336" t="s">
        <v>44</v>
      </c>
      <c r="Z115" s="337" t="s">
        <v>45</v>
      </c>
      <c r="AA115" s="336" t="str">
        <f>_xlfn.XLOOKUP($A115,'2026 Approved Budget'!$B:$B,'2026 Approved Budget'!C:C)</f>
        <v>230 Pharmacovigilance</v>
      </c>
      <c r="AB115" s="332" t="s">
        <v>46</v>
      </c>
      <c r="AC115" s="336" t="str">
        <f>_xlfn.XLOOKUP($A115,'2026 Approved Budget'!$B:$B,'2026 Approved Budget'!D:D)</f>
        <v>TBD</v>
      </c>
      <c r="AD115" s="336" t="str">
        <f>_xlfn.XLOOKUP($A115,'2026 Approved Budget'!$B:$B,'2026 Approved Budget'!E:E)</f>
        <v>05. Director</v>
      </c>
      <c r="AE115" s="336" t="str">
        <f>_xlfn.XLOOKUP($A115,'2026 Approved Budget'!$B:$B,'2026 Approved Budget'!F:F)</f>
        <v>Director, Pharmacovigilance Standards &amp; Process Compliance</v>
      </c>
      <c r="AF115" s="338">
        <f>_xlfn.XLOOKUP($A115,'2026 Approved Budget'!$B:$B,'2026 Approved Budget'!H:H)</f>
        <v>46096</v>
      </c>
      <c r="AG115" s="254" t="s">
        <v>427</v>
      </c>
    </row>
    <row r="116" spans="1:33" s="27" customFormat="1" ht="45" customHeight="1" x14ac:dyDescent="0.2">
      <c r="A116" s="239">
        <v>5403</v>
      </c>
      <c r="B116" s="248" t="s">
        <v>77</v>
      </c>
      <c r="C116" s="248" t="s">
        <v>122</v>
      </c>
      <c r="D116" s="248" t="s">
        <v>244</v>
      </c>
      <c r="E116" s="250" t="s">
        <v>80</v>
      </c>
      <c r="F116" s="239" t="s">
        <v>138</v>
      </c>
      <c r="G116" s="256" t="s">
        <v>2123</v>
      </c>
      <c r="H116" s="251" t="s">
        <v>50</v>
      </c>
      <c r="I116" s="250"/>
      <c r="J116" s="250"/>
      <c r="K116" s="253" t="s">
        <v>71</v>
      </c>
      <c r="L116" s="281"/>
      <c r="M116" s="250" t="s">
        <v>247</v>
      </c>
      <c r="N116" s="249"/>
      <c r="O116" s="239"/>
      <c r="P116" s="250" t="s">
        <v>41</v>
      </c>
      <c r="Q116" s="248"/>
      <c r="R116" s="248"/>
      <c r="S116" s="249"/>
      <c r="T116" s="249"/>
      <c r="U116" s="248"/>
      <c r="V116" s="256"/>
      <c r="W116" s="332" t="s">
        <v>86</v>
      </c>
      <c r="X116" s="332" t="s">
        <v>86</v>
      </c>
      <c r="Y116" s="332" t="s">
        <v>87</v>
      </c>
      <c r="Z116" s="332"/>
      <c r="AA116" s="336" t="e">
        <f>_xlfn.XLOOKUP($A116,'2026 Approved Budget'!$B:$B,'2026 Approved Budget'!C:C)</f>
        <v>#N/A</v>
      </c>
      <c r="AB116" s="332" t="s">
        <v>88</v>
      </c>
      <c r="AC116" s="336" t="e">
        <f>_xlfn.XLOOKUP($A116,'2026 Approved Budget'!$B:$B,'2026 Approved Budget'!D:D)</f>
        <v>#N/A</v>
      </c>
      <c r="AD116" s="336" t="e">
        <f>_xlfn.XLOOKUP($A116,'2026 Approved Budget'!$B:$B,'2026 Approved Budget'!E:E)</f>
        <v>#N/A</v>
      </c>
      <c r="AE116" s="336" t="e">
        <f>_xlfn.XLOOKUP($A116,'2026 Approved Budget'!$B:$B,'2026 Approved Budget'!F:F)</f>
        <v>#N/A</v>
      </c>
      <c r="AF116" s="338" t="e">
        <f>_xlfn.XLOOKUP($A116,'2026 Approved Budget'!$B:$B,'2026 Approved Budget'!H:H)</f>
        <v>#N/A</v>
      </c>
      <c r="AG116" s="306" t="s">
        <v>89</v>
      </c>
    </row>
    <row r="117" spans="1:33" s="27" customFormat="1" ht="135" hidden="1" customHeight="1" x14ac:dyDescent="0.2">
      <c r="A117" s="239">
        <v>1063</v>
      </c>
      <c r="B117" s="240" t="s">
        <v>77</v>
      </c>
      <c r="C117" s="240" t="s">
        <v>429</v>
      </c>
      <c r="D117" s="240" t="s">
        <v>94</v>
      </c>
      <c r="E117" s="241" t="s">
        <v>34</v>
      </c>
      <c r="F117" s="241" t="s">
        <v>105</v>
      </c>
      <c r="G117" s="242" t="s">
        <v>434</v>
      </c>
      <c r="H117" s="243" t="s">
        <v>37</v>
      </c>
      <c r="I117" s="241"/>
      <c r="J117" s="241"/>
      <c r="K117" s="247" t="s">
        <v>130</v>
      </c>
      <c r="L117" s="241" t="s">
        <v>39</v>
      </c>
      <c r="M117" s="241"/>
      <c r="N117" s="245" t="s">
        <v>435</v>
      </c>
      <c r="O117" s="246">
        <v>10146</v>
      </c>
      <c r="P117" s="241" t="s">
        <v>371</v>
      </c>
      <c r="Q117" s="240" t="s">
        <v>436</v>
      </c>
      <c r="R117" s="240"/>
      <c r="S117" s="245"/>
      <c r="T117" s="245" t="s">
        <v>111</v>
      </c>
      <c r="U117" s="245"/>
      <c r="V117" s="242"/>
      <c r="W117" s="332" t="s">
        <v>43</v>
      </c>
      <c r="X117" s="332" t="s">
        <v>43</v>
      </c>
      <c r="Y117" s="336" t="s">
        <v>44</v>
      </c>
      <c r="Z117" s="337" t="s">
        <v>45</v>
      </c>
      <c r="AA117" s="336" t="str">
        <f>_xlfn.XLOOKUP($A117,'2026 Approved Budget'!$B:$B,'2026 Approved Budget'!C:C)</f>
        <v>235 Regulatory</v>
      </c>
      <c r="AB117" s="332" t="s">
        <v>46</v>
      </c>
      <c r="AC117" s="336" t="str">
        <f>_xlfn.XLOOKUP($A117,'2026 Approved Budget'!$B:$B,'2026 Approved Budget'!D:D)</f>
        <v>Stu Heminway</v>
      </c>
      <c r="AD117" s="336" t="str">
        <f>_xlfn.XLOOKUP($A117,'2026 Approved Budget'!$B:$B,'2026 Approved Budget'!E:E)</f>
        <v>08. VP</v>
      </c>
      <c r="AE117" s="336" t="str">
        <f>_xlfn.XLOOKUP($A117,'2026 Approved Budget'!$B:$B,'2026 Approved Budget'!F:F)</f>
        <v>Head of Regulatory</v>
      </c>
      <c r="AF117" s="338">
        <f>_xlfn.XLOOKUP($A117,'2026 Approved Budget'!$B:$B,'2026 Approved Budget'!H:H)</f>
        <v>45672</v>
      </c>
      <c r="AG117" s="254"/>
    </row>
    <row r="118" spans="1:33" s="27" customFormat="1" ht="48" hidden="1" x14ac:dyDescent="0.2">
      <c r="A118" s="239">
        <v>1064</v>
      </c>
      <c r="B118" s="240" t="s">
        <v>77</v>
      </c>
      <c r="C118" s="240" t="s">
        <v>429</v>
      </c>
      <c r="D118" s="245" t="s">
        <v>430</v>
      </c>
      <c r="E118" s="241" t="s">
        <v>34</v>
      </c>
      <c r="F118" s="241" t="s">
        <v>48</v>
      </c>
      <c r="G118" s="242" t="s">
        <v>431</v>
      </c>
      <c r="H118" s="243" t="s">
        <v>37</v>
      </c>
      <c r="I118" s="241"/>
      <c r="J118" s="241"/>
      <c r="K118" s="247" t="s">
        <v>107</v>
      </c>
      <c r="L118" s="241" t="s">
        <v>39</v>
      </c>
      <c r="M118" s="241"/>
      <c r="N118" s="245" t="s">
        <v>432</v>
      </c>
      <c r="O118" s="246">
        <v>10124</v>
      </c>
      <c r="P118" s="241" t="s">
        <v>128</v>
      </c>
      <c r="Q118" s="240" t="s">
        <v>433</v>
      </c>
      <c r="R118" s="240"/>
      <c r="S118" s="245"/>
      <c r="T118" s="245" t="s">
        <v>111</v>
      </c>
      <c r="U118" s="245"/>
      <c r="V118" s="242"/>
      <c r="W118" s="332" t="s">
        <v>43</v>
      </c>
      <c r="X118" s="332" t="s">
        <v>43</v>
      </c>
      <c r="Y118" s="336" t="s">
        <v>44</v>
      </c>
      <c r="Z118" s="337" t="s">
        <v>45</v>
      </c>
      <c r="AA118" s="336" t="str">
        <f>_xlfn.XLOOKUP($A118,'2026 Approved Budget'!$B:$B,'2026 Approved Budget'!C:C)</f>
        <v>235 Regulatory</v>
      </c>
      <c r="AB118" s="332" t="s">
        <v>46</v>
      </c>
      <c r="AC118" s="336" t="str">
        <f>_xlfn.XLOOKUP($A118,'2026 Approved Budget'!$B:$B,'2026 Approved Budget'!D:D)</f>
        <v>Nicole Hilgraf</v>
      </c>
      <c r="AD118" s="336" t="str">
        <f>_xlfn.XLOOKUP($A118,'2026 Approved Budget'!$B:$B,'2026 Approved Budget'!E:E)</f>
        <v>07. Exec. Director</v>
      </c>
      <c r="AE118" s="336" t="str">
        <f>_xlfn.XLOOKUP($A118,'2026 Approved Budget'!$B:$B,'2026 Approved Budget'!F:F)</f>
        <v>Executive Director, CMC Regulatory</v>
      </c>
      <c r="AF118" s="338">
        <f>_xlfn.XLOOKUP($A118,'2026 Approved Budget'!$B:$B,'2026 Approved Budget'!H:H)</f>
        <v>45642</v>
      </c>
      <c r="AG118" s="254"/>
    </row>
    <row r="119" spans="1:33" s="27" customFormat="1" ht="135" hidden="1" customHeight="1" x14ac:dyDescent="0.2">
      <c r="A119" s="239">
        <v>1293</v>
      </c>
      <c r="B119" s="240" t="s">
        <v>77</v>
      </c>
      <c r="C119" s="240" t="s">
        <v>429</v>
      </c>
      <c r="D119" s="245" t="s">
        <v>430</v>
      </c>
      <c r="E119" s="241" t="s">
        <v>34</v>
      </c>
      <c r="F119" s="241" t="s">
        <v>58</v>
      </c>
      <c r="G119" s="242" t="s">
        <v>437</v>
      </c>
      <c r="H119" s="243" t="s">
        <v>37</v>
      </c>
      <c r="I119" s="241"/>
      <c r="J119" s="241"/>
      <c r="K119" s="247" t="s">
        <v>114</v>
      </c>
      <c r="L119" s="241" t="s">
        <v>39</v>
      </c>
      <c r="M119" s="241"/>
      <c r="N119" s="245" t="s">
        <v>438</v>
      </c>
      <c r="O119" s="246">
        <v>10199</v>
      </c>
      <c r="P119" s="241" t="s">
        <v>159</v>
      </c>
      <c r="Q119" s="240" t="s">
        <v>439</v>
      </c>
      <c r="R119" s="240"/>
      <c r="S119" s="245"/>
      <c r="T119" s="245" t="s">
        <v>111</v>
      </c>
      <c r="U119" s="245"/>
      <c r="V119" s="242"/>
      <c r="W119" s="103" t="s">
        <v>75</v>
      </c>
      <c r="X119" s="103" t="s">
        <v>43</v>
      </c>
      <c r="Y119" s="336" t="s">
        <v>44</v>
      </c>
      <c r="Z119" s="337" t="s">
        <v>45</v>
      </c>
      <c r="AA119" s="336" t="str">
        <f>_xlfn.XLOOKUP($A119,'2026 Approved Budget'!$B:$B,'2026 Approved Budget'!C:C)</f>
        <v>235 Regulatory</v>
      </c>
      <c r="AB119" s="332" t="s">
        <v>46</v>
      </c>
      <c r="AC119" s="336" t="str">
        <f>_xlfn.XLOOKUP($A119,'2026 Approved Budget'!$B:$B,'2026 Approved Budget'!D:D)</f>
        <v>Li Zhou</v>
      </c>
      <c r="AD119" s="336" t="str">
        <f>_xlfn.XLOOKUP($A119,'2026 Approved Budget'!$B:$B,'2026 Approved Budget'!E:E)</f>
        <v>05. Director</v>
      </c>
      <c r="AE119" s="336" t="str">
        <f>_xlfn.XLOOKUP($A119,'2026 Approved Budget'!$B:$B,'2026 Approved Budget'!F:F)</f>
        <v>Director, Regulatory Strategy</v>
      </c>
      <c r="AF119" s="338">
        <f>_xlfn.XLOOKUP($A119,'2026 Approved Budget'!$B:$B,'2026 Approved Budget'!H:H)</f>
        <v>45761</v>
      </c>
      <c r="AG119" s="252"/>
    </row>
    <row r="120" spans="1:33" s="27" customFormat="1" ht="15.75" hidden="1" customHeight="1" x14ac:dyDescent="0.2">
      <c r="A120" s="239">
        <v>1373</v>
      </c>
      <c r="B120" s="240" t="s">
        <v>77</v>
      </c>
      <c r="C120" s="240" t="s">
        <v>429</v>
      </c>
      <c r="D120" s="245" t="s">
        <v>430</v>
      </c>
      <c r="E120" s="241" t="s">
        <v>34</v>
      </c>
      <c r="F120" s="246" t="s">
        <v>58</v>
      </c>
      <c r="G120" s="242" t="s">
        <v>443</v>
      </c>
      <c r="H120" s="243" t="s">
        <v>50</v>
      </c>
      <c r="I120" s="241"/>
      <c r="J120" s="241"/>
      <c r="K120" s="247" t="s">
        <v>61</v>
      </c>
      <c r="L120" s="241" t="s">
        <v>39</v>
      </c>
      <c r="M120" s="246" t="s">
        <v>52</v>
      </c>
      <c r="N120" s="245" t="s">
        <v>444</v>
      </c>
      <c r="O120" s="246"/>
      <c r="P120" s="241" t="s">
        <v>128</v>
      </c>
      <c r="Q120" s="240" t="s">
        <v>439</v>
      </c>
      <c r="R120" s="240"/>
      <c r="S120" s="245" t="s">
        <v>208</v>
      </c>
      <c r="T120" s="245"/>
      <c r="U120" s="277" t="s">
        <v>445</v>
      </c>
      <c r="V120" s="242"/>
      <c r="W120" s="332" t="s">
        <v>43</v>
      </c>
      <c r="X120" s="332" t="s">
        <v>43</v>
      </c>
      <c r="Y120" s="275" t="s">
        <v>69</v>
      </c>
      <c r="Z120" s="337" t="s">
        <v>45</v>
      </c>
      <c r="AA120" s="336" t="str">
        <f>_xlfn.XLOOKUP($A120,'2026 Approved Budget'!$B:$B,'2026 Approved Budget'!C:C)</f>
        <v>235 Regulatory</v>
      </c>
      <c r="AB120" s="332" t="s">
        <v>46</v>
      </c>
      <c r="AC120" s="336" t="str">
        <f>_xlfn.XLOOKUP($A120,'2026 Approved Budget'!$B:$B,'2026 Approved Budget'!D:D)</f>
        <v>TBD</v>
      </c>
      <c r="AD120" s="336" t="str">
        <f>_xlfn.XLOOKUP($A120,'2026 Approved Budget'!$B:$B,'2026 Approved Budget'!E:E)</f>
        <v>06. Sr. Director</v>
      </c>
      <c r="AE120" s="336" t="str">
        <f>_xlfn.XLOOKUP($A120,'2026 Approved Budget'!$B:$B,'2026 Approved Budget'!F:F)</f>
        <v>Ex/Sr Dir, Regulatory Strategy</v>
      </c>
      <c r="AF120" s="338">
        <f>_xlfn.XLOOKUP($A120,'2026 Approved Budget'!$B:$B,'2026 Approved Budget'!H:H)</f>
        <v>46096</v>
      </c>
      <c r="AG120" s="252" t="s">
        <v>446</v>
      </c>
    </row>
    <row r="121" spans="1:33" s="27" customFormat="1" ht="15.75" hidden="1" customHeight="1" x14ac:dyDescent="0.2">
      <c r="A121" s="239">
        <v>1384</v>
      </c>
      <c r="B121" s="240" t="s">
        <v>77</v>
      </c>
      <c r="C121" s="240" t="s">
        <v>429</v>
      </c>
      <c r="D121" s="245" t="s">
        <v>440</v>
      </c>
      <c r="E121" s="241" t="s">
        <v>34</v>
      </c>
      <c r="F121" s="246" t="s">
        <v>58</v>
      </c>
      <c r="G121" s="242" t="s">
        <v>453</v>
      </c>
      <c r="H121" s="243" t="s">
        <v>37</v>
      </c>
      <c r="I121" s="241"/>
      <c r="J121" s="241"/>
      <c r="K121" s="247" t="s">
        <v>61</v>
      </c>
      <c r="L121" s="246" t="s">
        <v>39</v>
      </c>
      <c r="M121" s="246" t="s">
        <v>52</v>
      </c>
      <c r="N121" s="245" t="s">
        <v>454</v>
      </c>
      <c r="O121" s="246">
        <v>10323</v>
      </c>
      <c r="P121" s="241" t="s">
        <v>159</v>
      </c>
      <c r="Q121" s="240" t="s">
        <v>433</v>
      </c>
      <c r="R121" s="240"/>
      <c r="S121" s="245"/>
      <c r="T121" s="245"/>
      <c r="U121" s="277" t="s">
        <v>445</v>
      </c>
      <c r="V121" s="242"/>
      <c r="W121" s="332" t="s">
        <v>43</v>
      </c>
      <c r="X121" s="332" t="s">
        <v>43</v>
      </c>
      <c r="Y121" s="336" t="s">
        <v>44</v>
      </c>
      <c r="Z121" s="337" t="s">
        <v>45</v>
      </c>
      <c r="AA121" s="336" t="str">
        <f>_xlfn.XLOOKUP($A121,'2026 Approved Budget'!$B:$B,'2026 Approved Budget'!C:C)</f>
        <v>235 Regulatory</v>
      </c>
      <c r="AB121" s="332" t="s">
        <v>46</v>
      </c>
      <c r="AC121" s="336" t="str">
        <f>_xlfn.XLOOKUP($A121,'2026 Approved Budget'!$B:$B,'2026 Approved Budget'!D:D)</f>
        <v>CW: Kevin Miller conversion</v>
      </c>
      <c r="AD121" s="336" t="str">
        <f>_xlfn.XLOOKUP($A121,'2026 Approved Budget'!$B:$B,'2026 Approved Budget'!E:E)</f>
        <v>06. Sr. Director</v>
      </c>
      <c r="AE121" s="336" t="str">
        <f>_xlfn.XLOOKUP($A121,'2026 Approved Budget'!$B:$B,'2026 Approved Budget'!F:F)</f>
        <v>Sr. Dir. Reg CMC (Dani)</v>
      </c>
      <c r="AF121" s="338">
        <f>_xlfn.XLOOKUP($A121,'2026 Approved Budget'!$B:$B,'2026 Approved Budget'!H:H)</f>
        <v>46096</v>
      </c>
      <c r="AG121" s="254"/>
    </row>
    <row r="122" spans="1:33" s="27" customFormat="1" ht="15.75" hidden="1" customHeight="1" x14ac:dyDescent="0.2">
      <c r="A122" s="239">
        <v>1115</v>
      </c>
      <c r="B122" s="240" t="s">
        <v>77</v>
      </c>
      <c r="C122" s="240" t="s">
        <v>429</v>
      </c>
      <c r="D122" s="245" t="s">
        <v>430</v>
      </c>
      <c r="E122" s="241" t="s">
        <v>34</v>
      </c>
      <c r="F122" s="241" t="s">
        <v>98</v>
      </c>
      <c r="G122" s="242" t="s">
        <v>672</v>
      </c>
      <c r="H122" s="243" t="s">
        <v>37</v>
      </c>
      <c r="I122" s="241"/>
      <c r="J122" s="241"/>
      <c r="K122" s="247" t="s">
        <v>38</v>
      </c>
      <c r="L122" s="241" t="s">
        <v>39</v>
      </c>
      <c r="M122" s="241"/>
      <c r="N122" s="245" t="s">
        <v>673</v>
      </c>
      <c r="O122" s="246">
        <v>10020</v>
      </c>
      <c r="P122" s="241" t="s">
        <v>41</v>
      </c>
      <c r="Q122" s="240" t="s">
        <v>674</v>
      </c>
      <c r="R122" s="240"/>
      <c r="S122" s="245"/>
      <c r="T122" s="240"/>
      <c r="U122" s="245"/>
      <c r="V122" s="242"/>
      <c r="W122" s="332" t="s">
        <v>43</v>
      </c>
      <c r="X122" s="332" t="s">
        <v>43</v>
      </c>
      <c r="Y122" s="336" t="s">
        <v>44</v>
      </c>
      <c r="Z122" s="337" t="s">
        <v>45</v>
      </c>
      <c r="AA122" s="336" t="str">
        <f>_xlfn.XLOOKUP($A122,'2026 Approved Budget'!$B:$B,'2026 Approved Budget'!C:C)</f>
        <v>240 Portfolio Management</v>
      </c>
      <c r="AB122" s="332" t="s">
        <v>46</v>
      </c>
      <c r="AC122" s="336" t="str">
        <f>_xlfn.XLOOKUP($A122,'2026 Approved Budget'!$B:$B,'2026 Approved Budget'!D:D)</f>
        <v>Dani Gilbert</v>
      </c>
      <c r="AD122" s="336" t="str">
        <f>_xlfn.XLOOKUP($A122,'2026 Approved Budget'!$B:$B,'2026 Approved Budget'!E:E)</f>
        <v>05. Director</v>
      </c>
      <c r="AE122" s="336" t="str">
        <f>_xlfn.XLOOKUP($A122,'2026 Approved Budget'!$B:$B,'2026 Approved Budget'!F:F)</f>
        <v>Director, Global Program Manager, TLA</v>
      </c>
      <c r="AF122" s="338">
        <f>_xlfn.XLOOKUP($A122,'2026 Approved Budget'!$B:$B,'2026 Approved Budget'!H:H)</f>
        <v>45488</v>
      </c>
      <c r="AG122" s="254"/>
    </row>
    <row r="123" spans="1:33" s="27" customFormat="1" ht="15.75" hidden="1" customHeight="1" x14ac:dyDescent="0.2">
      <c r="A123" s="239">
        <v>1294</v>
      </c>
      <c r="B123" s="240" t="s">
        <v>77</v>
      </c>
      <c r="C123" s="240" t="s">
        <v>429</v>
      </c>
      <c r="D123" s="245" t="s">
        <v>440</v>
      </c>
      <c r="E123" s="241" t="s">
        <v>34</v>
      </c>
      <c r="F123" s="241" t="s">
        <v>138</v>
      </c>
      <c r="G123" s="242" t="s">
        <v>441</v>
      </c>
      <c r="H123" s="243" t="s">
        <v>37</v>
      </c>
      <c r="I123" s="241"/>
      <c r="J123" s="241"/>
      <c r="K123" s="247" t="s">
        <v>114</v>
      </c>
      <c r="L123" s="241" t="s">
        <v>39</v>
      </c>
      <c r="M123" s="241"/>
      <c r="N123" s="245" t="s">
        <v>442</v>
      </c>
      <c r="O123" s="246">
        <v>10211</v>
      </c>
      <c r="P123" s="241" t="s">
        <v>132</v>
      </c>
      <c r="Q123" s="240" t="s">
        <v>433</v>
      </c>
      <c r="R123" s="240"/>
      <c r="S123" s="245"/>
      <c r="T123" s="245" t="s">
        <v>111</v>
      </c>
      <c r="U123" s="245"/>
      <c r="V123" s="242"/>
      <c r="W123" s="332" t="s">
        <v>43</v>
      </c>
      <c r="X123" s="103" t="s">
        <v>43</v>
      </c>
      <c r="Y123" s="336" t="s">
        <v>44</v>
      </c>
      <c r="Z123" s="337" t="s">
        <v>45</v>
      </c>
      <c r="AA123" s="336" t="str">
        <f>_xlfn.XLOOKUP($A123,'2026 Approved Budget'!$B:$B,'2026 Approved Budget'!C:C)</f>
        <v>235 Regulatory</v>
      </c>
      <c r="AB123" s="332" t="s">
        <v>46</v>
      </c>
      <c r="AC123" s="336" t="str">
        <f>_xlfn.XLOOKUP($A123,'2026 Approved Budget'!$B:$B,'2026 Approved Budget'!D:D)</f>
        <v>Sarika Savant</v>
      </c>
      <c r="AD123" s="336" t="str">
        <f>_xlfn.XLOOKUP($A123,'2026 Approved Budget'!$B:$B,'2026 Approved Budget'!E:E)</f>
        <v>04. AD / Staff Scientist</v>
      </c>
      <c r="AE123" s="336" t="str">
        <f>_xlfn.XLOOKUP($A123,'2026 Approved Budget'!$B:$B,'2026 Approved Budget'!F:F)</f>
        <v>Associate Director, CMC Regulatory</v>
      </c>
      <c r="AF123" s="338">
        <f>_xlfn.XLOOKUP($A123,'2026 Approved Budget'!$B:$B,'2026 Approved Budget'!H:H)</f>
        <v>45782</v>
      </c>
      <c r="AG123" s="252"/>
    </row>
    <row r="124" spans="1:33" s="27" customFormat="1" ht="30" customHeight="1" x14ac:dyDescent="0.2">
      <c r="A124" s="239">
        <v>5405</v>
      </c>
      <c r="B124" s="248" t="s">
        <v>77</v>
      </c>
      <c r="C124" s="248" t="s">
        <v>122</v>
      </c>
      <c r="D124" s="248" t="s">
        <v>244</v>
      </c>
      <c r="E124" s="250" t="s">
        <v>80</v>
      </c>
      <c r="F124" s="239" t="s">
        <v>138</v>
      </c>
      <c r="G124" s="256" t="s">
        <v>2123</v>
      </c>
      <c r="H124" s="251" t="s">
        <v>248</v>
      </c>
      <c r="I124" s="250"/>
      <c r="J124" s="250"/>
      <c r="K124" s="253" t="s">
        <v>71</v>
      </c>
      <c r="L124" s="281"/>
      <c r="M124" s="250" t="s">
        <v>247</v>
      </c>
      <c r="N124" s="249"/>
      <c r="O124" s="239"/>
      <c r="P124" s="250" t="s">
        <v>248</v>
      </c>
      <c r="Q124" s="248"/>
      <c r="R124" s="248"/>
      <c r="S124" s="249"/>
      <c r="T124" s="249"/>
      <c r="U124" s="248"/>
      <c r="V124" s="256"/>
      <c r="W124" s="332" t="s">
        <v>86</v>
      </c>
      <c r="X124" s="332" t="s">
        <v>86</v>
      </c>
      <c r="Y124" s="332" t="s">
        <v>87</v>
      </c>
      <c r="Z124" s="332"/>
      <c r="AA124" s="336" t="e">
        <f>_xlfn.XLOOKUP($A124,'2026 Approved Budget'!$B:$B,'2026 Approved Budget'!C:C)</f>
        <v>#N/A</v>
      </c>
      <c r="AB124" s="332" t="s">
        <v>88</v>
      </c>
      <c r="AC124" s="336" t="e">
        <f>_xlfn.XLOOKUP($A124,'2026 Approved Budget'!$B:$B,'2026 Approved Budget'!D:D)</f>
        <v>#N/A</v>
      </c>
      <c r="AD124" s="336" t="e">
        <f>_xlfn.XLOOKUP($A124,'2026 Approved Budget'!$B:$B,'2026 Approved Budget'!E:E)</f>
        <v>#N/A</v>
      </c>
      <c r="AE124" s="336" t="e">
        <f>_xlfn.XLOOKUP($A124,'2026 Approved Budget'!$B:$B,'2026 Approved Budget'!F:F)</f>
        <v>#N/A</v>
      </c>
      <c r="AF124" s="338" t="e">
        <f>_xlfn.XLOOKUP($A124,'2026 Approved Budget'!$B:$B,'2026 Approved Budget'!H:H)</f>
        <v>#N/A</v>
      </c>
      <c r="AG124" s="306" t="s">
        <v>89</v>
      </c>
    </row>
    <row r="125" spans="1:33" s="27" customFormat="1" ht="45" hidden="1" customHeight="1" x14ac:dyDescent="0.2">
      <c r="A125" s="239">
        <v>5147</v>
      </c>
      <c r="B125" s="248" t="s">
        <v>77</v>
      </c>
      <c r="C125" s="248" t="s">
        <v>429</v>
      </c>
      <c r="D125" s="249" t="s">
        <v>430</v>
      </c>
      <c r="E125" s="250" t="s">
        <v>464</v>
      </c>
      <c r="F125" s="250" t="s">
        <v>58</v>
      </c>
      <c r="G125" s="252" t="s">
        <v>465</v>
      </c>
      <c r="H125" s="251" t="s">
        <v>146</v>
      </c>
      <c r="I125" s="250"/>
      <c r="J125" s="250"/>
      <c r="K125" s="253" t="s">
        <v>100</v>
      </c>
      <c r="L125" s="250"/>
      <c r="M125" s="250"/>
      <c r="N125" s="249"/>
      <c r="O125" s="239"/>
      <c r="P125" s="239" t="s">
        <v>41</v>
      </c>
      <c r="Q125" s="248" t="s">
        <v>456</v>
      </c>
      <c r="R125" s="248"/>
      <c r="S125" s="249" t="s">
        <v>466</v>
      </c>
      <c r="T125" s="249"/>
      <c r="U125" s="292" t="s">
        <v>445</v>
      </c>
      <c r="V125" s="252"/>
      <c r="W125" s="335" t="s">
        <v>184</v>
      </c>
      <c r="X125" s="335" t="s">
        <v>184</v>
      </c>
      <c r="Y125" s="335" t="s">
        <v>185</v>
      </c>
      <c r="Z125" s="335"/>
      <c r="AA125" s="336" t="e">
        <f>_xlfn.XLOOKUP($A125,'2026 Approved Budget'!$B:$B,'2026 Approved Budget'!C:C)</f>
        <v>#N/A</v>
      </c>
      <c r="AB125" s="332" t="s">
        <v>185</v>
      </c>
      <c r="AC125" s="336" t="e">
        <f>_xlfn.XLOOKUP($A125,'2026 Approved Budget'!$B:$B,'2026 Approved Budget'!D:D)</f>
        <v>#N/A</v>
      </c>
      <c r="AD125" s="336" t="e">
        <f>_xlfn.XLOOKUP($A125,'2026 Approved Budget'!$B:$B,'2026 Approved Budget'!E:E)</f>
        <v>#N/A</v>
      </c>
      <c r="AE125" s="336" t="e">
        <f>_xlfn.XLOOKUP($A125,'2026 Approved Budget'!$B:$B,'2026 Approved Budget'!F:F)</f>
        <v>#N/A</v>
      </c>
      <c r="AF125" s="338" t="e">
        <f>_xlfn.XLOOKUP($A125,'2026 Approved Budget'!$B:$B,'2026 Approved Budget'!H:H)</f>
        <v>#N/A</v>
      </c>
      <c r="AG125" s="254" t="s">
        <v>467</v>
      </c>
    </row>
    <row r="126" spans="1:33" s="27" customFormat="1" ht="15.75" hidden="1" customHeight="1" x14ac:dyDescent="0.2">
      <c r="A126" s="239">
        <v>5155</v>
      </c>
      <c r="B126" s="248" t="s">
        <v>77</v>
      </c>
      <c r="C126" s="248" t="s">
        <v>429</v>
      </c>
      <c r="D126" s="249" t="s">
        <v>430</v>
      </c>
      <c r="E126" s="250" t="s">
        <v>464</v>
      </c>
      <c r="F126" s="250" t="s">
        <v>58</v>
      </c>
      <c r="G126" s="252" t="s">
        <v>468</v>
      </c>
      <c r="H126" s="251" t="s">
        <v>146</v>
      </c>
      <c r="I126" s="250"/>
      <c r="J126" s="250"/>
      <c r="K126" s="253" t="s">
        <v>100</v>
      </c>
      <c r="L126" s="250"/>
      <c r="M126" s="250"/>
      <c r="N126" s="249"/>
      <c r="O126" s="239"/>
      <c r="P126" s="239" t="s">
        <v>41</v>
      </c>
      <c r="Q126" s="248" t="s">
        <v>456</v>
      </c>
      <c r="R126" s="248"/>
      <c r="S126" s="249" t="s">
        <v>466</v>
      </c>
      <c r="T126" s="249"/>
      <c r="U126" s="292" t="s">
        <v>445</v>
      </c>
      <c r="V126" s="252"/>
      <c r="W126" s="335" t="s">
        <v>184</v>
      </c>
      <c r="X126" s="335" t="s">
        <v>184</v>
      </c>
      <c r="Y126" s="335" t="s">
        <v>185</v>
      </c>
      <c r="Z126" s="335"/>
      <c r="AA126" s="336" t="e">
        <f>_xlfn.XLOOKUP($A126,'2026 Approved Budget'!$B:$B,'2026 Approved Budget'!C:C)</f>
        <v>#N/A</v>
      </c>
      <c r="AB126" s="332" t="s">
        <v>185</v>
      </c>
      <c r="AC126" s="336" t="e">
        <f>_xlfn.XLOOKUP($A126,'2026 Approved Budget'!$B:$B,'2026 Approved Budget'!D:D)</f>
        <v>#N/A</v>
      </c>
      <c r="AD126" s="336" t="e">
        <f>_xlfn.XLOOKUP($A126,'2026 Approved Budget'!$B:$B,'2026 Approved Budget'!E:E)</f>
        <v>#N/A</v>
      </c>
      <c r="AE126" s="336" t="e">
        <f>_xlfn.XLOOKUP($A126,'2026 Approved Budget'!$B:$B,'2026 Approved Budget'!F:F)</f>
        <v>#N/A</v>
      </c>
      <c r="AF126" s="338" t="e">
        <f>_xlfn.XLOOKUP($A126,'2026 Approved Budget'!$B:$B,'2026 Approved Budget'!H:H)</f>
        <v>#N/A</v>
      </c>
      <c r="AG126" s="254" t="s">
        <v>467</v>
      </c>
    </row>
    <row r="127" spans="1:33" s="27" customFormat="1" ht="45" customHeight="1" x14ac:dyDescent="0.2">
      <c r="A127" s="239">
        <v>5404</v>
      </c>
      <c r="B127" s="248" t="s">
        <v>77</v>
      </c>
      <c r="C127" s="248" t="s">
        <v>122</v>
      </c>
      <c r="D127" s="248" t="s">
        <v>244</v>
      </c>
      <c r="E127" s="250" t="s">
        <v>80</v>
      </c>
      <c r="F127" s="239" t="s">
        <v>138</v>
      </c>
      <c r="G127" s="256" t="s">
        <v>2123</v>
      </c>
      <c r="H127" s="251" t="s">
        <v>50</v>
      </c>
      <c r="I127" s="250"/>
      <c r="J127" s="250"/>
      <c r="K127" s="253" t="s">
        <v>100</v>
      </c>
      <c r="L127" s="281"/>
      <c r="M127" s="250" t="s">
        <v>247</v>
      </c>
      <c r="N127" s="249"/>
      <c r="O127" s="239"/>
      <c r="P127" s="250" t="s">
        <v>41</v>
      </c>
      <c r="Q127" s="248"/>
      <c r="R127" s="248"/>
      <c r="S127" s="249"/>
      <c r="T127" s="249"/>
      <c r="U127" s="248"/>
      <c r="V127" s="256"/>
      <c r="W127" s="332" t="s">
        <v>86</v>
      </c>
      <c r="X127" s="332" t="s">
        <v>86</v>
      </c>
      <c r="Y127" s="332" t="s">
        <v>87</v>
      </c>
      <c r="Z127" s="332"/>
      <c r="AA127" s="336" t="e">
        <f>_xlfn.XLOOKUP($A127,'2026 Approved Budget'!$B:$B,'2026 Approved Budget'!C:C)</f>
        <v>#N/A</v>
      </c>
      <c r="AB127" s="332" t="s">
        <v>88</v>
      </c>
      <c r="AC127" s="336" t="e">
        <f>_xlfn.XLOOKUP($A127,'2026 Approved Budget'!$B:$B,'2026 Approved Budget'!D:D)</f>
        <v>#N/A</v>
      </c>
      <c r="AD127" s="336" t="e">
        <f>_xlfn.XLOOKUP($A127,'2026 Approved Budget'!$B:$B,'2026 Approved Budget'!E:E)</f>
        <v>#N/A</v>
      </c>
      <c r="AE127" s="336" t="e">
        <f>_xlfn.XLOOKUP($A127,'2026 Approved Budget'!$B:$B,'2026 Approved Budget'!F:F)</f>
        <v>#N/A</v>
      </c>
      <c r="AF127" s="338" t="e">
        <f>_xlfn.XLOOKUP($A127,'2026 Approved Budget'!$B:$B,'2026 Approved Budget'!H:H)</f>
        <v>#N/A</v>
      </c>
      <c r="AG127" s="306" t="s">
        <v>89</v>
      </c>
    </row>
    <row r="128" spans="1:33" ht="30" customHeight="1" x14ac:dyDescent="0.2">
      <c r="A128" s="239">
        <v>5356</v>
      </c>
      <c r="B128" s="248" t="s">
        <v>77</v>
      </c>
      <c r="C128" s="248" t="s">
        <v>303</v>
      </c>
      <c r="D128" s="249" t="s">
        <v>79</v>
      </c>
      <c r="E128" s="250" t="s">
        <v>34</v>
      </c>
      <c r="F128" s="251" t="s">
        <v>105</v>
      </c>
      <c r="G128" s="252" t="s">
        <v>351</v>
      </c>
      <c r="H128" s="251" t="s">
        <v>50</v>
      </c>
      <c r="I128" s="250"/>
      <c r="J128" s="250"/>
      <c r="K128" s="253" t="s">
        <v>61</v>
      </c>
      <c r="L128" s="250" t="s">
        <v>62</v>
      </c>
      <c r="M128" s="250" t="s">
        <v>83</v>
      </c>
      <c r="N128" s="249"/>
      <c r="O128" s="239"/>
      <c r="P128" s="239" t="s">
        <v>41</v>
      </c>
      <c r="Q128" s="248" t="s">
        <v>101</v>
      </c>
      <c r="R128" s="248"/>
      <c r="S128" s="249"/>
      <c r="T128" s="249"/>
      <c r="U128" s="261"/>
      <c r="V128" s="252"/>
      <c r="W128" s="332" t="s">
        <v>43</v>
      </c>
      <c r="X128" s="332" t="s">
        <v>43</v>
      </c>
      <c r="Y128" s="275" t="s">
        <v>69</v>
      </c>
      <c r="Z128" s="337" t="s">
        <v>45</v>
      </c>
      <c r="AA128" s="336" t="str">
        <f>_xlfn.XLOOKUP($A128,'2026 Approved Budget'!$B:$B,'2026 Approved Budget'!C:C)</f>
        <v>205 Executive Development</v>
      </c>
      <c r="AB128" s="336" t="s">
        <v>88</v>
      </c>
      <c r="AC128" s="336" t="str">
        <f>_xlfn.XLOOKUP($A128,'2026 Approved Budget'!$B:$B,'2026 Approved Budget'!D:D)</f>
        <v>TBD</v>
      </c>
      <c r="AD128" s="336" t="str">
        <f>_xlfn.XLOOKUP($A128,'2026 Approved Budget'!$B:$B,'2026 Approved Budget'!E:E)</f>
        <v>08. VP</v>
      </c>
      <c r="AE128" s="336" t="str">
        <f>_xlfn.XLOOKUP($A128,'2026 Approved Budget'!$B:$B,'2026 Approved Budget'!F:F)</f>
        <v>VP, Biometrics</v>
      </c>
      <c r="AF128" s="338">
        <f>_xlfn.XLOOKUP($A128,'2026 Approved Budget'!$B:$B,'2026 Approved Budget'!H:H)</f>
        <v>46096</v>
      </c>
      <c r="AG128" s="254" t="s">
        <v>223</v>
      </c>
    </row>
    <row r="129" spans="1:33" ht="30" hidden="1" customHeight="1" x14ac:dyDescent="0.2">
      <c r="A129" s="239">
        <v>5148</v>
      </c>
      <c r="B129" s="248" t="s">
        <v>77</v>
      </c>
      <c r="C129" s="248" t="s">
        <v>429</v>
      </c>
      <c r="D129" s="249" t="s">
        <v>430</v>
      </c>
      <c r="E129" s="250" t="s">
        <v>464</v>
      </c>
      <c r="F129" s="250" t="s">
        <v>98</v>
      </c>
      <c r="G129" s="252" t="s">
        <v>469</v>
      </c>
      <c r="H129" s="251" t="s">
        <v>146</v>
      </c>
      <c r="I129" s="250"/>
      <c r="J129" s="250"/>
      <c r="K129" s="253" t="s">
        <v>242</v>
      </c>
      <c r="L129" s="250"/>
      <c r="M129" s="250"/>
      <c r="N129" s="249"/>
      <c r="O129" s="239"/>
      <c r="P129" s="239" t="s">
        <v>41</v>
      </c>
      <c r="Q129" s="248" t="s">
        <v>456</v>
      </c>
      <c r="R129" s="248"/>
      <c r="S129" s="249" t="s">
        <v>466</v>
      </c>
      <c r="T129" s="249"/>
      <c r="U129" s="292" t="s">
        <v>445</v>
      </c>
      <c r="V129" s="252"/>
      <c r="W129" s="335" t="s">
        <v>184</v>
      </c>
      <c r="X129" s="335" t="s">
        <v>184</v>
      </c>
      <c r="Y129" s="335" t="s">
        <v>185</v>
      </c>
      <c r="Z129" s="335"/>
      <c r="AA129" s="336" t="e">
        <f>_xlfn.XLOOKUP($A129,'2026 Approved Budget'!$B:$B,'2026 Approved Budget'!C:C)</f>
        <v>#N/A</v>
      </c>
      <c r="AB129" s="332" t="s">
        <v>185</v>
      </c>
      <c r="AC129" s="336" t="e">
        <f>_xlfn.XLOOKUP($A129,'2026 Approved Budget'!$B:$B,'2026 Approved Budget'!D:D)</f>
        <v>#N/A</v>
      </c>
      <c r="AD129" s="336" t="e">
        <f>_xlfn.XLOOKUP($A129,'2026 Approved Budget'!$B:$B,'2026 Approved Budget'!E:E)</f>
        <v>#N/A</v>
      </c>
      <c r="AE129" s="336" t="e">
        <f>_xlfn.XLOOKUP($A129,'2026 Approved Budget'!$B:$B,'2026 Approved Budget'!F:F)</f>
        <v>#N/A</v>
      </c>
      <c r="AF129" s="338" t="e">
        <f>_xlfn.XLOOKUP($A129,'2026 Approved Budget'!$B:$B,'2026 Approved Budget'!H:H)</f>
        <v>#N/A</v>
      </c>
      <c r="AG129" s="254" t="s">
        <v>470</v>
      </c>
    </row>
    <row r="130" spans="1:33" ht="45" hidden="1" customHeight="1" x14ac:dyDescent="0.2">
      <c r="A130" s="239">
        <v>5149</v>
      </c>
      <c r="B130" s="248" t="s">
        <v>77</v>
      </c>
      <c r="C130" s="248" t="s">
        <v>429</v>
      </c>
      <c r="D130" s="249" t="s">
        <v>430</v>
      </c>
      <c r="E130" s="250" t="s">
        <v>464</v>
      </c>
      <c r="F130" s="250" t="s">
        <v>98</v>
      </c>
      <c r="G130" s="252" t="s">
        <v>471</v>
      </c>
      <c r="H130" s="251" t="s">
        <v>146</v>
      </c>
      <c r="I130" s="250"/>
      <c r="J130" s="250"/>
      <c r="K130" s="253" t="s">
        <v>242</v>
      </c>
      <c r="L130" s="250"/>
      <c r="M130" s="250"/>
      <c r="N130" s="249"/>
      <c r="O130" s="239"/>
      <c r="P130" s="239" t="s">
        <v>41</v>
      </c>
      <c r="Q130" s="248" t="s">
        <v>456</v>
      </c>
      <c r="R130" s="248"/>
      <c r="S130" s="249" t="s">
        <v>466</v>
      </c>
      <c r="T130" s="249"/>
      <c r="U130" s="292" t="s">
        <v>445</v>
      </c>
      <c r="V130" s="252"/>
      <c r="W130" s="335" t="s">
        <v>184</v>
      </c>
      <c r="X130" s="335" t="s">
        <v>184</v>
      </c>
      <c r="Y130" s="335" t="s">
        <v>185</v>
      </c>
      <c r="Z130" s="335"/>
      <c r="AA130" s="336" t="e">
        <f>_xlfn.XLOOKUP($A130,'2026 Approved Budget'!$B:$B,'2026 Approved Budget'!C:C)</f>
        <v>#N/A</v>
      </c>
      <c r="AB130" s="332" t="s">
        <v>185</v>
      </c>
      <c r="AC130" s="336" t="e">
        <f>_xlfn.XLOOKUP($A130,'2026 Approved Budget'!$B:$B,'2026 Approved Budget'!D:D)</f>
        <v>#N/A</v>
      </c>
      <c r="AD130" s="336" t="e">
        <f>_xlfn.XLOOKUP($A130,'2026 Approved Budget'!$B:$B,'2026 Approved Budget'!E:E)</f>
        <v>#N/A</v>
      </c>
      <c r="AE130" s="336" t="e">
        <f>_xlfn.XLOOKUP($A130,'2026 Approved Budget'!$B:$B,'2026 Approved Budget'!F:F)</f>
        <v>#N/A</v>
      </c>
      <c r="AF130" s="338" t="e">
        <f>_xlfn.XLOOKUP($A130,'2026 Approved Budget'!$B:$B,'2026 Approved Budget'!H:H)</f>
        <v>#N/A</v>
      </c>
      <c r="AG130" s="254" t="s">
        <v>472</v>
      </c>
    </row>
    <row r="131" spans="1:33" ht="45" hidden="1" customHeight="1" x14ac:dyDescent="0.2">
      <c r="A131" s="239">
        <v>5156</v>
      </c>
      <c r="B131" s="248" t="s">
        <v>77</v>
      </c>
      <c r="C131" s="248" t="s">
        <v>429</v>
      </c>
      <c r="D131" s="249" t="s">
        <v>430</v>
      </c>
      <c r="E131" s="250" t="s">
        <v>464</v>
      </c>
      <c r="F131" s="250" t="s">
        <v>98</v>
      </c>
      <c r="G131" s="252" t="s">
        <v>473</v>
      </c>
      <c r="H131" s="251" t="s">
        <v>146</v>
      </c>
      <c r="I131" s="250"/>
      <c r="J131" s="250"/>
      <c r="K131" s="253" t="s">
        <v>242</v>
      </c>
      <c r="L131" s="250"/>
      <c r="M131" s="250"/>
      <c r="N131" s="249"/>
      <c r="O131" s="239"/>
      <c r="P131" s="239" t="s">
        <v>41</v>
      </c>
      <c r="Q131" s="248" t="s">
        <v>456</v>
      </c>
      <c r="R131" s="248"/>
      <c r="S131" s="249" t="s">
        <v>466</v>
      </c>
      <c r="T131" s="249"/>
      <c r="U131" s="292" t="s">
        <v>445</v>
      </c>
      <c r="V131" s="252"/>
      <c r="W131" s="335" t="s">
        <v>184</v>
      </c>
      <c r="X131" s="335" t="s">
        <v>184</v>
      </c>
      <c r="Y131" s="335" t="s">
        <v>185</v>
      </c>
      <c r="Z131" s="335"/>
      <c r="AA131" s="336" t="e">
        <f>_xlfn.XLOOKUP($A131,'2026 Approved Budget'!$B:$B,'2026 Approved Budget'!C:C)</f>
        <v>#N/A</v>
      </c>
      <c r="AB131" s="332" t="s">
        <v>185</v>
      </c>
      <c r="AC131" s="336" t="e">
        <f>_xlfn.XLOOKUP($A131,'2026 Approved Budget'!$B:$B,'2026 Approved Budget'!D:D)</f>
        <v>#N/A</v>
      </c>
      <c r="AD131" s="336" t="e">
        <f>_xlfn.XLOOKUP($A131,'2026 Approved Budget'!$B:$B,'2026 Approved Budget'!E:E)</f>
        <v>#N/A</v>
      </c>
      <c r="AE131" s="336" t="e">
        <f>_xlfn.XLOOKUP($A131,'2026 Approved Budget'!$B:$B,'2026 Approved Budget'!F:F)</f>
        <v>#N/A</v>
      </c>
      <c r="AF131" s="338" t="e">
        <f>_xlfn.XLOOKUP($A131,'2026 Approved Budget'!$B:$B,'2026 Approved Budget'!H:H)</f>
        <v>#N/A</v>
      </c>
      <c r="AG131" s="254" t="s">
        <v>470</v>
      </c>
    </row>
    <row r="132" spans="1:33" ht="45" hidden="1" customHeight="1" x14ac:dyDescent="0.2">
      <c r="A132" s="239">
        <v>5157</v>
      </c>
      <c r="B132" s="248" t="s">
        <v>77</v>
      </c>
      <c r="C132" s="248" t="s">
        <v>429</v>
      </c>
      <c r="D132" s="249" t="s">
        <v>430</v>
      </c>
      <c r="E132" s="250" t="s">
        <v>464</v>
      </c>
      <c r="F132" s="250" t="s">
        <v>98</v>
      </c>
      <c r="G132" s="252" t="s">
        <v>474</v>
      </c>
      <c r="H132" s="251" t="s">
        <v>146</v>
      </c>
      <c r="I132" s="250"/>
      <c r="J132" s="250"/>
      <c r="K132" s="253" t="s">
        <v>242</v>
      </c>
      <c r="L132" s="250"/>
      <c r="M132" s="250"/>
      <c r="N132" s="249"/>
      <c r="O132" s="239"/>
      <c r="P132" s="239" t="s">
        <v>41</v>
      </c>
      <c r="Q132" s="248" t="s">
        <v>456</v>
      </c>
      <c r="R132" s="248"/>
      <c r="S132" s="249" t="s">
        <v>466</v>
      </c>
      <c r="T132" s="249"/>
      <c r="U132" s="292" t="s">
        <v>445</v>
      </c>
      <c r="V132" s="252"/>
      <c r="W132" s="335" t="s">
        <v>184</v>
      </c>
      <c r="X132" s="335" t="s">
        <v>184</v>
      </c>
      <c r="Y132" s="335" t="s">
        <v>185</v>
      </c>
      <c r="Z132" s="335"/>
      <c r="AA132" s="336" t="e">
        <f>_xlfn.XLOOKUP($A132,'2026 Approved Budget'!$B:$B,'2026 Approved Budget'!C:C)</f>
        <v>#N/A</v>
      </c>
      <c r="AB132" s="332" t="s">
        <v>185</v>
      </c>
      <c r="AC132" s="336" t="e">
        <f>_xlfn.XLOOKUP($A132,'2026 Approved Budget'!$B:$B,'2026 Approved Budget'!D:D)</f>
        <v>#N/A</v>
      </c>
      <c r="AD132" s="336" t="e">
        <f>_xlfn.XLOOKUP($A132,'2026 Approved Budget'!$B:$B,'2026 Approved Budget'!E:E)</f>
        <v>#N/A</v>
      </c>
      <c r="AE132" s="336" t="e">
        <f>_xlfn.XLOOKUP($A132,'2026 Approved Budget'!$B:$B,'2026 Approved Budget'!F:F)</f>
        <v>#N/A</v>
      </c>
      <c r="AF132" s="338" t="e">
        <f>_xlfn.XLOOKUP($A132,'2026 Approved Budget'!$B:$B,'2026 Approved Budget'!H:H)</f>
        <v>#N/A</v>
      </c>
      <c r="AG132" s="254" t="s">
        <v>472</v>
      </c>
    </row>
    <row r="133" spans="1:33" ht="45" customHeight="1" x14ac:dyDescent="0.2">
      <c r="A133" s="239">
        <v>1023</v>
      </c>
      <c r="B133" s="248" t="s">
        <v>77</v>
      </c>
      <c r="C133" s="248" t="s">
        <v>303</v>
      </c>
      <c r="D133" s="249" t="s">
        <v>325</v>
      </c>
      <c r="E133" s="250" t="s">
        <v>34</v>
      </c>
      <c r="F133" s="251" t="s">
        <v>138</v>
      </c>
      <c r="G133" s="252" t="s">
        <v>356</v>
      </c>
      <c r="H133" s="251" t="s">
        <v>37</v>
      </c>
      <c r="I133" s="250"/>
      <c r="J133" s="250"/>
      <c r="K133" s="253" t="s">
        <v>61</v>
      </c>
      <c r="L133" s="239" t="s">
        <v>62</v>
      </c>
      <c r="M133" s="239" t="s">
        <v>240</v>
      </c>
      <c r="N133" s="248"/>
      <c r="O133" s="239"/>
      <c r="P133" s="250" t="s">
        <v>128</v>
      </c>
      <c r="Q133" s="248" t="s">
        <v>357</v>
      </c>
      <c r="R133" s="248"/>
      <c r="S133" s="248" t="s">
        <v>358</v>
      </c>
      <c r="T133" s="248"/>
      <c r="U133" s="261" t="s">
        <v>120</v>
      </c>
      <c r="V133" s="252"/>
      <c r="W133" s="332" t="s">
        <v>43</v>
      </c>
      <c r="X133" s="332" t="s">
        <v>43</v>
      </c>
      <c r="Y133" s="275" t="s">
        <v>69</v>
      </c>
      <c r="Z133" s="337" t="s">
        <v>45</v>
      </c>
      <c r="AA133" s="336" t="str">
        <f>_xlfn.XLOOKUP($A133,'2026 Approved Budget'!$B:$B,'2026 Approved Budget'!C:C)</f>
        <v>220 Clinical Data Science</v>
      </c>
      <c r="AB133" s="332" t="s">
        <v>46</v>
      </c>
      <c r="AC133" s="336" t="str">
        <f>_xlfn.XLOOKUP($A133,'2026 Approved Budget'!$B:$B,'2026 Approved Budget'!D:D)</f>
        <v>TBD</v>
      </c>
      <c r="AD133" s="336" t="str">
        <f>_xlfn.XLOOKUP($A133,'2026 Approved Budget'!$B:$B,'2026 Approved Budget'!E:E)</f>
        <v>04. AD / Staff Scientist</v>
      </c>
      <c r="AE133" s="336" t="str">
        <f>_xlfn.XLOOKUP($A133,'2026 Approved Budget'!$B:$B,'2026 Approved Budget'!F:F)</f>
        <v>Associate Director, Statistical Programming Dani</v>
      </c>
      <c r="AF133" s="338">
        <f>_xlfn.XLOOKUP($A133,'2026 Approved Budget'!$B:$B,'2026 Approved Budget'!H:H)</f>
        <v>46096</v>
      </c>
      <c r="AG133" s="254"/>
    </row>
    <row r="134" spans="1:33" ht="45" hidden="1" customHeight="1" x14ac:dyDescent="0.2">
      <c r="A134" s="239">
        <v>1233</v>
      </c>
      <c r="B134" s="240" t="s">
        <v>290</v>
      </c>
      <c r="C134" s="240" t="s">
        <v>291</v>
      </c>
      <c r="D134" s="240" t="s">
        <v>33</v>
      </c>
      <c r="E134" s="241" t="s">
        <v>34</v>
      </c>
      <c r="F134" s="243" t="s">
        <v>105</v>
      </c>
      <c r="G134" s="242" t="s">
        <v>292</v>
      </c>
      <c r="H134" s="243" t="s">
        <v>50</v>
      </c>
      <c r="I134" s="241"/>
      <c r="J134" s="241"/>
      <c r="K134" s="247" t="s">
        <v>130</v>
      </c>
      <c r="L134" s="241" t="s">
        <v>39</v>
      </c>
      <c r="M134" s="241"/>
      <c r="N134" s="245" t="s">
        <v>293</v>
      </c>
      <c r="O134" s="246">
        <v>10126</v>
      </c>
      <c r="P134" s="243" t="s">
        <v>128</v>
      </c>
      <c r="Q134" s="245" t="s">
        <v>294</v>
      </c>
      <c r="R134" s="245"/>
      <c r="S134" s="245"/>
      <c r="T134" s="245" t="s">
        <v>111</v>
      </c>
      <c r="U134" s="245"/>
      <c r="V134" s="242"/>
      <c r="W134" s="332" t="s">
        <v>43</v>
      </c>
      <c r="X134" s="332" t="s">
        <v>43</v>
      </c>
      <c r="Y134" s="336" t="s">
        <v>44</v>
      </c>
      <c r="Z134" s="337" t="s">
        <v>45</v>
      </c>
      <c r="AA134" s="336" t="str">
        <f>_xlfn.XLOOKUP($A134,'2026 Approved Budget'!$B:$B,'2026 Approved Budget'!C:C)</f>
        <v>216 Program Management</v>
      </c>
      <c r="AB134" s="336" t="s">
        <v>46</v>
      </c>
      <c r="AC134" s="336" t="str">
        <f>_xlfn.XLOOKUP($A134,'2026 Approved Budget'!$B:$B,'2026 Approved Budget'!D:D)</f>
        <v>Vicky Ballard</v>
      </c>
      <c r="AD134" s="336" t="str">
        <f>_xlfn.XLOOKUP($A134,'2026 Approved Budget'!$B:$B,'2026 Approved Budget'!E:E)</f>
        <v>08. VP</v>
      </c>
      <c r="AE134" s="336" t="str">
        <f>_xlfn.XLOOKUP($A134,'2026 Approved Budget'!$B:$B,'2026 Approved Budget'!F:F)</f>
        <v>Vice President, Development Launch Leader</v>
      </c>
      <c r="AF134" s="338">
        <f>_xlfn.XLOOKUP($A134,'2026 Approved Budget'!$B:$B,'2026 Approved Budget'!H:H)</f>
        <v>45678</v>
      </c>
      <c r="AG134" s="254"/>
    </row>
    <row r="135" spans="1:33" ht="45" hidden="1" customHeight="1" x14ac:dyDescent="0.2">
      <c r="A135" s="239">
        <v>1049</v>
      </c>
      <c r="B135" s="240" t="s">
        <v>290</v>
      </c>
      <c r="C135" s="240" t="s">
        <v>291</v>
      </c>
      <c r="D135" s="240" t="s">
        <v>33</v>
      </c>
      <c r="E135" s="241" t="s">
        <v>34</v>
      </c>
      <c r="F135" s="243" t="s">
        <v>105</v>
      </c>
      <c r="G135" s="242" t="s">
        <v>292</v>
      </c>
      <c r="H135" s="243" t="s">
        <v>50</v>
      </c>
      <c r="I135" s="241"/>
      <c r="J135" s="241"/>
      <c r="K135" s="247" t="s">
        <v>130</v>
      </c>
      <c r="L135" s="241" t="s">
        <v>39</v>
      </c>
      <c r="M135" s="241"/>
      <c r="N135" s="240" t="s">
        <v>295</v>
      </c>
      <c r="O135" s="246">
        <v>10128</v>
      </c>
      <c r="P135" s="243" t="s">
        <v>159</v>
      </c>
      <c r="Q135" s="245" t="s">
        <v>296</v>
      </c>
      <c r="R135" s="245"/>
      <c r="S135" s="240"/>
      <c r="T135" s="240"/>
      <c r="U135" s="240"/>
      <c r="V135" s="242"/>
      <c r="W135" s="332" t="s">
        <v>43</v>
      </c>
      <c r="X135" s="332" t="s">
        <v>43</v>
      </c>
      <c r="Y135" s="336" t="s">
        <v>44</v>
      </c>
      <c r="Z135" s="337" t="s">
        <v>45</v>
      </c>
      <c r="AA135" s="336" t="str">
        <f>_xlfn.XLOOKUP($A135,'2026 Approved Budget'!$B:$B,'2026 Approved Budget'!C:C)</f>
        <v>216 Program Management</v>
      </c>
      <c r="AB135" s="336" t="s">
        <v>46</v>
      </c>
      <c r="AC135" s="336" t="str">
        <f>_xlfn.XLOOKUP($A135,'2026 Approved Budget'!$B:$B,'2026 Approved Budget'!D:D)</f>
        <v>Cheryl Abbas</v>
      </c>
      <c r="AD135" s="336" t="str">
        <f>_xlfn.XLOOKUP($A135,'2026 Approved Budget'!$B:$B,'2026 Approved Budget'!E:E)</f>
        <v>08. VP</v>
      </c>
      <c r="AE135" s="336" t="str">
        <f>_xlfn.XLOOKUP($A135,'2026 Approved Budget'!$B:$B,'2026 Approved Budget'!F:F)</f>
        <v>Vice President, Development Launch Leader</v>
      </c>
      <c r="AF135" s="338">
        <f>_xlfn.XLOOKUP($A135,'2026 Approved Budget'!$B:$B,'2026 Approved Budget'!H:H)</f>
        <v>45698</v>
      </c>
      <c r="AG135" s="252"/>
    </row>
    <row r="136" spans="1:33" ht="30" hidden="1" customHeight="1" x14ac:dyDescent="0.2">
      <c r="A136" s="239">
        <v>1026</v>
      </c>
      <c r="B136" s="240" t="s">
        <v>290</v>
      </c>
      <c r="C136" s="240" t="s">
        <v>291</v>
      </c>
      <c r="D136" s="245" t="s">
        <v>33</v>
      </c>
      <c r="E136" s="241" t="s">
        <v>34</v>
      </c>
      <c r="F136" s="243" t="s">
        <v>105</v>
      </c>
      <c r="G136" s="242" t="s">
        <v>292</v>
      </c>
      <c r="H136" s="243" t="s">
        <v>50</v>
      </c>
      <c r="I136" s="241"/>
      <c r="J136" s="241"/>
      <c r="K136" s="241" t="s">
        <v>61</v>
      </c>
      <c r="L136" s="241" t="s">
        <v>39</v>
      </c>
      <c r="M136" s="241"/>
      <c r="N136" s="245" t="s">
        <v>297</v>
      </c>
      <c r="O136" s="246">
        <v>10322</v>
      </c>
      <c r="P136" s="243" t="s">
        <v>132</v>
      </c>
      <c r="Q136" s="245" t="s">
        <v>298</v>
      </c>
      <c r="R136" s="245"/>
      <c r="S136" s="245" t="s">
        <v>299</v>
      </c>
      <c r="T136" s="245" t="s">
        <v>111</v>
      </c>
      <c r="U136" s="277" t="s">
        <v>151</v>
      </c>
      <c r="V136" s="242"/>
      <c r="W136" s="332" t="s">
        <v>43</v>
      </c>
      <c r="X136" s="103" t="s">
        <v>43</v>
      </c>
      <c r="Y136" s="336" t="s">
        <v>44</v>
      </c>
      <c r="Z136" s="337" t="s">
        <v>45</v>
      </c>
      <c r="AA136" s="336" t="str">
        <f>_xlfn.XLOOKUP($A136,'2026 Approved Budget'!$B:$B,'2026 Approved Budget'!C:C)</f>
        <v>216 Program Management</v>
      </c>
      <c r="AB136" s="336" t="s">
        <v>46</v>
      </c>
      <c r="AC136" s="336" t="str">
        <f>_xlfn.XLOOKUP($A136,'2026 Approved Budget'!$B:$B,'2026 Approved Budget'!D:D)</f>
        <v>BACKFILL: Ajay Ahuja</v>
      </c>
      <c r="AD136" s="336" t="str">
        <f>_xlfn.XLOOKUP($A136,'2026 Approved Budget'!$B:$B,'2026 Approved Budget'!E:E)</f>
        <v>08. VP</v>
      </c>
      <c r="AE136" s="336" t="str">
        <f>_xlfn.XLOOKUP($A136,'2026 Approved Budget'!$B:$B,'2026 Approved Budget'!F:F)</f>
        <v>Vice President, Development Launch Leader (TLA)</v>
      </c>
      <c r="AF136" s="338">
        <f>_xlfn.XLOOKUP($A136,'2026 Approved Budget'!$B:$B,'2026 Approved Budget'!H:H)</f>
        <v>46006</v>
      </c>
      <c r="AG136" s="254"/>
    </row>
    <row r="137" spans="1:33" ht="15" hidden="1" customHeight="1" x14ac:dyDescent="0.2">
      <c r="A137" s="260">
        <v>5354</v>
      </c>
      <c r="B137" s="240" t="s">
        <v>290</v>
      </c>
      <c r="C137" s="240" t="s">
        <v>667</v>
      </c>
      <c r="D137" s="245" t="s">
        <v>668</v>
      </c>
      <c r="E137" s="241" t="s">
        <v>34</v>
      </c>
      <c r="F137" s="243" t="s">
        <v>58</v>
      </c>
      <c r="G137" s="267" t="s">
        <v>669</v>
      </c>
      <c r="H137" s="243" t="s">
        <v>50</v>
      </c>
      <c r="I137" s="241"/>
      <c r="J137" s="241"/>
      <c r="K137" s="247" t="s">
        <v>51</v>
      </c>
      <c r="L137" s="243" t="s">
        <v>39</v>
      </c>
      <c r="M137" s="243"/>
      <c r="N137" s="245" t="s">
        <v>670</v>
      </c>
      <c r="O137" s="276">
        <v>10249</v>
      </c>
      <c r="P137" s="241" t="s">
        <v>132</v>
      </c>
      <c r="Q137" s="240" t="s">
        <v>671</v>
      </c>
      <c r="R137" s="240"/>
      <c r="S137" s="245"/>
      <c r="T137" s="240"/>
      <c r="U137" s="245"/>
      <c r="V137" s="267"/>
      <c r="W137" s="332" t="s">
        <v>43</v>
      </c>
      <c r="X137" s="332" t="s">
        <v>43</v>
      </c>
      <c r="Y137" s="336" t="s">
        <v>44</v>
      </c>
      <c r="Z137" s="337" t="s">
        <v>45</v>
      </c>
      <c r="AA137" s="336" t="str">
        <f>_xlfn.XLOOKUP($A137,'2026 Approved Budget'!$B:$B,'2026 Approved Budget'!C:C)</f>
        <v>240 Portfolio Management</v>
      </c>
      <c r="AB137" s="332" t="s">
        <v>46</v>
      </c>
      <c r="AC137" s="336" t="str">
        <f>_xlfn.XLOOKUP($A137,'2026 Approved Budget'!$B:$B,'2026 Approved Budget'!D:D)</f>
        <v>Akhil Agrawal</v>
      </c>
      <c r="AD137" s="336" t="str">
        <f>_xlfn.XLOOKUP($A137,'2026 Approved Budget'!$B:$B,'2026 Approved Budget'!E:E)</f>
        <v>06. Sr. Director</v>
      </c>
      <c r="AE137" s="336" t="str">
        <f>_xlfn.XLOOKUP($A137,'2026 Approved Budget'!$B:$B,'2026 Approved Budget'!F:F)</f>
        <v>Sr. Director, Global Program Manager, TLA</v>
      </c>
      <c r="AF137" s="338">
        <f>_xlfn.XLOOKUP($A137,'2026 Approved Budget'!$B:$B,'2026 Approved Budget'!H:H)</f>
        <v>45929</v>
      </c>
      <c r="AG137" s="252"/>
    </row>
    <row r="138" spans="1:33" ht="75" hidden="1" customHeight="1" x14ac:dyDescent="0.2">
      <c r="A138" s="239">
        <v>1116</v>
      </c>
      <c r="B138" s="240" t="s">
        <v>290</v>
      </c>
      <c r="C138" s="240" t="s">
        <v>667</v>
      </c>
      <c r="D138" s="245" t="s">
        <v>144</v>
      </c>
      <c r="E138" s="241" t="s">
        <v>34</v>
      </c>
      <c r="F138" s="241" t="s">
        <v>98</v>
      </c>
      <c r="G138" s="242" t="s">
        <v>669</v>
      </c>
      <c r="H138" s="243" t="s">
        <v>37</v>
      </c>
      <c r="I138" s="241"/>
      <c r="J138" s="241"/>
      <c r="K138" s="244" t="s">
        <v>38</v>
      </c>
      <c r="L138" s="241" t="s">
        <v>39</v>
      </c>
      <c r="M138" s="241"/>
      <c r="N138" s="245" t="s">
        <v>675</v>
      </c>
      <c r="O138" s="246">
        <v>10075</v>
      </c>
      <c r="P138" s="241" t="s">
        <v>159</v>
      </c>
      <c r="Q138" s="240" t="s">
        <v>671</v>
      </c>
      <c r="R138" s="240"/>
      <c r="S138" s="245"/>
      <c r="T138" s="240"/>
      <c r="U138" s="245"/>
      <c r="V138" s="242"/>
      <c r="W138" s="332" t="s">
        <v>43</v>
      </c>
      <c r="X138" s="332" t="s">
        <v>43</v>
      </c>
      <c r="Y138" s="336" t="s">
        <v>44</v>
      </c>
      <c r="Z138" s="337" t="s">
        <v>45</v>
      </c>
      <c r="AA138" s="336" t="str">
        <f>_xlfn.XLOOKUP($A138,'2026 Approved Budget'!$B:$B,'2026 Approved Budget'!C:C)</f>
        <v>240 Portfolio Management</v>
      </c>
      <c r="AB138" s="332" t="s">
        <v>46</v>
      </c>
      <c r="AC138" s="336" t="str">
        <f>_xlfn.XLOOKUP($A138,'2026 Approved Budget'!$B:$B,'2026 Approved Budget'!D:D)</f>
        <v>Lee Anna Ghosh</v>
      </c>
      <c r="AD138" s="336" t="str">
        <f>_xlfn.XLOOKUP($A138,'2026 Approved Budget'!$B:$B,'2026 Approved Budget'!E:E)</f>
        <v>05. Director</v>
      </c>
      <c r="AE138" s="336" t="str">
        <f>_xlfn.XLOOKUP($A138,'2026 Approved Budget'!$B:$B,'2026 Approved Budget'!F:F)</f>
        <v>Global Program Manager, ATA</v>
      </c>
      <c r="AF138" s="338">
        <f>_xlfn.XLOOKUP($A138,'2026 Approved Budget'!$B:$B,'2026 Approved Budget'!H:H)</f>
        <v>45544</v>
      </c>
      <c r="AG138" s="254"/>
    </row>
    <row r="139" spans="1:33" ht="30" hidden="1" customHeight="1" x14ac:dyDescent="0.2">
      <c r="A139" s="239">
        <v>1117</v>
      </c>
      <c r="B139" s="240" t="s">
        <v>290</v>
      </c>
      <c r="C139" s="240" t="s">
        <v>667</v>
      </c>
      <c r="D139" s="245" t="s">
        <v>676</v>
      </c>
      <c r="E139" s="241" t="s">
        <v>34</v>
      </c>
      <c r="F139" s="241" t="s">
        <v>98</v>
      </c>
      <c r="G139" s="242" t="s">
        <v>672</v>
      </c>
      <c r="H139" s="243" t="s">
        <v>37</v>
      </c>
      <c r="I139" s="241"/>
      <c r="J139" s="241"/>
      <c r="K139" s="247" t="s">
        <v>130</v>
      </c>
      <c r="L139" s="241" t="s">
        <v>39</v>
      </c>
      <c r="M139" s="241"/>
      <c r="N139" s="245" t="s">
        <v>677</v>
      </c>
      <c r="O139" s="246">
        <v>10178</v>
      </c>
      <c r="P139" s="241" t="s">
        <v>128</v>
      </c>
      <c r="Q139" s="240" t="s">
        <v>671</v>
      </c>
      <c r="R139" s="240"/>
      <c r="S139" s="245"/>
      <c r="T139" s="245" t="s">
        <v>142</v>
      </c>
      <c r="U139" s="245"/>
      <c r="V139" s="242"/>
      <c r="W139" s="332" t="s">
        <v>43</v>
      </c>
      <c r="X139" s="332" t="s">
        <v>43</v>
      </c>
      <c r="Y139" s="336" t="s">
        <v>44</v>
      </c>
      <c r="Z139" s="337" t="s">
        <v>45</v>
      </c>
      <c r="AA139" s="336" t="str">
        <f>_xlfn.XLOOKUP($A139,'2026 Approved Budget'!$B:$B,'2026 Approved Budget'!C:C)</f>
        <v>240 Portfolio Management</v>
      </c>
      <c r="AB139" s="332" t="s">
        <v>46</v>
      </c>
      <c r="AC139" s="336" t="str">
        <f>_xlfn.XLOOKUP($A139,'2026 Approved Budget'!$B:$B,'2026 Approved Budget'!D:D)</f>
        <v>Kate Costello</v>
      </c>
      <c r="AD139" s="336" t="str">
        <f>_xlfn.XLOOKUP($A139,'2026 Approved Budget'!$B:$B,'2026 Approved Budget'!E:E)</f>
        <v>05. Director</v>
      </c>
      <c r="AE139" s="336" t="str">
        <f>_xlfn.XLOOKUP($A139,'2026 Approved Budget'!$B:$B,'2026 Approved Budget'!F:F)</f>
        <v>Global Program Manager, Dani</v>
      </c>
      <c r="AF139" s="338">
        <f>_xlfn.XLOOKUP($A139,'2026 Approved Budget'!$B:$B,'2026 Approved Budget'!H:H)</f>
        <v>45740</v>
      </c>
      <c r="AG139" s="254"/>
    </row>
    <row r="140" spans="1:33" ht="15" hidden="1" customHeight="1" x14ac:dyDescent="0.2">
      <c r="A140" s="239">
        <v>1376</v>
      </c>
      <c r="B140" s="240" t="s">
        <v>290</v>
      </c>
      <c r="C140" s="272" t="s">
        <v>143</v>
      </c>
      <c r="D140" s="245" t="s">
        <v>144</v>
      </c>
      <c r="E140" s="241" t="s">
        <v>34</v>
      </c>
      <c r="F140" s="246" t="s">
        <v>48</v>
      </c>
      <c r="G140" s="242" t="s">
        <v>145</v>
      </c>
      <c r="H140" s="246" t="s">
        <v>146</v>
      </c>
      <c r="I140" s="241"/>
      <c r="J140" s="241"/>
      <c r="K140" s="247" t="s">
        <v>51</v>
      </c>
      <c r="L140" s="246" t="s">
        <v>39</v>
      </c>
      <c r="M140" s="246" t="s">
        <v>52</v>
      </c>
      <c r="N140" s="245" t="s">
        <v>147</v>
      </c>
      <c r="O140" s="246">
        <v>10282</v>
      </c>
      <c r="P140" s="241" t="s">
        <v>128</v>
      </c>
      <c r="Q140" s="240" t="s">
        <v>148</v>
      </c>
      <c r="R140" s="240"/>
      <c r="S140" s="245"/>
      <c r="T140" s="245"/>
      <c r="U140" s="293" t="s">
        <v>120</v>
      </c>
      <c r="V140" s="242"/>
      <c r="W140" s="103" t="s">
        <v>75</v>
      </c>
      <c r="X140" s="332" t="s">
        <v>43</v>
      </c>
      <c r="Y140" s="336" t="s">
        <v>44</v>
      </c>
      <c r="Z140" s="337" t="s">
        <v>45</v>
      </c>
      <c r="AA140" s="336" t="str">
        <f>_xlfn.XLOOKUP($A140,'2026 Approved Budget'!$B:$B,'2026 Approved Budget'!C:C)</f>
        <v>505 Medical Affairs</v>
      </c>
      <c r="AB140" s="336" t="s">
        <v>46</v>
      </c>
      <c r="AC140" s="336" t="str">
        <f>_xlfn.XLOOKUP($A140,'2026 Approved Budget'!$B:$B,'2026 Approved Budget'!D:D)</f>
        <v>Kristin Williamson</v>
      </c>
      <c r="AD140" s="336" t="str">
        <f>_xlfn.XLOOKUP($A140,'2026 Approved Budget'!$B:$B,'2026 Approved Budget'!E:E)</f>
        <v>05. Director</v>
      </c>
      <c r="AE140" s="336" t="str">
        <f>_xlfn.XLOOKUP($A140,'2026 Approved Budget'!$B:$B,'2026 Approved Budget'!F:F)</f>
        <v>Medical Disease Area Lead, Dani</v>
      </c>
      <c r="AF140" s="338">
        <f>_xlfn.XLOOKUP($A140,'2026 Approved Budget'!$B:$B,'2026 Approved Budget'!H:H)</f>
        <v>45929</v>
      </c>
      <c r="AG140" s="252"/>
    </row>
    <row r="141" spans="1:33" ht="45" hidden="1" customHeight="1" x14ac:dyDescent="0.2">
      <c r="A141" s="239">
        <v>1060</v>
      </c>
      <c r="B141" s="269" t="s">
        <v>290</v>
      </c>
      <c r="C141" s="240" t="s">
        <v>143</v>
      </c>
      <c r="D141" s="240" t="s">
        <v>144</v>
      </c>
      <c r="E141" s="241" t="s">
        <v>34</v>
      </c>
      <c r="F141" s="243" t="s">
        <v>48</v>
      </c>
      <c r="G141" s="242" t="s">
        <v>149</v>
      </c>
      <c r="H141" s="246" t="s">
        <v>146</v>
      </c>
      <c r="I141" s="241"/>
      <c r="J141" s="241"/>
      <c r="K141" s="247" t="s">
        <v>61</v>
      </c>
      <c r="L141" s="241" t="s">
        <v>39</v>
      </c>
      <c r="M141" s="246" t="s">
        <v>52</v>
      </c>
      <c r="N141" s="245" t="s">
        <v>150</v>
      </c>
      <c r="O141" s="246">
        <v>10316</v>
      </c>
      <c r="P141" s="241" t="s">
        <v>132</v>
      </c>
      <c r="Q141" s="240" t="s">
        <v>148</v>
      </c>
      <c r="R141" s="240"/>
      <c r="S141" s="245"/>
      <c r="T141" s="245"/>
      <c r="U141" s="277" t="s">
        <v>151</v>
      </c>
      <c r="V141" s="242"/>
      <c r="W141" s="103" t="s">
        <v>75</v>
      </c>
      <c r="X141" s="103" t="s">
        <v>43</v>
      </c>
      <c r="Y141" s="336" t="s">
        <v>44</v>
      </c>
      <c r="Z141" s="337" t="s">
        <v>45</v>
      </c>
      <c r="AA141" s="336" t="str">
        <f>_xlfn.XLOOKUP($A141,'2026 Approved Budget'!$B:$B,'2026 Approved Budget'!C:C)</f>
        <v>505 Medical Affairs</v>
      </c>
      <c r="AB141" s="336" t="s">
        <v>46</v>
      </c>
      <c r="AC141" s="336" t="str">
        <f>_xlfn.XLOOKUP($A141,'2026 Approved Budget'!$B:$B,'2026 Approved Budget'!D:D)</f>
        <v>BACKFILL: Avery Ince TID: 1060</v>
      </c>
      <c r="AD141" s="336" t="str">
        <f>_xlfn.XLOOKUP($A141,'2026 Approved Budget'!$B:$B,'2026 Approved Budget'!E:E)</f>
        <v>06. Sr. Director</v>
      </c>
      <c r="AE141" s="336" t="str">
        <f>_xlfn.XLOOKUP($A141,'2026 Approved Budget'!$B:$B,'2026 Approved Budget'!F:F)</f>
        <v>Medical Disease Area Lead, TLA</v>
      </c>
      <c r="AF141" s="338">
        <f>_xlfn.XLOOKUP($A141,'2026 Approved Budget'!$B:$B,'2026 Approved Budget'!H:H)</f>
        <v>46006</v>
      </c>
      <c r="AG141" s="252" t="s">
        <v>152</v>
      </c>
    </row>
    <row r="142" spans="1:33" ht="45" hidden="1" customHeight="1" x14ac:dyDescent="0.2">
      <c r="A142" s="239">
        <v>1383</v>
      </c>
      <c r="B142" s="240" t="s">
        <v>290</v>
      </c>
      <c r="C142" s="272" t="s">
        <v>143</v>
      </c>
      <c r="D142" s="245" t="s">
        <v>144</v>
      </c>
      <c r="E142" s="241" t="s">
        <v>34</v>
      </c>
      <c r="F142" s="243" t="s">
        <v>58</v>
      </c>
      <c r="G142" s="242" t="s">
        <v>153</v>
      </c>
      <c r="H142" s="246" t="s">
        <v>146</v>
      </c>
      <c r="I142" s="241"/>
      <c r="J142" s="241"/>
      <c r="K142" s="247" t="s">
        <v>51</v>
      </c>
      <c r="L142" s="246" t="s">
        <v>39</v>
      </c>
      <c r="M142" s="246" t="s">
        <v>52</v>
      </c>
      <c r="N142" s="245" t="s">
        <v>154</v>
      </c>
      <c r="O142" s="246">
        <v>10277</v>
      </c>
      <c r="P142" s="241" t="s">
        <v>109</v>
      </c>
      <c r="Q142" s="240" t="s">
        <v>155</v>
      </c>
      <c r="R142" s="240"/>
      <c r="S142" s="245"/>
      <c r="T142" s="245"/>
      <c r="U142" s="245"/>
      <c r="V142" s="242"/>
      <c r="W142" s="332" t="s">
        <v>43</v>
      </c>
      <c r="X142" s="332" t="s">
        <v>43</v>
      </c>
      <c r="Y142" s="336" t="s">
        <v>44</v>
      </c>
      <c r="Z142" s="337" t="s">
        <v>45</v>
      </c>
      <c r="AA142" s="336" t="str">
        <f>_xlfn.XLOOKUP($A142,'2026 Approved Budget'!$B:$B,'2026 Approved Budget'!C:C)</f>
        <v>505 Medical Affairs</v>
      </c>
      <c r="AB142" s="336" t="s">
        <v>46</v>
      </c>
      <c r="AC142" s="336" t="str">
        <f>_xlfn.XLOOKUP($A142,'2026 Approved Budget'!$B:$B,'2026 Approved Budget'!D:D)</f>
        <v>Ruchir Shah</v>
      </c>
      <c r="AD142" s="336" t="str">
        <f>_xlfn.XLOOKUP($A142,'2026 Approved Budget'!$B:$B,'2026 Approved Budget'!E:E)</f>
        <v>06. Sr. Director</v>
      </c>
      <c r="AE142" s="336" t="str">
        <f>_xlfn.XLOOKUP($A142,'2026 Approved Budget'!$B:$B,'2026 Approved Budget'!F:F)</f>
        <v>Sr. Director, Scientific Communications</v>
      </c>
      <c r="AF142" s="338">
        <f>_xlfn.XLOOKUP($A142,'2026 Approved Budget'!$B:$B,'2026 Approved Budget'!H:H)</f>
        <v>45922</v>
      </c>
      <c r="AG142" s="252"/>
    </row>
    <row r="143" spans="1:33" ht="30" hidden="1" customHeight="1" x14ac:dyDescent="0.2">
      <c r="A143" s="239">
        <v>1246</v>
      </c>
      <c r="B143" s="269" t="s">
        <v>290</v>
      </c>
      <c r="C143" s="240" t="s">
        <v>143</v>
      </c>
      <c r="D143" s="240" t="s">
        <v>144</v>
      </c>
      <c r="E143" s="241" t="s">
        <v>34</v>
      </c>
      <c r="F143" s="243" t="s">
        <v>58</v>
      </c>
      <c r="G143" s="242" t="s">
        <v>475</v>
      </c>
      <c r="H143" s="246" t="s">
        <v>146</v>
      </c>
      <c r="I143" s="241"/>
      <c r="J143" s="241"/>
      <c r="K143" s="247" t="s">
        <v>124</v>
      </c>
      <c r="L143" s="241" t="s">
        <v>39</v>
      </c>
      <c r="M143" s="246" t="s">
        <v>52</v>
      </c>
      <c r="N143" s="240" t="s">
        <v>476</v>
      </c>
      <c r="O143" s="246">
        <v>10284</v>
      </c>
      <c r="P143" s="241" t="s">
        <v>159</v>
      </c>
      <c r="Q143" s="240" t="s">
        <v>148</v>
      </c>
      <c r="R143" s="240"/>
      <c r="S143" s="240"/>
      <c r="T143" s="245"/>
      <c r="U143" s="277" t="s">
        <v>151</v>
      </c>
      <c r="V143" s="242"/>
      <c r="W143" s="103" t="s">
        <v>75</v>
      </c>
      <c r="X143" s="332" t="s">
        <v>43</v>
      </c>
      <c r="Y143" s="336" t="s">
        <v>44</v>
      </c>
      <c r="Z143" s="337" t="s">
        <v>45</v>
      </c>
      <c r="AA143" s="336" t="str">
        <f>_xlfn.XLOOKUP($A143,'2026 Approved Budget'!$B:$B,'2026 Approved Budget'!C:C)</f>
        <v>505 Medical Affairs</v>
      </c>
      <c r="AB143" s="336" t="s">
        <v>46</v>
      </c>
      <c r="AC143" s="336" t="str">
        <f>_xlfn.XLOOKUP($A143,'2026 Approved Budget'!$B:$B,'2026 Approved Budget'!D:D)</f>
        <v>Kelly Lynn Kleeman</v>
      </c>
      <c r="AD143" s="336" t="str">
        <f>_xlfn.XLOOKUP($A143,'2026 Approved Budget'!$B:$B,'2026 Approved Budget'!E:E)</f>
        <v>05. Director</v>
      </c>
      <c r="AE143" s="336" t="str">
        <f>_xlfn.XLOOKUP($A143,'2026 Approved Budget'!$B:$B,'2026 Approved Budget'!F:F)</f>
        <v>Medical Disease Area Lead, ATA</v>
      </c>
      <c r="AF143" s="338">
        <f>_xlfn.XLOOKUP($A143,'2026 Approved Budget'!$B:$B,'2026 Approved Budget'!H:H)</f>
        <v>45964</v>
      </c>
      <c r="AG143" s="252"/>
    </row>
    <row r="144" spans="1:33" ht="30" hidden="1" customHeight="1" x14ac:dyDescent="0.2">
      <c r="A144" s="239">
        <v>1375</v>
      </c>
      <c r="B144" s="240" t="s">
        <v>290</v>
      </c>
      <c r="C144" s="272" t="s">
        <v>143</v>
      </c>
      <c r="D144" s="245" t="s">
        <v>144</v>
      </c>
      <c r="E144" s="241" t="s">
        <v>34</v>
      </c>
      <c r="F144" s="241" t="s">
        <v>98</v>
      </c>
      <c r="G144" s="242" t="s">
        <v>477</v>
      </c>
      <c r="H144" s="246" t="s">
        <v>146</v>
      </c>
      <c r="I144" s="241"/>
      <c r="J144" s="241"/>
      <c r="K144" s="247" t="s">
        <v>51</v>
      </c>
      <c r="L144" s="241" t="s">
        <v>39</v>
      </c>
      <c r="M144" s="246" t="s">
        <v>52</v>
      </c>
      <c r="N144" s="245" t="s">
        <v>478</v>
      </c>
      <c r="O144" s="246">
        <v>10257</v>
      </c>
      <c r="P144" s="241" t="s">
        <v>109</v>
      </c>
      <c r="Q144" s="240"/>
      <c r="R144" s="240"/>
      <c r="S144" s="245"/>
      <c r="T144" s="245"/>
      <c r="U144" s="245"/>
      <c r="V144" s="242"/>
      <c r="W144" s="332" t="s">
        <v>43</v>
      </c>
      <c r="X144" s="332" t="s">
        <v>43</v>
      </c>
      <c r="Y144" s="336" t="s">
        <v>44</v>
      </c>
      <c r="Z144" s="337" t="s">
        <v>45</v>
      </c>
      <c r="AA144" s="336" t="str">
        <f>_xlfn.XLOOKUP($A144,'2026 Approved Budget'!$B:$B,'2026 Approved Budget'!C:C)</f>
        <v>505 Medical Affairs</v>
      </c>
      <c r="AB144" s="336" t="s">
        <v>46</v>
      </c>
      <c r="AC144" s="336" t="str">
        <f>_xlfn.XLOOKUP($A144,'2026 Approved Budget'!$B:$B,'2026 Approved Budget'!D:D)</f>
        <v>Wendy Borsari</v>
      </c>
      <c r="AD144" s="336" t="str">
        <f>_xlfn.XLOOKUP($A144,'2026 Approved Budget'!$B:$B,'2026 Approved Budget'!E:E)</f>
        <v>05. Director</v>
      </c>
      <c r="AE144" s="336" t="str">
        <f>_xlfn.XLOOKUP($A144,'2026 Approved Budget'!$B:$B,'2026 Approved Budget'!F:F)</f>
        <v>Patient Advocacy</v>
      </c>
      <c r="AF144" s="338">
        <f>_xlfn.XLOOKUP($A144,'2026 Approved Budget'!$B:$B,'2026 Approved Budget'!H:H)</f>
        <v>45873</v>
      </c>
      <c r="AG144" s="252"/>
    </row>
    <row r="145" spans="1:33" ht="15" customHeight="1" x14ac:dyDescent="0.2">
      <c r="A145" s="239">
        <v>1400</v>
      </c>
      <c r="B145" s="248" t="s">
        <v>290</v>
      </c>
      <c r="C145" s="248" t="s">
        <v>143</v>
      </c>
      <c r="D145" s="249" t="s">
        <v>144</v>
      </c>
      <c r="E145" s="250" t="s">
        <v>34</v>
      </c>
      <c r="F145" s="250" t="s">
        <v>98</v>
      </c>
      <c r="G145" s="252" t="s">
        <v>479</v>
      </c>
      <c r="H145" s="251" t="s">
        <v>50</v>
      </c>
      <c r="I145" s="250">
        <v>1</v>
      </c>
      <c r="J145" s="250"/>
      <c r="K145" s="250" t="s">
        <v>61</v>
      </c>
      <c r="L145" s="250" t="s">
        <v>481</v>
      </c>
      <c r="M145" s="239" t="s">
        <v>52</v>
      </c>
      <c r="N145" s="249" t="s">
        <v>482</v>
      </c>
      <c r="O145" s="239"/>
      <c r="P145" s="250" t="s">
        <v>109</v>
      </c>
      <c r="Q145" s="248" t="s">
        <v>483</v>
      </c>
      <c r="R145" s="248" t="s">
        <v>484</v>
      </c>
      <c r="S145" s="249" t="s">
        <v>485</v>
      </c>
      <c r="T145" s="249" t="s">
        <v>486</v>
      </c>
      <c r="U145" s="249"/>
      <c r="V145" s="252"/>
      <c r="W145" s="332" t="s">
        <v>43</v>
      </c>
      <c r="X145" s="103" t="s">
        <v>43</v>
      </c>
      <c r="Y145" s="275" t="s">
        <v>69</v>
      </c>
      <c r="Z145" s="337" t="s">
        <v>45</v>
      </c>
      <c r="AA145" s="336" t="str">
        <f>_xlfn.XLOOKUP($A145,'2026 Approved Budget'!$B:$B,'2026 Approved Budget'!C:C)</f>
        <v>505 Medical Affairs</v>
      </c>
      <c r="AB145" s="336" t="s">
        <v>46</v>
      </c>
      <c r="AC145" s="336" t="str">
        <f>_xlfn.XLOOKUP($A145,'2026 Approved Budget'!$B:$B,'2026 Approved Budget'!D:D)</f>
        <v>Formerly ID 5112</v>
      </c>
      <c r="AD145" s="336" t="str">
        <f>_xlfn.XLOOKUP($A145,'2026 Approved Budget'!$B:$B,'2026 Approved Budget'!E:E)</f>
        <v>05. Director</v>
      </c>
      <c r="AE145" s="336" t="str">
        <f>_xlfn.XLOOKUP($A145,'2026 Approved Budget'!$B:$B,'2026 Approved Budget'!F:F)</f>
        <v>Director, Medical Strategy &amp; Operations</v>
      </c>
      <c r="AF145" s="338">
        <f>_xlfn.XLOOKUP($A145,'2026 Approved Budget'!$B:$B,'2026 Approved Budget'!H:H)</f>
        <v>46006</v>
      </c>
      <c r="AG145" s="252" t="s">
        <v>487</v>
      </c>
    </row>
    <row r="146" spans="1:33" s="202" customFormat="1" ht="15" customHeight="1" x14ac:dyDescent="0.2">
      <c r="A146" s="239">
        <v>5361</v>
      </c>
      <c r="B146" s="248" t="s">
        <v>290</v>
      </c>
      <c r="C146" s="248" t="s">
        <v>143</v>
      </c>
      <c r="D146" s="249" t="s">
        <v>144</v>
      </c>
      <c r="E146" s="250" t="s">
        <v>34</v>
      </c>
      <c r="F146" s="251" t="s">
        <v>105</v>
      </c>
      <c r="G146" s="252" t="s">
        <v>490</v>
      </c>
      <c r="H146" s="251" t="s">
        <v>50</v>
      </c>
      <c r="I146" s="250">
        <v>10</v>
      </c>
      <c r="J146" s="250"/>
      <c r="K146" s="253" t="s">
        <v>100</v>
      </c>
      <c r="L146" s="250"/>
      <c r="M146" s="250"/>
      <c r="N146" s="249"/>
      <c r="O146" s="239"/>
      <c r="P146" s="239" t="s">
        <v>41</v>
      </c>
      <c r="Q146" s="248" t="s">
        <v>101</v>
      </c>
      <c r="R146" s="248"/>
      <c r="S146" s="249"/>
      <c r="T146" s="249"/>
      <c r="U146" s="261"/>
      <c r="V146" s="252"/>
      <c r="W146" s="332" t="s">
        <v>43</v>
      </c>
      <c r="X146" s="332" t="s">
        <v>103</v>
      </c>
      <c r="Y146" s="275" t="s">
        <v>69</v>
      </c>
      <c r="Z146" s="337" t="s">
        <v>45</v>
      </c>
      <c r="AA146" s="336" t="str">
        <f>_xlfn.XLOOKUP($A146,'2026 Approved Budget'!$B:$B,'2026 Approved Budget'!C:C)</f>
        <v>205 Executive Development</v>
      </c>
      <c r="AB146" s="336" t="s">
        <v>88</v>
      </c>
      <c r="AC146" s="336" t="str">
        <f>_xlfn.XLOOKUP($A146,'2026 Approved Budget'!$B:$B,'2026 Approved Budget'!D:D)</f>
        <v>TBD</v>
      </c>
      <c r="AD146" s="336" t="str">
        <f>_xlfn.XLOOKUP($A146,'2026 Approved Budget'!$B:$B,'2026 Approved Budget'!E:E)</f>
        <v>08. VP</v>
      </c>
      <c r="AE146" s="336" t="str">
        <f>_xlfn.XLOOKUP($A146,'2026 Approved Budget'!$B:$B,'2026 Approved Budget'!F:F)</f>
        <v>VP, Head of Medical Affairs</v>
      </c>
      <c r="AF146" s="338">
        <f>_xlfn.XLOOKUP($A146,'2026 Approved Budget'!$B:$B,'2026 Approved Budget'!H:H)</f>
        <v>46371</v>
      </c>
      <c r="AG146" s="254" t="s">
        <v>427</v>
      </c>
    </row>
    <row r="147" spans="1:33" s="202" customFormat="1" ht="15" customHeight="1" x14ac:dyDescent="0.2">
      <c r="A147" s="239">
        <v>5396</v>
      </c>
      <c r="B147" s="248" t="s">
        <v>290</v>
      </c>
      <c r="C147" s="248" t="s">
        <v>143</v>
      </c>
      <c r="D147" s="249" t="s">
        <v>144</v>
      </c>
      <c r="E147" s="250" t="s">
        <v>80</v>
      </c>
      <c r="F147" s="251" t="s">
        <v>48</v>
      </c>
      <c r="G147" s="256" t="s">
        <v>498</v>
      </c>
      <c r="H147" s="250" t="s">
        <v>146</v>
      </c>
      <c r="I147" s="250">
        <v>1</v>
      </c>
      <c r="J147" s="250"/>
      <c r="K147" s="253" t="s">
        <v>71</v>
      </c>
      <c r="L147" s="250"/>
      <c r="M147" s="250" t="s">
        <v>247</v>
      </c>
      <c r="N147" s="249"/>
      <c r="O147" s="239"/>
      <c r="P147" s="239" t="s">
        <v>41</v>
      </c>
      <c r="Q147" s="248" t="s">
        <v>499</v>
      </c>
      <c r="R147" s="248"/>
      <c r="S147" s="249"/>
      <c r="T147" s="249"/>
      <c r="U147" s="292"/>
      <c r="V147" s="256"/>
      <c r="W147" s="332" t="s">
        <v>86</v>
      </c>
      <c r="X147" s="332" t="s">
        <v>86</v>
      </c>
      <c r="Y147" s="332" t="s">
        <v>87</v>
      </c>
      <c r="Z147" s="332"/>
      <c r="AA147" s="336" t="e">
        <f>_xlfn.XLOOKUP($A147,'2026 Approved Budget'!$B:$B,'2026 Approved Budget'!C:C)</f>
        <v>#N/A</v>
      </c>
      <c r="AB147" s="336" t="s">
        <v>88</v>
      </c>
      <c r="AC147" s="336" t="e">
        <f>_xlfn.XLOOKUP($A147,'2026 Approved Budget'!$B:$B,'2026 Approved Budget'!D:D)</f>
        <v>#N/A</v>
      </c>
      <c r="AD147" s="336" t="e">
        <f>_xlfn.XLOOKUP($A147,'2026 Approved Budget'!$B:$B,'2026 Approved Budget'!E:E)</f>
        <v>#N/A</v>
      </c>
      <c r="AE147" s="336" t="e">
        <f>_xlfn.XLOOKUP($A147,'2026 Approved Budget'!$B:$B,'2026 Approved Budget'!F:F)</f>
        <v>#N/A</v>
      </c>
      <c r="AF147" s="338" t="e">
        <f>_xlfn.XLOOKUP($A147,'2026 Approved Budget'!$B:$B,'2026 Approved Budget'!H:H)</f>
        <v>#N/A</v>
      </c>
      <c r="AG147" s="254" t="s">
        <v>89</v>
      </c>
    </row>
    <row r="148" spans="1:33" s="202" customFormat="1" ht="15" customHeight="1" x14ac:dyDescent="0.2">
      <c r="A148" s="239">
        <v>5397</v>
      </c>
      <c r="B148" s="248" t="s">
        <v>290</v>
      </c>
      <c r="C148" s="248" t="s">
        <v>143</v>
      </c>
      <c r="D148" s="249" t="s">
        <v>144</v>
      </c>
      <c r="E148" s="250" t="s">
        <v>80</v>
      </c>
      <c r="F148" s="251" t="s">
        <v>58</v>
      </c>
      <c r="G148" s="256" t="s">
        <v>504</v>
      </c>
      <c r="H148" s="250" t="s">
        <v>146</v>
      </c>
      <c r="I148" s="250">
        <v>2</v>
      </c>
      <c r="J148" s="250"/>
      <c r="K148" s="253" t="s">
        <v>71</v>
      </c>
      <c r="L148" s="250"/>
      <c r="M148" s="250" t="s">
        <v>247</v>
      </c>
      <c r="N148" s="249"/>
      <c r="O148" s="239"/>
      <c r="P148" s="239" t="s">
        <v>41</v>
      </c>
      <c r="Q148" s="248"/>
      <c r="R148" s="248"/>
      <c r="S148" s="249"/>
      <c r="T148" s="249"/>
      <c r="U148" s="292"/>
      <c r="V148" s="256"/>
      <c r="W148" s="332" t="s">
        <v>86</v>
      </c>
      <c r="X148" s="332" t="s">
        <v>86</v>
      </c>
      <c r="Y148" s="332" t="s">
        <v>87</v>
      </c>
      <c r="Z148" s="332"/>
      <c r="AA148" s="336" t="e">
        <f>_xlfn.XLOOKUP($A148,'2026 Approved Budget'!$B:$B,'2026 Approved Budget'!C:C)</f>
        <v>#N/A</v>
      </c>
      <c r="AB148" s="336" t="s">
        <v>88</v>
      </c>
      <c r="AC148" s="336" t="e">
        <f>_xlfn.XLOOKUP($A148,'2026 Approved Budget'!$B:$B,'2026 Approved Budget'!D:D)</f>
        <v>#N/A</v>
      </c>
      <c r="AD148" s="336" t="e">
        <f>_xlfn.XLOOKUP($A148,'2026 Approved Budget'!$B:$B,'2026 Approved Budget'!E:E)</f>
        <v>#N/A</v>
      </c>
      <c r="AE148" s="336" t="e">
        <f>_xlfn.XLOOKUP($A148,'2026 Approved Budget'!$B:$B,'2026 Approved Budget'!F:F)</f>
        <v>#N/A</v>
      </c>
      <c r="AF148" s="338" t="e">
        <f>_xlfn.XLOOKUP($A148,'2026 Approved Budget'!$B:$B,'2026 Approved Budget'!H:H)</f>
        <v>#N/A</v>
      </c>
      <c r="AG148" s="254" t="s">
        <v>89</v>
      </c>
    </row>
    <row r="149" spans="1:33" s="202" customFormat="1" ht="15" customHeight="1" x14ac:dyDescent="0.2">
      <c r="A149" s="239">
        <v>5398</v>
      </c>
      <c r="B149" s="248" t="s">
        <v>290</v>
      </c>
      <c r="C149" s="248" t="s">
        <v>143</v>
      </c>
      <c r="D149" s="249" t="s">
        <v>144</v>
      </c>
      <c r="E149" s="250" t="s">
        <v>80</v>
      </c>
      <c r="F149" s="251" t="s">
        <v>58</v>
      </c>
      <c r="G149" s="256" t="s">
        <v>504</v>
      </c>
      <c r="H149" s="250" t="s">
        <v>146</v>
      </c>
      <c r="I149" s="250">
        <v>3</v>
      </c>
      <c r="J149" s="250"/>
      <c r="K149" s="253" t="s">
        <v>71</v>
      </c>
      <c r="L149" s="250"/>
      <c r="M149" s="250" t="s">
        <v>247</v>
      </c>
      <c r="N149" s="249"/>
      <c r="O149" s="239"/>
      <c r="P149" s="239" t="s">
        <v>41</v>
      </c>
      <c r="Q149" s="248"/>
      <c r="R149" s="248"/>
      <c r="S149" s="249"/>
      <c r="T149" s="249"/>
      <c r="U149" s="292"/>
      <c r="V149" s="256"/>
      <c r="W149" s="332" t="s">
        <v>86</v>
      </c>
      <c r="X149" s="332" t="s">
        <v>86</v>
      </c>
      <c r="Y149" s="332" t="s">
        <v>87</v>
      </c>
      <c r="Z149" s="332"/>
      <c r="AA149" s="336" t="e">
        <f>_xlfn.XLOOKUP($A149,'2026 Approved Budget'!$B:$B,'2026 Approved Budget'!C:C)</f>
        <v>#N/A</v>
      </c>
      <c r="AB149" s="336" t="s">
        <v>88</v>
      </c>
      <c r="AC149" s="336" t="e">
        <f>_xlfn.XLOOKUP($A149,'2026 Approved Budget'!$B:$B,'2026 Approved Budget'!D:D)</f>
        <v>#N/A</v>
      </c>
      <c r="AD149" s="336" t="e">
        <f>_xlfn.XLOOKUP($A149,'2026 Approved Budget'!$B:$B,'2026 Approved Budget'!E:E)</f>
        <v>#N/A</v>
      </c>
      <c r="AE149" s="336" t="e">
        <f>_xlfn.XLOOKUP($A149,'2026 Approved Budget'!$B:$B,'2026 Approved Budget'!F:F)</f>
        <v>#N/A</v>
      </c>
      <c r="AF149" s="338" t="e">
        <f>_xlfn.XLOOKUP($A149,'2026 Approved Budget'!$B:$B,'2026 Approved Budget'!H:H)</f>
        <v>#N/A</v>
      </c>
      <c r="AG149" s="254" t="s">
        <v>89</v>
      </c>
    </row>
    <row r="150" spans="1:33" s="202" customFormat="1" ht="15" hidden="1" customHeight="1" x14ac:dyDescent="0.2">
      <c r="A150" s="281">
        <v>5394</v>
      </c>
      <c r="B150" s="278" t="s">
        <v>290</v>
      </c>
      <c r="C150" s="248" t="s">
        <v>143</v>
      </c>
      <c r="D150" s="248" t="s">
        <v>144</v>
      </c>
      <c r="E150" s="250" t="s">
        <v>180</v>
      </c>
      <c r="F150" s="250" t="s">
        <v>98</v>
      </c>
      <c r="G150" s="252" t="s">
        <v>500</v>
      </c>
      <c r="H150" s="251" t="s">
        <v>60</v>
      </c>
      <c r="I150" s="250" t="s">
        <v>246</v>
      </c>
      <c r="J150" s="250"/>
      <c r="K150" s="253" t="s">
        <v>61</v>
      </c>
      <c r="L150" s="281"/>
      <c r="M150" s="281" t="s">
        <v>63</v>
      </c>
      <c r="N150" s="248" t="s">
        <v>501</v>
      </c>
      <c r="O150" s="281"/>
      <c r="P150" s="250" t="s">
        <v>496</v>
      </c>
      <c r="Q150" s="248" t="s">
        <v>502</v>
      </c>
      <c r="R150" s="248"/>
      <c r="S150" s="248"/>
      <c r="T150" s="248" t="s">
        <v>503</v>
      </c>
      <c r="U150" s="261"/>
      <c r="V150" s="252"/>
      <c r="W150" s="335" t="s">
        <v>184</v>
      </c>
      <c r="X150" s="335" t="s">
        <v>184</v>
      </c>
      <c r="Y150" s="335" t="s">
        <v>185</v>
      </c>
      <c r="Z150" s="335"/>
      <c r="AA150" s="336" t="e">
        <f>_xlfn.XLOOKUP($A150,'2026 Approved Budget'!$B:$B,'2026 Approved Budget'!C:C)</f>
        <v>#N/A</v>
      </c>
      <c r="AB150" s="332" t="s">
        <v>185</v>
      </c>
      <c r="AC150" s="336" t="e">
        <f>_xlfn.XLOOKUP($A150,'2026 Approved Budget'!$B:$B,'2026 Approved Budget'!D:D)</f>
        <v>#N/A</v>
      </c>
      <c r="AD150" s="336" t="e">
        <f>_xlfn.XLOOKUP($A150,'2026 Approved Budget'!$B:$B,'2026 Approved Budget'!E:E)</f>
        <v>#N/A</v>
      </c>
      <c r="AE150" s="336" t="e">
        <f>_xlfn.XLOOKUP($A150,'2026 Approved Budget'!$B:$B,'2026 Approved Budget'!F:F)</f>
        <v>#N/A</v>
      </c>
      <c r="AF150" s="338" t="e">
        <f>_xlfn.XLOOKUP($A150,'2026 Approved Budget'!$B:$B,'2026 Approved Budget'!H:H)</f>
        <v>#N/A</v>
      </c>
      <c r="AG150" s="254" t="s">
        <v>89</v>
      </c>
    </row>
    <row r="151" spans="1:33" s="84" customFormat="1" ht="30" hidden="1" customHeight="1" x14ac:dyDescent="0.2">
      <c r="A151" s="239">
        <v>5379</v>
      </c>
      <c r="B151" s="278" t="s">
        <v>290</v>
      </c>
      <c r="C151" s="248" t="s">
        <v>143</v>
      </c>
      <c r="D151" s="249" t="s">
        <v>144</v>
      </c>
      <c r="E151" s="250" t="s">
        <v>180</v>
      </c>
      <c r="F151" s="250" t="s">
        <v>98</v>
      </c>
      <c r="G151" s="256" t="s">
        <v>488</v>
      </c>
      <c r="H151" s="250" t="s">
        <v>248</v>
      </c>
      <c r="I151" s="250"/>
      <c r="J151" s="250"/>
      <c r="K151" s="253" t="s">
        <v>71</v>
      </c>
      <c r="L151" s="250"/>
      <c r="M151" s="250"/>
      <c r="N151" s="249"/>
      <c r="O151" s="239"/>
      <c r="P151" s="239" t="s">
        <v>128</v>
      </c>
      <c r="Q151" s="248" t="s">
        <v>489</v>
      </c>
      <c r="R151" s="248"/>
      <c r="S151" s="249"/>
      <c r="T151" s="249"/>
      <c r="U151" s="292"/>
      <c r="V151" s="256"/>
      <c r="W151" s="335" t="s">
        <v>184</v>
      </c>
      <c r="X151" s="335" t="s">
        <v>184</v>
      </c>
      <c r="Y151" s="335" t="s">
        <v>185</v>
      </c>
      <c r="Z151" s="335"/>
      <c r="AA151" s="336" t="e">
        <f>_xlfn.XLOOKUP($A151,'2026 Approved Budget'!$B:$B,'2026 Approved Budget'!C:C)</f>
        <v>#N/A</v>
      </c>
      <c r="AB151" s="332" t="s">
        <v>185</v>
      </c>
      <c r="AC151" s="336" t="e">
        <f>_xlfn.XLOOKUP($A151,'2026 Approved Budget'!$B:$B,'2026 Approved Budget'!D:D)</f>
        <v>#N/A</v>
      </c>
      <c r="AD151" s="336" t="e">
        <f>_xlfn.XLOOKUP($A151,'2026 Approved Budget'!$B:$B,'2026 Approved Budget'!E:E)</f>
        <v>#N/A</v>
      </c>
      <c r="AE151" s="336" t="e">
        <f>_xlfn.XLOOKUP($A151,'2026 Approved Budget'!$B:$B,'2026 Approved Budget'!F:F)</f>
        <v>#N/A</v>
      </c>
      <c r="AF151" s="338" t="e">
        <f>_xlfn.XLOOKUP($A151,'2026 Approved Budget'!$B:$B,'2026 Approved Budget'!H:H)</f>
        <v>#N/A</v>
      </c>
      <c r="AG151" s="275"/>
    </row>
    <row r="152" spans="1:33" s="84" customFormat="1" ht="30" customHeight="1" x14ac:dyDescent="0.2">
      <c r="A152" s="239">
        <v>5355</v>
      </c>
      <c r="B152" s="248" t="s">
        <v>290</v>
      </c>
      <c r="C152" s="255" t="s">
        <v>143</v>
      </c>
      <c r="D152" s="249" t="s">
        <v>144</v>
      </c>
      <c r="E152" s="250" t="s">
        <v>34</v>
      </c>
      <c r="F152" s="250" t="s">
        <v>98</v>
      </c>
      <c r="G152" s="256" t="s">
        <v>488</v>
      </c>
      <c r="H152" s="251" t="s">
        <v>146</v>
      </c>
      <c r="I152" s="250">
        <v>5</v>
      </c>
      <c r="J152" s="250"/>
      <c r="K152" s="253" t="s">
        <v>100</v>
      </c>
      <c r="L152" s="239"/>
      <c r="M152" s="239"/>
      <c r="N152" s="249"/>
      <c r="O152" s="239"/>
      <c r="P152" s="250" t="s">
        <v>159</v>
      </c>
      <c r="Q152" s="248" t="s">
        <v>492</v>
      </c>
      <c r="R152" s="248" t="s">
        <v>493</v>
      </c>
      <c r="S152" s="249" t="s">
        <v>494</v>
      </c>
      <c r="T152" s="249" t="s">
        <v>111</v>
      </c>
      <c r="U152" s="261" t="s">
        <v>120</v>
      </c>
      <c r="V152" s="256"/>
      <c r="W152" s="332" t="s">
        <v>43</v>
      </c>
      <c r="X152" s="332" t="s">
        <v>103</v>
      </c>
      <c r="Y152" s="275" t="s">
        <v>69</v>
      </c>
      <c r="Z152" s="337" t="s">
        <v>45</v>
      </c>
      <c r="AA152" s="336" t="str">
        <f>_xlfn.XLOOKUP($A152,'2026 Approved Budget'!$B:$B,'2026 Approved Budget'!C:C)</f>
        <v>505 Medical Affairs</v>
      </c>
      <c r="AB152" s="336" t="s">
        <v>46</v>
      </c>
      <c r="AC152" s="336" t="str">
        <f>_xlfn.XLOOKUP($A152,'2026 Approved Budget'!$B:$B,'2026 Approved Budget'!D:D)</f>
        <v>TBD</v>
      </c>
      <c r="AD152" s="336" t="str">
        <f>_xlfn.XLOOKUP($A152,'2026 Approved Budget'!$B:$B,'2026 Approved Budget'!E:E)</f>
        <v>05. Director</v>
      </c>
      <c r="AE152" s="336" t="str">
        <f>_xlfn.XLOOKUP($A152,'2026 Approved Budget'!$B:$B,'2026 Approved Budget'!F:F)</f>
        <v>Clinical Research Medical Director (CRMD)</v>
      </c>
      <c r="AF152" s="338">
        <f>_xlfn.XLOOKUP($A152,'2026 Approved Budget'!$B:$B,'2026 Approved Budget'!H:H)</f>
        <v>46371</v>
      </c>
      <c r="AG152" s="252" t="s">
        <v>274</v>
      </c>
    </row>
    <row r="153" spans="1:33" ht="30" customHeight="1" x14ac:dyDescent="0.2">
      <c r="A153" s="239">
        <v>5411</v>
      </c>
      <c r="B153" s="248" t="s">
        <v>290</v>
      </c>
      <c r="C153" s="255" t="s">
        <v>143</v>
      </c>
      <c r="D153" s="249" t="s">
        <v>144</v>
      </c>
      <c r="E153" s="250" t="s">
        <v>80</v>
      </c>
      <c r="F153" s="250" t="s">
        <v>98</v>
      </c>
      <c r="G153" s="256" t="s">
        <v>495</v>
      </c>
      <c r="H153" s="251" t="s">
        <v>60</v>
      </c>
      <c r="I153" s="250">
        <v>6</v>
      </c>
      <c r="J153" s="250"/>
      <c r="K153" s="253" t="s">
        <v>71</v>
      </c>
      <c r="L153" s="239"/>
      <c r="M153" s="239" t="s">
        <v>63</v>
      </c>
      <c r="N153" s="249"/>
      <c r="O153" s="239"/>
      <c r="P153" s="250" t="s">
        <v>496</v>
      </c>
      <c r="Q153" s="248" t="s">
        <v>497</v>
      </c>
      <c r="R153" s="248"/>
      <c r="S153" s="249"/>
      <c r="T153" s="249"/>
      <c r="U153" s="261" t="s">
        <v>120</v>
      </c>
      <c r="V153" s="256"/>
      <c r="W153" s="332" t="s">
        <v>86</v>
      </c>
      <c r="X153" s="332" t="s">
        <v>86</v>
      </c>
      <c r="Y153" s="275"/>
      <c r="Z153" s="337"/>
      <c r="AA153" s="336"/>
      <c r="AB153" s="336"/>
      <c r="AC153" s="336"/>
      <c r="AD153" s="336"/>
      <c r="AE153" s="336"/>
      <c r="AF153" s="338"/>
      <c r="AG153" s="252"/>
    </row>
    <row r="154" spans="1:33" ht="15" customHeight="1" x14ac:dyDescent="0.2">
      <c r="A154" s="239">
        <v>5399</v>
      </c>
      <c r="B154" s="248" t="s">
        <v>290</v>
      </c>
      <c r="C154" s="248" t="s">
        <v>143</v>
      </c>
      <c r="D154" s="249" t="s">
        <v>144</v>
      </c>
      <c r="E154" s="250" t="s">
        <v>80</v>
      </c>
      <c r="F154" s="250" t="s">
        <v>98</v>
      </c>
      <c r="G154" s="256" t="s">
        <v>504</v>
      </c>
      <c r="H154" s="250" t="s">
        <v>146</v>
      </c>
      <c r="I154" s="250">
        <v>4</v>
      </c>
      <c r="J154" s="250"/>
      <c r="K154" s="253" t="s">
        <v>71</v>
      </c>
      <c r="L154" s="250"/>
      <c r="M154" s="250" t="s">
        <v>247</v>
      </c>
      <c r="N154" s="249"/>
      <c r="O154" s="239"/>
      <c r="P154" s="239" t="s">
        <v>41</v>
      </c>
      <c r="Q154" s="248"/>
      <c r="R154" s="248"/>
      <c r="S154" s="249"/>
      <c r="T154" s="249"/>
      <c r="U154" s="292"/>
      <c r="V154" s="256"/>
      <c r="W154" s="332" t="s">
        <v>86</v>
      </c>
      <c r="X154" s="332" t="s">
        <v>86</v>
      </c>
      <c r="Y154" s="332" t="s">
        <v>87</v>
      </c>
      <c r="Z154" s="332"/>
      <c r="AA154" s="336" t="e">
        <f>_xlfn.XLOOKUP($A154,'2026 Approved Budget'!$B:$B,'2026 Approved Budget'!C:C)</f>
        <v>#N/A</v>
      </c>
      <c r="AB154" s="336" t="s">
        <v>88</v>
      </c>
      <c r="AC154" s="336" t="e">
        <f>_xlfn.XLOOKUP($A154,'2026 Approved Budget'!$B:$B,'2026 Approved Budget'!D:D)</f>
        <v>#N/A</v>
      </c>
      <c r="AD154" s="336" t="e">
        <f>_xlfn.XLOOKUP($A154,'2026 Approved Budget'!$B:$B,'2026 Approved Budget'!E:E)</f>
        <v>#N/A</v>
      </c>
      <c r="AE154" s="336" t="e">
        <f>_xlfn.XLOOKUP($A154,'2026 Approved Budget'!$B:$B,'2026 Approved Budget'!F:F)</f>
        <v>#N/A</v>
      </c>
      <c r="AF154" s="338" t="e">
        <f>_xlfn.XLOOKUP($A154,'2026 Approved Budget'!$B:$B,'2026 Approved Budget'!H:H)</f>
        <v>#N/A</v>
      </c>
      <c r="AG154" s="254" t="s">
        <v>89</v>
      </c>
    </row>
    <row r="155" spans="1:33" ht="15" customHeight="1" x14ac:dyDescent="0.2">
      <c r="A155" s="239">
        <v>5400</v>
      </c>
      <c r="B155" s="248" t="s">
        <v>290</v>
      </c>
      <c r="C155" s="248" t="s">
        <v>143</v>
      </c>
      <c r="D155" s="249" t="s">
        <v>505</v>
      </c>
      <c r="E155" s="250" t="s">
        <v>80</v>
      </c>
      <c r="F155" s="250" t="s">
        <v>98</v>
      </c>
      <c r="G155" s="256" t="s">
        <v>504</v>
      </c>
      <c r="H155" s="250" t="s">
        <v>146</v>
      </c>
      <c r="I155" s="250">
        <v>7</v>
      </c>
      <c r="J155" s="250"/>
      <c r="K155" s="253" t="s">
        <v>100</v>
      </c>
      <c r="L155" s="250"/>
      <c r="M155" s="250" t="s">
        <v>247</v>
      </c>
      <c r="N155" s="249"/>
      <c r="O155" s="239"/>
      <c r="P155" s="239" t="s">
        <v>41</v>
      </c>
      <c r="Q155" s="248"/>
      <c r="R155" s="248"/>
      <c r="S155" s="249"/>
      <c r="T155" s="249"/>
      <c r="U155" s="292"/>
      <c r="V155" s="256"/>
      <c r="W155" s="332" t="s">
        <v>86</v>
      </c>
      <c r="X155" s="332" t="s">
        <v>86</v>
      </c>
      <c r="Y155" s="332" t="s">
        <v>87</v>
      </c>
      <c r="Z155" s="332"/>
      <c r="AA155" s="336" t="e">
        <f>_xlfn.XLOOKUP($A155,'2026 Approved Budget'!$B:$B,'2026 Approved Budget'!C:C)</f>
        <v>#N/A</v>
      </c>
      <c r="AB155" s="336" t="s">
        <v>88</v>
      </c>
      <c r="AC155" s="336" t="e">
        <f>_xlfn.XLOOKUP($A155,'2026 Approved Budget'!$B:$B,'2026 Approved Budget'!D:D)</f>
        <v>#N/A</v>
      </c>
      <c r="AD155" s="336" t="e">
        <f>_xlfn.XLOOKUP($A155,'2026 Approved Budget'!$B:$B,'2026 Approved Budget'!E:E)</f>
        <v>#N/A</v>
      </c>
      <c r="AE155" s="336" t="e">
        <f>_xlfn.XLOOKUP($A155,'2026 Approved Budget'!$B:$B,'2026 Approved Budget'!F:F)</f>
        <v>#N/A</v>
      </c>
      <c r="AF155" s="338" t="e">
        <f>_xlfn.XLOOKUP($A155,'2026 Approved Budget'!$B:$B,'2026 Approved Budget'!H:H)</f>
        <v>#N/A</v>
      </c>
      <c r="AG155" s="254" t="s">
        <v>89</v>
      </c>
    </row>
    <row r="156" spans="1:33" ht="15" customHeight="1" x14ac:dyDescent="0.2">
      <c r="A156" s="239">
        <v>5401</v>
      </c>
      <c r="B156" s="248" t="s">
        <v>290</v>
      </c>
      <c r="C156" s="248" t="s">
        <v>143</v>
      </c>
      <c r="D156" s="249" t="s">
        <v>505</v>
      </c>
      <c r="E156" s="250" t="s">
        <v>80</v>
      </c>
      <c r="F156" s="251" t="s">
        <v>138</v>
      </c>
      <c r="G156" s="256" t="s">
        <v>504</v>
      </c>
      <c r="H156" s="250" t="s">
        <v>146</v>
      </c>
      <c r="I156" s="250">
        <v>8</v>
      </c>
      <c r="J156" s="250"/>
      <c r="K156" s="253" t="s">
        <v>100</v>
      </c>
      <c r="L156" s="250"/>
      <c r="M156" s="250" t="s">
        <v>247</v>
      </c>
      <c r="N156" s="249"/>
      <c r="O156" s="239"/>
      <c r="P156" s="239" t="s">
        <v>41</v>
      </c>
      <c r="Q156" s="248"/>
      <c r="R156" s="248"/>
      <c r="S156" s="249"/>
      <c r="T156" s="249"/>
      <c r="U156" s="292"/>
      <c r="V156" s="256"/>
      <c r="W156" s="332" t="s">
        <v>86</v>
      </c>
      <c r="X156" s="332" t="s">
        <v>86</v>
      </c>
      <c r="Y156" s="332" t="s">
        <v>87</v>
      </c>
      <c r="Z156" s="332"/>
      <c r="AA156" s="336" t="e">
        <f>_xlfn.XLOOKUP($A156,'2026 Approved Budget'!$B:$B,'2026 Approved Budget'!C:C)</f>
        <v>#N/A</v>
      </c>
      <c r="AB156" s="336" t="s">
        <v>88</v>
      </c>
      <c r="AC156" s="336" t="e">
        <f>_xlfn.XLOOKUP($A156,'2026 Approved Budget'!$B:$B,'2026 Approved Budget'!D:D)</f>
        <v>#N/A</v>
      </c>
      <c r="AD156" s="336" t="e">
        <f>_xlfn.XLOOKUP($A156,'2026 Approved Budget'!$B:$B,'2026 Approved Budget'!E:E)</f>
        <v>#N/A</v>
      </c>
      <c r="AE156" s="336" t="e">
        <f>_xlfn.XLOOKUP($A156,'2026 Approved Budget'!$B:$B,'2026 Approved Budget'!F:F)</f>
        <v>#N/A</v>
      </c>
      <c r="AF156" s="338" t="e">
        <f>_xlfn.XLOOKUP($A156,'2026 Approved Budget'!$B:$B,'2026 Approved Budget'!H:H)</f>
        <v>#N/A</v>
      </c>
      <c r="AG156" s="254" t="s">
        <v>89</v>
      </c>
    </row>
    <row r="157" spans="1:33" s="100" customFormat="1" ht="30" customHeight="1" x14ac:dyDescent="0.2">
      <c r="A157" s="239">
        <v>5402</v>
      </c>
      <c r="B157" s="248" t="s">
        <v>290</v>
      </c>
      <c r="C157" s="248" t="s">
        <v>143</v>
      </c>
      <c r="D157" s="249" t="s">
        <v>505</v>
      </c>
      <c r="E157" s="250" t="s">
        <v>80</v>
      </c>
      <c r="F157" s="251" t="s">
        <v>138</v>
      </c>
      <c r="G157" s="256" t="s">
        <v>504</v>
      </c>
      <c r="H157" s="250" t="s">
        <v>146</v>
      </c>
      <c r="I157" s="250">
        <v>9</v>
      </c>
      <c r="J157" s="250"/>
      <c r="K157" s="253" t="s">
        <v>100</v>
      </c>
      <c r="L157" s="250"/>
      <c r="M157" s="250" t="s">
        <v>247</v>
      </c>
      <c r="N157" s="249"/>
      <c r="O157" s="239"/>
      <c r="P157" s="239" t="s">
        <v>41</v>
      </c>
      <c r="Q157" s="248"/>
      <c r="R157" s="248"/>
      <c r="S157" s="249"/>
      <c r="T157" s="249"/>
      <c r="U157" s="292"/>
      <c r="V157" s="256"/>
      <c r="W157" s="332" t="s">
        <v>86</v>
      </c>
      <c r="X157" s="332" t="s">
        <v>86</v>
      </c>
      <c r="Y157" s="332" t="s">
        <v>87</v>
      </c>
      <c r="Z157" s="332"/>
      <c r="AA157" s="336" t="e">
        <f>_xlfn.XLOOKUP($A157,'2026 Approved Budget'!$B:$B,'2026 Approved Budget'!C:C)</f>
        <v>#N/A</v>
      </c>
      <c r="AB157" s="336" t="s">
        <v>88</v>
      </c>
      <c r="AC157" s="336" t="e">
        <f>_xlfn.XLOOKUP($A157,'2026 Approved Budget'!$B:$B,'2026 Approved Budget'!D:D)</f>
        <v>#N/A</v>
      </c>
      <c r="AD157" s="336" t="e">
        <f>_xlfn.XLOOKUP($A157,'2026 Approved Budget'!$B:$B,'2026 Approved Budget'!E:E)</f>
        <v>#N/A</v>
      </c>
      <c r="AE157" s="336" t="e">
        <f>_xlfn.XLOOKUP($A157,'2026 Approved Budget'!$B:$B,'2026 Approved Budget'!F:F)</f>
        <v>#N/A</v>
      </c>
      <c r="AF157" s="338" t="e">
        <f>_xlfn.XLOOKUP($A157,'2026 Approved Budget'!$B:$B,'2026 Approved Budget'!H:H)</f>
        <v>#N/A</v>
      </c>
      <c r="AG157" s="254" t="s">
        <v>89</v>
      </c>
    </row>
    <row r="158" spans="1:33" ht="15" hidden="1" customHeight="1" x14ac:dyDescent="0.2">
      <c r="A158" s="239">
        <v>1065</v>
      </c>
      <c r="B158" s="240" t="s">
        <v>290</v>
      </c>
      <c r="C158" s="240" t="s">
        <v>515</v>
      </c>
      <c r="D158" s="240" t="s">
        <v>516</v>
      </c>
      <c r="E158" s="241" t="s">
        <v>34</v>
      </c>
      <c r="F158" s="246" t="s">
        <v>35</v>
      </c>
      <c r="G158" s="242" t="s">
        <v>517</v>
      </c>
      <c r="H158" s="243" t="s">
        <v>37</v>
      </c>
      <c r="I158" s="241"/>
      <c r="J158" s="241"/>
      <c r="K158" s="244" t="s">
        <v>91</v>
      </c>
      <c r="L158" s="241" t="s">
        <v>39</v>
      </c>
      <c r="M158" s="241"/>
      <c r="N158" s="245" t="s">
        <v>518</v>
      </c>
      <c r="O158" s="246">
        <v>10001</v>
      </c>
      <c r="P158" s="241" t="s">
        <v>41</v>
      </c>
      <c r="Q158" s="240"/>
      <c r="R158" s="240"/>
      <c r="S158" s="240"/>
      <c r="T158" s="240"/>
      <c r="U158" s="240"/>
      <c r="V158" s="242"/>
      <c r="W158" s="332" t="s">
        <v>43</v>
      </c>
      <c r="X158" s="332" t="s">
        <v>43</v>
      </c>
      <c r="Y158" s="336" t="s">
        <v>44</v>
      </c>
      <c r="Z158" s="337" t="s">
        <v>45</v>
      </c>
      <c r="AA158" s="336" t="str">
        <f>_xlfn.XLOOKUP($A158,'2026 Approved Budget'!$B:$B,'2026 Approved Budget'!C:C)</f>
        <v>901 Executive G&amp;A</v>
      </c>
      <c r="AB158" s="336" t="s">
        <v>46</v>
      </c>
      <c r="AC158" s="336" t="str">
        <f>_xlfn.XLOOKUP($A158,'2026 Approved Budget'!$B:$B,'2026 Approved Budget'!D:D)</f>
        <v>Tassos Gianakakos</v>
      </c>
      <c r="AD158" s="336" t="str">
        <f>_xlfn.XLOOKUP($A158,'2026 Approved Budget'!$B:$B,'2026 Approved Budget'!E:E)</f>
        <v>10. C-Suite</v>
      </c>
      <c r="AE158" s="336" t="str">
        <f>_xlfn.XLOOKUP($A158,'2026 Approved Budget'!$B:$B,'2026 Approved Budget'!F:F)</f>
        <v>CEO and Co-Founder</v>
      </c>
      <c r="AF158" s="338">
        <f>_xlfn.XLOOKUP($A158,'2026 Approved Budget'!$B:$B,'2026 Approved Budget'!H:H)</f>
        <v>45156</v>
      </c>
      <c r="AG158" s="252"/>
    </row>
    <row r="159" spans="1:33" ht="30" hidden="1" customHeight="1" x14ac:dyDescent="0.2">
      <c r="A159" s="239">
        <v>1066</v>
      </c>
      <c r="B159" s="240" t="s">
        <v>290</v>
      </c>
      <c r="C159" s="240" t="s">
        <v>515</v>
      </c>
      <c r="D159" s="240" t="s">
        <v>33</v>
      </c>
      <c r="E159" s="241" t="s">
        <v>34</v>
      </c>
      <c r="F159" s="246" t="s">
        <v>81</v>
      </c>
      <c r="G159" s="242" t="s">
        <v>519</v>
      </c>
      <c r="H159" s="241" t="s">
        <v>60</v>
      </c>
      <c r="I159" s="241"/>
      <c r="J159" s="241"/>
      <c r="K159" s="244" t="s">
        <v>166</v>
      </c>
      <c r="L159" s="241" t="s">
        <v>39</v>
      </c>
      <c r="M159" s="241"/>
      <c r="N159" s="245" t="s">
        <v>520</v>
      </c>
      <c r="O159" s="246">
        <v>10009</v>
      </c>
      <c r="P159" s="241" t="s">
        <v>41</v>
      </c>
      <c r="Q159" s="240"/>
      <c r="R159" s="240"/>
      <c r="S159" s="240"/>
      <c r="T159" s="240"/>
      <c r="U159" s="240"/>
      <c r="V159" s="242"/>
      <c r="W159" s="332" t="s">
        <v>43</v>
      </c>
      <c r="X159" s="332" t="s">
        <v>43</v>
      </c>
      <c r="Y159" s="336" t="s">
        <v>44</v>
      </c>
      <c r="Z159" s="337" t="s">
        <v>45</v>
      </c>
      <c r="AA159" s="336" t="str">
        <f>_xlfn.XLOOKUP($A159,'2026 Approved Budget'!$B:$B,'2026 Approved Budget'!C:C)</f>
        <v>901 Executive G&amp;A</v>
      </c>
      <c r="AB159" s="336" t="s">
        <v>46</v>
      </c>
      <c r="AC159" s="336" t="str">
        <f>_xlfn.XLOOKUP($A159,'2026 Approved Budget'!$B:$B,'2026 Approved Budget'!D:D)</f>
        <v>Staci Veremis</v>
      </c>
      <c r="AD159" s="336" t="str">
        <f>_xlfn.XLOOKUP($A159,'2026 Approved Budget'!$B:$B,'2026 Approved Budget'!E:E)</f>
        <v>01. IC / Coordinator</v>
      </c>
      <c r="AE159" s="336" t="str">
        <f>_xlfn.XLOOKUP($A159,'2026 Approved Budget'!$B:$B,'2026 Approved Budget'!F:F)</f>
        <v>Executive Assistant</v>
      </c>
      <c r="AF159" s="338">
        <f>_xlfn.XLOOKUP($A159,'2026 Approved Budget'!$B:$B,'2026 Approved Budget'!H:H)</f>
        <v>45413</v>
      </c>
      <c r="AG159" s="252"/>
    </row>
    <row r="160" spans="1:33" ht="16" x14ac:dyDescent="0.2">
      <c r="A160" s="239">
        <v>1109</v>
      </c>
      <c r="B160" s="248" t="s">
        <v>521</v>
      </c>
      <c r="C160" s="248" t="s">
        <v>522</v>
      </c>
      <c r="D160" s="248" t="s">
        <v>33</v>
      </c>
      <c r="E160" s="250" t="s">
        <v>34</v>
      </c>
      <c r="F160" s="251" t="s">
        <v>35</v>
      </c>
      <c r="G160" s="302" t="s">
        <v>533</v>
      </c>
      <c r="H160" s="251" t="s">
        <v>37</v>
      </c>
      <c r="I160" s="250">
        <v>1</v>
      </c>
      <c r="J160" s="250" t="s">
        <v>2125</v>
      </c>
      <c r="K160" s="253" t="s">
        <v>61</v>
      </c>
      <c r="L160" s="250" t="s">
        <v>534</v>
      </c>
      <c r="M160" s="250" t="s">
        <v>535</v>
      </c>
      <c r="N160" s="249" t="s">
        <v>536</v>
      </c>
      <c r="O160" s="239"/>
      <c r="P160" s="250" t="s">
        <v>41</v>
      </c>
      <c r="Q160" s="248" t="s">
        <v>525</v>
      </c>
      <c r="R160" s="248"/>
      <c r="S160" s="249"/>
      <c r="T160" s="248" t="s">
        <v>142</v>
      </c>
      <c r="U160" s="249"/>
      <c r="V160" s="252"/>
      <c r="W160" s="332" t="s">
        <v>43</v>
      </c>
      <c r="X160" s="103" t="s">
        <v>43</v>
      </c>
      <c r="Y160" s="275" t="s">
        <v>69</v>
      </c>
      <c r="Z160" s="337" t="s">
        <v>45</v>
      </c>
      <c r="AA160" s="336" t="str">
        <f>_xlfn.XLOOKUP($A160,'2026 Approved Budget'!$B:$B,'2026 Approved Budget'!C:C)</f>
        <v>920 Legal</v>
      </c>
      <c r="AB160" s="336" t="s">
        <v>46</v>
      </c>
      <c r="AC160" s="336" t="str">
        <f>_xlfn.XLOOKUP($A160,'2026 Approved Budget'!$B:$B,'2026 Approved Budget'!D:D)</f>
        <v>Minako Pazdera</v>
      </c>
      <c r="AD160" s="336" t="str">
        <f>_xlfn.XLOOKUP($A160,'2026 Approved Budget'!$B:$B,'2026 Approved Budget'!E:E)</f>
        <v>10. C-Suite</v>
      </c>
      <c r="AE160" s="336" t="str">
        <f>_xlfn.XLOOKUP($A160,'2026 Approved Budget'!$B:$B,'2026 Approved Budget'!F:F)</f>
        <v>General Counsel</v>
      </c>
      <c r="AF160" s="338">
        <f>_xlfn.XLOOKUP($A160,'2026 Approved Budget'!$B:$B,'2026 Approved Budget'!H:H)</f>
        <v>45635</v>
      </c>
      <c r="AG160" s="254"/>
    </row>
    <row r="161" spans="1:33" ht="15" hidden="1" customHeight="1" x14ac:dyDescent="0.2">
      <c r="A161" s="239">
        <v>1282</v>
      </c>
      <c r="B161" s="240" t="s">
        <v>521</v>
      </c>
      <c r="C161" s="240" t="s">
        <v>522</v>
      </c>
      <c r="D161" s="240" t="s">
        <v>33</v>
      </c>
      <c r="E161" s="241" t="s">
        <v>34</v>
      </c>
      <c r="F161" s="243" t="s">
        <v>105</v>
      </c>
      <c r="G161" s="242" t="s">
        <v>523</v>
      </c>
      <c r="H161" s="243" t="s">
        <v>37</v>
      </c>
      <c r="I161" s="241"/>
      <c r="J161" s="241"/>
      <c r="K161" s="247" t="s">
        <v>130</v>
      </c>
      <c r="L161" s="241" t="s">
        <v>39</v>
      </c>
      <c r="M161" s="246" t="s">
        <v>52</v>
      </c>
      <c r="N161" s="245" t="s">
        <v>524</v>
      </c>
      <c r="O161" s="246">
        <v>10202</v>
      </c>
      <c r="P161" s="241" t="s">
        <v>41</v>
      </c>
      <c r="Q161" s="240" t="s">
        <v>525</v>
      </c>
      <c r="R161" s="240"/>
      <c r="S161" s="245"/>
      <c r="T161" s="240" t="s">
        <v>142</v>
      </c>
      <c r="U161" s="245"/>
      <c r="V161" s="242"/>
      <c r="W161" s="332" t="s">
        <v>43</v>
      </c>
      <c r="X161" s="332" t="s">
        <v>43</v>
      </c>
      <c r="Y161" s="336" t="s">
        <v>44</v>
      </c>
      <c r="Z161" s="337" t="s">
        <v>45</v>
      </c>
      <c r="AA161" s="336" t="str">
        <f>_xlfn.XLOOKUP($A161,'2026 Approved Budget'!$B:$B,'2026 Approved Budget'!C:C)</f>
        <v>920 Legal</v>
      </c>
      <c r="AB161" s="336" t="s">
        <v>46</v>
      </c>
      <c r="AC161" s="336" t="str">
        <f>_xlfn.XLOOKUP($A161,'2026 Approved Budget'!$B:$B,'2026 Approved Budget'!D:D)</f>
        <v>Mike Rhee</v>
      </c>
      <c r="AD161" s="336" t="str">
        <f>_xlfn.XLOOKUP($A161,'2026 Approved Budget'!$B:$B,'2026 Approved Budget'!E:E)</f>
        <v>08. VP</v>
      </c>
      <c r="AE161" s="336" t="str">
        <f>_xlfn.XLOOKUP($A161,'2026 Approved Budget'!$B:$B,'2026 Approved Budget'!F:F)</f>
        <v>VP Corporate Law</v>
      </c>
      <c r="AF161" s="338">
        <f>_xlfn.XLOOKUP($A161,'2026 Approved Budget'!$B:$B,'2026 Approved Budget'!H:H)</f>
        <v>45747</v>
      </c>
      <c r="AG161" s="261"/>
    </row>
    <row r="162" spans="1:33" ht="30" hidden="1" customHeight="1" x14ac:dyDescent="0.2">
      <c r="A162" s="239">
        <v>1280</v>
      </c>
      <c r="B162" s="240" t="s">
        <v>521</v>
      </c>
      <c r="C162" s="240" t="s">
        <v>522</v>
      </c>
      <c r="D162" s="240" t="s">
        <v>526</v>
      </c>
      <c r="E162" s="241" t="s">
        <v>34</v>
      </c>
      <c r="F162" s="243" t="s">
        <v>105</v>
      </c>
      <c r="G162" s="242" t="s">
        <v>529</v>
      </c>
      <c r="H162" s="243" t="s">
        <v>37</v>
      </c>
      <c r="I162" s="241"/>
      <c r="J162" s="241"/>
      <c r="K162" s="247" t="s">
        <v>51</v>
      </c>
      <c r="L162" s="241" t="s">
        <v>39</v>
      </c>
      <c r="M162" s="241"/>
      <c r="N162" s="245" t="s">
        <v>530</v>
      </c>
      <c r="O162" s="246">
        <v>10261</v>
      </c>
      <c r="P162" s="241" t="s">
        <v>109</v>
      </c>
      <c r="Q162" s="240"/>
      <c r="R162" s="240"/>
      <c r="S162" s="245"/>
      <c r="T162" s="240"/>
      <c r="U162" s="245"/>
      <c r="V162" s="242"/>
      <c r="W162" s="332" t="s">
        <v>43</v>
      </c>
      <c r="X162" s="332" t="s">
        <v>43</v>
      </c>
      <c r="Y162" s="336" t="s">
        <v>44</v>
      </c>
      <c r="Z162" s="337" t="s">
        <v>45</v>
      </c>
      <c r="AA162" s="336" t="str">
        <f>_xlfn.XLOOKUP($A162,'2026 Approved Budget'!$B:$B,'2026 Approved Budget'!C:C)</f>
        <v>920 Legal</v>
      </c>
      <c r="AB162" s="336" t="s">
        <v>46</v>
      </c>
      <c r="AC162" s="336" t="str">
        <f>_xlfn.XLOOKUP($A162,'2026 Approved Budget'!$B:$B,'2026 Approved Budget'!D:D)</f>
        <v>Rich Person</v>
      </c>
      <c r="AD162" s="336" t="str">
        <f>_xlfn.XLOOKUP($A162,'2026 Approved Budget'!$B:$B,'2026 Approved Budget'!E:E)</f>
        <v>08. VP</v>
      </c>
      <c r="AE162" s="336" t="str">
        <f>_xlfn.XLOOKUP($A162,'2026 Approved Budget'!$B:$B,'2026 Approved Budget'!F:F)</f>
        <v>Vice President, IP Counsel</v>
      </c>
      <c r="AF162" s="338">
        <f>_xlfn.XLOOKUP($A162,'2026 Approved Budget'!$B:$B,'2026 Approved Budget'!H:H)</f>
        <v>45894</v>
      </c>
      <c r="AG162" s="261"/>
    </row>
    <row r="163" spans="1:33" ht="30" hidden="1" customHeight="1" x14ac:dyDescent="0.2">
      <c r="A163" s="239">
        <v>1378</v>
      </c>
      <c r="B163" s="240" t="s">
        <v>521</v>
      </c>
      <c r="C163" s="272" t="s">
        <v>522</v>
      </c>
      <c r="D163" s="240" t="s">
        <v>526</v>
      </c>
      <c r="E163" s="241" t="s">
        <v>34</v>
      </c>
      <c r="F163" s="246" t="s">
        <v>105</v>
      </c>
      <c r="G163" s="242" t="s">
        <v>523</v>
      </c>
      <c r="H163" s="243" t="s">
        <v>60</v>
      </c>
      <c r="I163" s="241"/>
      <c r="J163" s="241"/>
      <c r="K163" s="247" t="s">
        <v>61</v>
      </c>
      <c r="L163" s="246" t="s">
        <v>39</v>
      </c>
      <c r="M163" s="246"/>
      <c r="N163" s="245" t="s">
        <v>537</v>
      </c>
      <c r="O163" s="246">
        <v>10306</v>
      </c>
      <c r="P163" s="241" t="s">
        <v>41</v>
      </c>
      <c r="Q163" s="240" t="s">
        <v>496</v>
      </c>
      <c r="R163" s="240"/>
      <c r="S163" s="245" t="s">
        <v>538</v>
      </c>
      <c r="T163" s="245"/>
      <c r="U163" s="245"/>
      <c r="V163" s="242"/>
      <c r="W163" s="332" t="s">
        <v>43</v>
      </c>
      <c r="X163" s="103" t="s">
        <v>43</v>
      </c>
      <c r="Y163" s="336" t="s">
        <v>44</v>
      </c>
      <c r="Z163" s="337" t="s">
        <v>45</v>
      </c>
      <c r="AA163" s="336" t="str">
        <f>_xlfn.XLOOKUP($A163,'2026 Approved Budget'!$B:$B,'2026 Approved Budget'!C:C)</f>
        <v>920 Legal</v>
      </c>
      <c r="AB163" s="336" t="s">
        <v>46</v>
      </c>
      <c r="AC163" s="336" t="str">
        <f>_xlfn.XLOOKUP($A163,'2026 Approved Budget'!$B:$B,'2026 Approved Budget'!D:D)</f>
        <v>Craig Elkins</v>
      </c>
      <c r="AD163" s="336" t="str">
        <f>_xlfn.XLOOKUP($A163,'2026 Approved Budget'!$B:$B,'2026 Approved Budget'!E:E)</f>
        <v>08. VP</v>
      </c>
      <c r="AE163" s="336" t="str">
        <f>_xlfn.XLOOKUP($A163,'2026 Approved Budget'!$B:$B,'2026 Approved Budget'!F:F)</f>
        <v>VP Corporate Law (Prolaio)</v>
      </c>
      <c r="AF163" s="338">
        <f>_xlfn.XLOOKUP($A163,'2026 Approved Budget'!$B:$B,'2026 Approved Budget'!H:H)</f>
        <v>45978</v>
      </c>
      <c r="AG163" s="261"/>
    </row>
    <row r="164" spans="1:33" ht="15" hidden="1" customHeight="1" x14ac:dyDescent="0.2">
      <c r="A164" s="239">
        <v>1281</v>
      </c>
      <c r="B164" s="240" t="s">
        <v>521</v>
      </c>
      <c r="C164" s="240" t="s">
        <v>522</v>
      </c>
      <c r="D164" s="240" t="s">
        <v>526</v>
      </c>
      <c r="E164" s="241" t="s">
        <v>34</v>
      </c>
      <c r="F164" s="243" t="s">
        <v>58</v>
      </c>
      <c r="G164" s="242" t="s">
        <v>539</v>
      </c>
      <c r="H164" s="243" t="s">
        <v>37</v>
      </c>
      <c r="I164" s="241"/>
      <c r="J164" s="241"/>
      <c r="K164" s="247" t="s">
        <v>61</v>
      </c>
      <c r="L164" s="241" t="s">
        <v>39</v>
      </c>
      <c r="M164" s="246" t="s">
        <v>52</v>
      </c>
      <c r="N164" s="245" t="s">
        <v>540</v>
      </c>
      <c r="O164" s="246">
        <v>10320</v>
      </c>
      <c r="P164" s="246" t="s">
        <v>41</v>
      </c>
      <c r="Q164" s="240" t="s">
        <v>525</v>
      </c>
      <c r="R164" s="240"/>
      <c r="S164" s="245"/>
      <c r="T164" s="240" t="s">
        <v>142</v>
      </c>
      <c r="U164" s="245"/>
      <c r="V164" s="242"/>
      <c r="W164" s="103" t="s">
        <v>75</v>
      </c>
      <c r="X164" s="332" t="s">
        <v>43</v>
      </c>
      <c r="Y164" s="336" t="s">
        <v>44</v>
      </c>
      <c r="Z164" s="337" t="s">
        <v>45</v>
      </c>
      <c r="AA164" s="336" t="str">
        <f>_xlfn.XLOOKUP($A164,'2026 Approved Budget'!$B:$B,'2026 Approved Budget'!C:C)</f>
        <v>920 Legal</v>
      </c>
      <c r="AB164" s="336" t="s">
        <v>46</v>
      </c>
      <c r="AC164" s="336" t="str">
        <f>_xlfn.XLOOKUP($A164,'2026 Approved Budget'!$B:$B,'2026 Approved Budget'!D:D)</f>
        <v>TBD</v>
      </c>
      <c r="AD164" s="336" t="str">
        <f>_xlfn.XLOOKUP($A164,'2026 Approved Budget'!$B:$B,'2026 Approved Budget'!E:E)</f>
        <v>05. Director</v>
      </c>
      <c r="AE164" s="336" t="str">
        <f>_xlfn.XLOOKUP($A164,'2026 Approved Budget'!$B:$B,'2026 Approved Budget'!F:F)</f>
        <v>Director, Healthcare and Privacy Law</v>
      </c>
      <c r="AF164" s="338">
        <f>_xlfn.XLOOKUP($A164,'2026 Approved Budget'!$B:$B,'2026 Approved Budget'!H:H)</f>
        <v>46096</v>
      </c>
      <c r="AG164" s="254"/>
    </row>
    <row r="165" spans="1:33" ht="15" hidden="1" customHeight="1" x14ac:dyDescent="0.2">
      <c r="A165" s="239">
        <v>1358</v>
      </c>
      <c r="B165" s="240" t="s">
        <v>521</v>
      </c>
      <c r="C165" s="240" t="s">
        <v>522</v>
      </c>
      <c r="D165" s="240" t="s">
        <v>526</v>
      </c>
      <c r="E165" s="241" t="s">
        <v>34</v>
      </c>
      <c r="F165" s="241" t="s">
        <v>98</v>
      </c>
      <c r="G165" s="242" t="s">
        <v>531</v>
      </c>
      <c r="H165" s="243" t="s">
        <v>50</v>
      </c>
      <c r="I165" s="241"/>
      <c r="J165" s="241"/>
      <c r="K165" s="247" t="s">
        <v>51</v>
      </c>
      <c r="L165" s="241" t="s">
        <v>39</v>
      </c>
      <c r="M165" s="246" t="s">
        <v>52</v>
      </c>
      <c r="N165" s="245" t="s">
        <v>532</v>
      </c>
      <c r="O165" s="246">
        <v>10264</v>
      </c>
      <c r="P165" s="241" t="s">
        <v>41</v>
      </c>
      <c r="Q165" s="240" t="s">
        <v>525</v>
      </c>
      <c r="R165" s="240"/>
      <c r="S165" s="245"/>
      <c r="T165" s="240" t="s">
        <v>142</v>
      </c>
      <c r="U165" s="245"/>
      <c r="V165" s="242"/>
      <c r="W165" s="332" t="s">
        <v>43</v>
      </c>
      <c r="X165" s="332" t="s">
        <v>43</v>
      </c>
      <c r="Y165" s="336" t="s">
        <v>44</v>
      </c>
      <c r="Z165" s="337" t="s">
        <v>45</v>
      </c>
      <c r="AA165" s="336" t="str">
        <f>_xlfn.XLOOKUP($A165,'2026 Approved Budget'!$B:$B,'2026 Approved Budget'!C:C)</f>
        <v>920 Legal</v>
      </c>
      <c r="AB165" s="336" t="s">
        <v>46</v>
      </c>
      <c r="AC165" s="336" t="str">
        <f>_xlfn.XLOOKUP($A165,'2026 Approved Budget'!$B:$B,'2026 Approved Budget'!D:D)</f>
        <v>Miruna Predescu</v>
      </c>
      <c r="AD165" s="336" t="str">
        <f>_xlfn.XLOOKUP($A165,'2026 Approved Budget'!$B:$B,'2026 Approved Budget'!E:E)</f>
        <v>05. Director</v>
      </c>
      <c r="AE165" s="336" t="str">
        <f>_xlfn.XLOOKUP($A165,'2026 Approved Budget'!$B:$B,'2026 Approved Budget'!F:F)</f>
        <v>Director, Contracts and Transactions Counsel</v>
      </c>
      <c r="AF165" s="338">
        <f>_xlfn.XLOOKUP($A165,'2026 Approved Budget'!$B:$B,'2026 Approved Budget'!H:H)</f>
        <v>45908</v>
      </c>
      <c r="AG165" s="261"/>
    </row>
    <row r="166" spans="1:33" ht="15" hidden="1" customHeight="1" x14ac:dyDescent="0.2">
      <c r="A166" s="239">
        <v>1283</v>
      </c>
      <c r="B166" s="240" t="s">
        <v>521</v>
      </c>
      <c r="C166" s="240" t="s">
        <v>522</v>
      </c>
      <c r="D166" s="240" t="s">
        <v>526</v>
      </c>
      <c r="E166" s="241" t="s">
        <v>34</v>
      </c>
      <c r="F166" s="243" t="s">
        <v>117</v>
      </c>
      <c r="G166" s="242" t="s">
        <v>527</v>
      </c>
      <c r="H166" s="243" t="s">
        <v>37</v>
      </c>
      <c r="I166" s="241"/>
      <c r="J166" s="241"/>
      <c r="K166" s="247" t="s">
        <v>114</v>
      </c>
      <c r="L166" s="241" t="s">
        <v>39</v>
      </c>
      <c r="M166" s="246" t="s">
        <v>52</v>
      </c>
      <c r="N166" s="245" t="s">
        <v>528</v>
      </c>
      <c r="O166" s="246">
        <v>10215</v>
      </c>
      <c r="P166" s="241" t="s">
        <v>41</v>
      </c>
      <c r="Q166" s="240" t="s">
        <v>525</v>
      </c>
      <c r="R166" s="240"/>
      <c r="S166" s="245"/>
      <c r="T166" s="240" t="s">
        <v>142</v>
      </c>
      <c r="U166" s="245"/>
      <c r="V166" s="242"/>
      <c r="W166" s="332" t="s">
        <v>43</v>
      </c>
      <c r="X166" s="103" t="s">
        <v>43</v>
      </c>
      <c r="Y166" s="336" t="s">
        <v>44</v>
      </c>
      <c r="Z166" s="337" t="s">
        <v>45</v>
      </c>
      <c r="AA166" s="336" t="str">
        <f>_xlfn.XLOOKUP($A166,'2026 Approved Budget'!$B:$B,'2026 Approved Budget'!C:C)</f>
        <v>920 Legal</v>
      </c>
      <c r="AB166" s="336" t="s">
        <v>46</v>
      </c>
      <c r="AC166" s="336" t="str">
        <f>_xlfn.XLOOKUP($A166,'2026 Approved Budget'!$B:$B,'2026 Approved Budget'!D:D)</f>
        <v>Kathy Fernandez</v>
      </c>
      <c r="AD166" s="336" t="str">
        <f>_xlfn.XLOOKUP($A166,'2026 Approved Budget'!$B:$B,'2026 Approved Budget'!E:E)</f>
        <v>03. Sr. Manager / Sr. Scientist</v>
      </c>
      <c r="AE166" s="336" t="str">
        <f>_xlfn.XLOOKUP($A166,'2026 Approved Budget'!$B:$B,'2026 Approved Budget'!F:F)</f>
        <v>Sr. Manager of Legal, Contracts and Administration</v>
      </c>
      <c r="AF166" s="338">
        <f>_xlfn.XLOOKUP($A166,'2026 Approved Budget'!$B:$B,'2026 Approved Budget'!H:H)</f>
        <v>45782</v>
      </c>
      <c r="AG166" s="254"/>
    </row>
    <row r="167" spans="1:33" ht="15" customHeight="1" x14ac:dyDescent="0.2">
      <c r="A167" s="239">
        <v>5201</v>
      </c>
      <c r="B167" s="248" t="s">
        <v>521</v>
      </c>
      <c r="C167" s="248" t="s">
        <v>522</v>
      </c>
      <c r="D167" s="248" t="s">
        <v>526</v>
      </c>
      <c r="E167" s="250" t="s">
        <v>34</v>
      </c>
      <c r="F167" s="251" t="s">
        <v>58</v>
      </c>
      <c r="G167" s="249" t="s">
        <v>546</v>
      </c>
      <c r="H167" s="251" t="s">
        <v>50</v>
      </c>
      <c r="I167" s="239">
        <v>3</v>
      </c>
      <c r="J167" s="239" t="s">
        <v>2125</v>
      </c>
      <c r="K167" s="250" t="s">
        <v>61</v>
      </c>
      <c r="L167" s="239" t="s">
        <v>62</v>
      </c>
      <c r="M167" s="239" t="s">
        <v>52</v>
      </c>
      <c r="N167" s="249"/>
      <c r="O167" s="239"/>
      <c r="P167" s="239" t="s">
        <v>41</v>
      </c>
      <c r="Q167" s="248"/>
      <c r="R167" s="249" t="s">
        <v>542</v>
      </c>
      <c r="S167" s="249"/>
      <c r="T167" s="248"/>
      <c r="U167" s="249"/>
      <c r="V167" s="249"/>
      <c r="W167" s="332" t="s">
        <v>43</v>
      </c>
      <c r="X167" s="332" t="s">
        <v>103</v>
      </c>
      <c r="Y167" s="275" t="s">
        <v>69</v>
      </c>
      <c r="Z167" s="337" t="s">
        <v>45</v>
      </c>
      <c r="AA167" s="336" t="str">
        <f>_xlfn.XLOOKUP($A167,'2026 Approved Budget'!$B:$B,'2026 Approved Budget'!C:C)</f>
        <v>920 Legal</v>
      </c>
      <c r="AB167" s="336" t="s">
        <v>46</v>
      </c>
      <c r="AC167" s="336" t="str">
        <f>_xlfn.XLOOKUP($A167,'2026 Approved Budget'!$B:$B,'2026 Approved Budget'!D:D)</f>
        <v>TBD</v>
      </c>
      <c r="AD167" s="336" t="str">
        <f>_xlfn.XLOOKUP($A167,'2026 Approved Budget'!$B:$B,'2026 Approved Budget'!E:E)</f>
        <v>06. Sr. Director</v>
      </c>
      <c r="AE167" s="336" t="str">
        <f>_xlfn.XLOOKUP($A167,'2026 Approved Budget'!$B:$B,'2026 Approved Budget'!F:F)</f>
        <v>Sr. Director Contracts</v>
      </c>
      <c r="AF167" s="338">
        <f>_xlfn.XLOOKUP($A167,'2026 Approved Budget'!$B:$B,'2026 Approved Budget'!H:H)</f>
        <v>46280</v>
      </c>
      <c r="AG167" s="254"/>
    </row>
    <row r="168" spans="1:33" ht="15" customHeight="1" x14ac:dyDescent="0.2">
      <c r="A168" s="239">
        <v>1359</v>
      </c>
      <c r="B168" s="248" t="s">
        <v>521</v>
      </c>
      <c r="C168" s="248" t="s">
        <v>522</v>
      </c>
      <c r="D168" s="248" t="s">
        <v>547</v>
      </c>
      <c r="E168" s="250" t="s">
        <v>34</v>
      </c>
      <c r="F168" s="250" t="s">
        <v>98</v>
      </c>
      <c r="G168" s="249" t="s">
        <v>548</v>
      </c>
      <c r="H168" s="251" t="s">
        <v>37</v>
      </c>
      <c r="I168" s="239">
        <v>2</v>
      </c>
      <c r="J168" s="239" t="s">
        <v>2125</v>
      </c>
      <c r="K168" s="253" t="s">
        <v>71</v>
      </c>
      <c r="L168" s="239" t="s">
        <v>62</v>
      </c>
      <c r="M168" s="239" t="s">
        <v>52</v>
      </c>
      <c r="N168" s="249"/>
      <c r="O168" s="239"/>
      <c r="P168" s="239" t="s">
        <v>41</v>
      </c>
      <c r="Q168" s="248"/>
      <c r="R168" s="273" t="s">
        <v>549</v>
      </c>
      <c r="S168" s="249"/>
      <c r="T168" s="248" t="s">
        <v>142</v>
      </c>
      <c r="U168" s="249"/>
      <c r="V168" s="249"/>
      <c r="W168" s="332" t="s">
        <v>43</v>
      </c>
      <c r="X168" s="332" t="s">
        <v>103</v>
      </c>
      <c r="Y168" s="275" t="s">
        <v>69</v>
      </c>
      <c r="Z168" s="337" t="s">
        <v>45</v>
      </c>
      <c r="AA168" s="336" t="str">
        <f>_xlfn.XLOOKUP($A168,'2026 Approved Budget'!$B:$B,'2026 Approved Budget'!C:C)</f>
        <v>920 Legal</v>
      </c>
      <c r="AB168" s="336" t="s">
        <v>46</v>
      </c>
      <c r="AC168" s="336" t="str">
        <f>_xlfn.XLOOKUP($A168,'2026 Approved Budget'!$B:$B,'2026 Approved Budget'!D:D)</f>
        <v>TBD</v>
      </c>
      <c r="AD168" s="336" t="str">
        <f>_xlfn.XLOOKUP($A168,'2026 Approved Budget'!$B:$B,'2026 Approved Budget'!E:E)</f>
        <v>05. Director</v>
      </c>
      <c r="AE168" s="336" t="str">
        <f>_xlfn.XLOOKUP($A168,'2026 Approved Budget'!$B:$B,'2026 Approved Budget'!F:F)</f>
        <v>Director, SEC attorney</v>
      </c>
      <c r="AF168" s="338">
        <f>_xlfn.XLOOKUP($A168,'2026 Approved Budget'!$B:$B,'2026 Approved Budget'!H:H)</f>
        <v>46280</v>
      </c>
      <c r="AG168" s="254"/>
    </row>
    <row r="169" spans="1:33" ht="15" customHeight="1" x14ac:dyDescent="0.2">
      <c r="A169" s="239">
        <v>1377</v>
      </c>
      <c r="B169" s="248" t="s">
        <v>521</v>
      </c>
      <c r="C169" s="255" t="s">
        <v>522</v>
      </c>
      <c r="D169" s="248" t="s">
        <v>544</v>
      </c>
      <c r="E169" s="250" t="s">
        <v>34</v>
      </c>
      <c r="F169" s="239" t="s">
        <v>58</v>
      </c>
      <c r="G169" s="256" t="s">
        <v>545</v>
      </c>
      <c r="H169" s="251" t="s">
        <v>37</v>
      </c>
      <c r="I169" s="250">
        <v>5</v>
      </c>
      <c r="J169" s="250"/>
      <c r="K169" s="250" t="s">
        <v>100</v>
      </c>
      <c r="L169" s="239"/>
      <c r="M169" s="239" t="s">
        <v>52</v>
      </c>
      <c r="N169" s="249"/>
      <c r="O169" s="239"/>
      <c r="P169" s="239" t="s">
        <v>128</v>
      </c>
      <c r="Q169" s="248"/>
      <c r="R169" s="248"/>
      <c r="S169" s="249" t="s">
        <v>208</v>
      </c>
      <c r="T169" s="249"/>
      <c r="U169" s="249"/>
      <c r="V169" s="256"/>
      <c r="W169" s="332" t="s">
        <v>43</v>
      </c>
      <c r="X169" s="332" t="s">
        <v>76</v>
      </c>
      <c r="Y169" s="275" t="s">
        <v>69</v>
      </c>
      <c r="Z169" s="337" t="s">
        <v>45</v>
      </c>
      <c r="AA169" s="336" t="str">
        <f>_xlfn.XLOOKUP($A169,'2026 Approved Budget'!$B:$B,'2026 Approved Budget'!C:C)</f>
        <v>920 Legal</v>
      </c>
      <c r="AB169" s="336" t="s">
        <v>46</v>
      </c>
      <c r="AC169" s="336" t="str">
        <f>_xlfn.XLOOKUP($A169,'2026 Approved Budget'!$B:$B,'2026 Approved Budget'!D:D)</f>
        <v>TBD</v>
      </c>
      <c r="AD169" s="336" t="str">
        <f>_xlfn.XLOOKUP($A169,'2026 Approved Budget'!$B:$B,'2026 Approved Budget'!E:E)</f>
        <v>06. Sr. Director</v>
      </c>
      <c r="AE169" s="336" t="str">
        <f>_xlfn.XLOOKUP($A169,'2026 Approved Budget'!$B:$B,'2026 Approved Budget'!F:F)</f>
        <v>Sr Director, IP Counsel</v>
      </c>
      <c r="AF169" s="338">
        <f>_xlfn.XLOOKUP($A169,'2026 Approved Budget'!$B:$B,'2026 Approved Budget'!H:H)</f>
        <v>46006</v>
      </c>
      <c r="AG169" s="254"/>
    </row>
    <row r="170" spans="1:33" ht="30" customHeight="1" x14ac:dyDescent="0.2">
      <c r="A170" s="239">
        <v>5200</v>
      </c>
      <c r="B170" s="248" t="s">
        <v>521</v>
      </c>
      <c r="C170" s="248" t="s">
        <v>522</v>
      </c>
      <c r="D170" s="248" t="s">
        <v>544</v>
      </c>
      <c r="E170" s="250" t="s">
        <v>34</v>
      </c>
      <c r="F170" s="250" t="s">
        <v>98</v>
      </c>
      <c r="G170" s="249" t="s">
        <v>550</v>
      </c>
      <c r="H170" s="251" t="s">
        <v>37</v>
      </c>
      <c r="I170" s="239">
        <v>6</v>
      </c>
      <c r="J170" s="239"/>
      <c r="K170" s="250" t="s">
        <v>100</v>
      </c>
      <c r="L170" s="239"/>
      <c r="M170" s="239" t="s">
        <v>52</v>
      </c>
      <c r="N170" s="249"/>
      <c r="O170" s="239"/>
      <c r="P170" s="239" t="s">
        <v>132</v>
      </c>
      <c r="Q170" s="248"/>
      <c r="R170" s="249" t="s">
        <v>542</v>
      </c>
      <c r="S170" s="249"/>
      <c r="T170" s="248"/>
      <c r="U170" s="249"/>
      <c r="V170" s="249"/>
      <c r="W170" s="332" t="s">
        <v>43</v>
      </c>
      <c r="X170" s="332" t="s">
        <v>43</v>
      </c>
      <c r="Y170" s="275" t="s">
        <v>69</v>
      </c>
      <c r="Z170" s="337" t="s">
        <v>45</v>
      </c>
      <c r="AA170" s="336" t="str">
        <f>_xlfn.XLOOKUP($A170,'2026 Approved Budget'!$B:$B,'2026 Approved Budget'!C:C)</f>
        <v>920 Legal</v>
      </c>
      <c r="AB170" s="336" t="s">
        <v>46</v>
      </c>
      <c r="AC170" s="336" t="str">
        <f>_xlfn.XLOOKUP($A170,'2026 Approved Budget'!$B:$B,'2026 Approved Budget'!D:D)</f>
        <v>TBD</v>
      </c>
      <c r="AD170" s="336" t="str">
        <f>_xlfn.XLOOKUP($A170,'2026 Approved Budget'!$B:$B,'2026 Approved Budget'!E:E)</f>
        <v>05. Director</v>
      </c>
      <c r="AE170" s="336" t="str">
        <f>_xlfn.XLOOKUP($A170,'2026 Approved Budget'!$B:$B,'2026 Approved Budget'!F:F)</f>
        <v>Director, IP Counsel</v>
      </c>
      <c r="AF170" s="338">
        <f>_xlfn.XLOOKUP($A170,'2026 Approved Budget'!$B:$B,'2026 Approved Budget'!H:H)</f>
        <v>46280</v>
      </c>
      <c r="AG170" s="254"/>
    </row>
    <row r="171" spans="1:33" ht="30" customHeight="1" x14ac:dyDescent="0.2">
      <c r="A171" s="239">
        <v>5203</v>
      </c>
      <c r="B171" s="248" t="s">
        <v>521</v>
      </c>
      <c r="C171" s="248" t="s">
        <v>522</v>
      </c>
      <c r="D171" s="248" t="s">
        <v>526</v>
      </c>
      <c r="E171" s="250" t="s">
        <v>34</v>
      </c>
      <c r="F171" s="251" t="s">
        <v>117</v>
      </c>
      <c r="G171" s="299" t="s">
        <v>541</v>
      </c>
      <c r="H171" s="251" t="s">
        <v>50</v>
      </c>
      <c r="I171" s="239">
        <v>4</v>
      </c>
      <c r="J171" s="239"/>
      <c r="K171" s="250" t="s">
        <v>100</v>
      </c>
      <c r="L171" s="239"/>
      <c r="M171" s="239" t="s">
        <v>52</v>
      </c>
      <c r="N171" s="249"/>
      <c r="O171" s="239"/>
      <c r="P171" s="239" t="s">
        <v>41</v>
      </c>
      <c r="Q171" s="248"/>
      <c r="R171" s="249" t="s">
        <v>542</v>
      </c>
      <c r="S171" s="249"/>
      <c r="T171" s="248" t="s">
        <v>543</v>
      </c>
      <c r="U171" s="249"/>
      <c r="V171" s="249"/>
      <c r="W171" s="332" t="s">
        <v>43</v>
      </c>
      <c r="X171" s="103" t="s">
        <v>76</v>
      </c>
      <c r="Y171" s="275" t="s">
        <v>69</v>
      </c>
      <c r="Z171" s="337" t="s">
        <v>45</v>
      </c>
      <c r="AA171" s="336" t="str">
        <f>_xlfn.XLOOKUP($A171,'2026 Approved Budget'!$B:$B,'2026 Approved Budget'!C:C)</f>
        <v>920 Legal</v>
      </c>
      <c r="AB171" s="336" t="s">
        <v>46</v>
      </c>
      <c r="AC171" s="336" t="str">
        <f>_xlfn.XLOOKUP($A171,'2026 Approved Budget'!$B:$B,'2026 Approved Budget'!D:D)</f>
        <v>TBD</v>
      </c>
      <c r="AD171" s="336" t="str">
        <f>_xlfn.XLOOKUP($A171,'2026 Approved Budget'!$B:$B,'2026 Approved Budget'!E:E)</f>
        <v>03. Sr. Manager / Sr. Scientist</v>
      </c>
      <c r="AE171" s="336" t="str">
        <f>_xlfn.XLOOKUP($A171,'2026 Approved Budget'!$B:$B,'2026 Approved Budget'!F:F)</f>
        <v>Contract Manager / IP Paralegal</v>
      </c>
      <c r="AF171" s="338">
        <f>_xlfn.XLOOKUP($A171,'2026 Approved Budget'!$B:$B,'2026 Approved Budget'!H:H)</f>
        <v>46096</v>
      </c>
      <c r="AG171" s="252"/>
    </row>
    <row r="172" spans="1:33" ht="30" hidden="1" customHeight="1" x14ac:dyDescent="0.2">
      <c r="A172" s="239">
        <v>1081</v>
      </c>
      <c r="B172" s="240" t="s">
        <v>551</v>
      </c>
      <c r="C172" s="240" t="s">
        <v>552</v>
      </c>
      <c r="D172" s="240" t="s">
        <v>547</v>
      </c>
      <c r="E172" s="241" t="s">
        <v>34</v>
      </c>
      <c r="F172" s="243" t="s">
        <v>105</v>
      </c>
      <c r="G172" s="242" t="s">
        <v>553</v>
      </c>
      <c r="H172" s="243" t="s">
        <v>37</v>
      </c>
      <c r="I172" s="241"/>
      <c r="J172" s="241"/>
      <c r="K172" s="244" t="s">
        <v>107</v>
      </c>
      <c r="L172" s="241" t="s">
        <v>39</v>
      </c>
      <c r="M172" s="241"/>
      <c r="N172" s="240" t="s">
        <v>554</v>
      </c>
      <c r="O172" s="246">
        <v>10111</v>
      </c>
      <c r="P172" s="241" t="s">
        <v>41</v>
      </c>
      <c r="Q172" s="240" t="s">
        <v>555</v>
      </c>
      <c r="R172" s="240"/>
      <c r="S172" s="270"/>
      <c r="T172" s="245" t="s">
        <v>111</v>
      </c>
      <c r="U172" s="245"/>
      <c r="V172" s="242"/>
      <c r="W172" s="332" t="s">
        <v>43</v>
      </c>
      <c r="X172" s="332" t="s">
        <v>43</v>
      </c>
      <c r="Y172" s="336" t="s">
        <v>44</v>
      </c>
      <c r="Z172" s="337" t="s">
        <v>45</v>
      </c>
      <c r="AA172" s="336" t="str">
        <f>_xlfn.XLOOKUP($A172,'2026 Approved Budget'!$B:$B,'2026 Approved Budget'!C:C)</f>
        <v>915 Accounting</v>
      </c>
      <c r="AB172" s="336" t="s">
        <v>46</v>
      </c>
      <c r="AC172" s="336" t="str">
        <f>_xlfn.XLOOKUP($A172,'2026 Approved Budget'!$B:$B,'2026 Approved Budget'!D:D)</f>
        <v>Darrin Chang</v>
      </c>
      <c r="AD172" s="336" t="str">
        <f>_xlfn.XLOOKUP($A172,'2026 Approved Budget'!$B:$B,'2026 Approved Budget'!E:E)</f>
        <v>08. VP</v>
      </c>
      <c r="AE172" s="336" t="str">
        <f>_xlfn.XLOOKUP($A172,'2026 Approved Budget'!$B:$B,'2026 Approved Budget'!F:F)</f>
        <v>VP, Finance (Head of Fiinance and Accounting)</v>
      </c>
      <c r="AF172" s="338">
        <f>_xlfn.XLOOKUP($A172,'2026 Approved Budget'!$B:$B,'2026 Approved Budget'!H:H)</f>
        <v>45621</v>
      </c>
      <c r="AG172" s="252"/>
    </row>
    <row r="173" spans="1:33" ht="15" hidden="1" customHeight="1" x14ac:dyDescent="0.2">
      <c r="A173" s="239">
        <v>1229</v>
      </c>
      <c r="B173" s="240" t="s">
        <v>551</v>
      </c>
      <c r="C173" s="240" t="s">
        <v>552</v>
      </c>
      <c r="D173" s="240" t="s">
        <v>556</v>
      </c>
      <c r="E173" s="241" t="s">
        <v>34</v>
      </c>
      <c r="F173" s="243" t="s">
        <v>58</v>
      </c>
      <c r="G173" s="242" t="s">
        <v>557</v>
      </c>
      <c r="H173" s="243" t="s">
        <v>37</v>
      </c>
      <c r="I173" s="241"/>
      <c r="J173" s="241"/>
      <c r="K173" s="247" t="s">
        <v>130</v>
      </c>
      <c r="L173" s="241" t="s">
        <v>39</v>
      </c>
      <c r="M173" s="246" t="s">
        <v>52</v>
      </c>
      <c r="N173" s="240" t="s">
        <v>558</v>
      </c>
      <c r="O173" s="246">
        <v>10147</v>
      </c>
      <c r="P173" s="241" t="s">
        <v>41</v>
      </c>
      <c r="Q173" s="240" t="s">
        <v>559</v>
      </c>
      <c r="R173" s="240"/>
      <c r="S173" s="270"/>
      <c r="T173" s="270"/>
      <c r="U173" s="245"/>
      <c r="V173" s="242"/>
      <c r="W173" s="332" t="s">
        <v>43</v>
      </c>
      <c r="X173" s="332" t="s">
        <v>43</v>
      </c>
      <c r="Y173" s="336" t="s">
        <v>44</v>
      </c>
      <c r="Z173" s="337" t="s">
        <v>45</v>
      </c>
      <c r="AA173" s="336" t="str">
        <f>_xlfn.XLOOKUP($A173,'2026 Approved Budget'!$B:$B,'2026 Approved Budget'!C:C)</f>
        <v>915 Accounting</v>
      </c>
      <c r="AB173" s="336" t="s">
        <v>46</v>
      </c>
      <c r="AC173" s="336" t="str">
        <f>_xlfn.XLOOKUP($A173,'2026 Approved Budget'!$B:$B,'2026 Approved Budget'!D:D)</f>
        <v>Suresh Sasidaran</v>
      </c>
      <c r="AD173" s="336" t="str">
        <f>_xlfn.XLOOKUP($A173,'2026 Approved Budget'!$B:$B,'2026 Approved Budget'!E:E)</f>
        <v>06. Sr. Director</v>
      </c>
      <c r="AE173" s="336" t="str">
        <f>_xlfn.XLOOKUP($A173,'2026 Approved Budget'!$B:$B,'2026 Approved Budget'!F:F)</f>
        <v>Sr. Director, Accounting</v>
      </c>
      <c r="AF173" s="338">
        <f>_xlfn.XLOOKUP($A173,'2026 Approved Budget'!$B:$B,'2026 Approved Budget'!H:H)</f>
        <v>45678</v>
      </c>
      <c r="AG173" s="254"/>
    </row>
    <row r="174" spans="1:33" ht="15" hidden="1" customHeight="1" x14ac:dyDescent="0.2">
      <c r="A174" s="239">
        <v>1231</v>
      </c>
      <c r="B174" s="240" t="s">
        <v>551</v>
      </c>
      <c r="C174" s="240" t="s">
        <v>552</v>
      </c>
      <c r="D174" s="240" t="s">
        <v>556</v>
      </c>
      <c r="E174" s="241" t="s">
        <v>34</v>
      </c>
      <c r="F174" s="241" t="s">
        <v>98</v>
      </c>
      <c r="G174" s="242" t="s">
        <v>566</v>
      </c>
      <c r="H174" s="243" t="s">
        <v>37</v>
      </c>
      <c r="I174" s="241"/>
      <c r="J174" s="241"/>
      <c r="K174" s="247" t="s">
        <v>51</v>
      </c>
      <c r="L174" s="241" t="s">
        <v>39</v>
      </c>
      <c r="M174" s="241"/>
      <c r="N174" s="240" t="s">
        <v>567</v>
      </c>
      <c r="O174" s="246">
        <v>10276</v>
      </c>
      <c r="P174" s="241" t="s">
        <v>41</v>
      </c>
      <c r="Q174" s="240" t="s">
        <v>568</v>
      </c>
      <c r="R174" s="240"/>
      <c r="S174" s="270"/>
      <c r="T174" s="270"/>
      <c r="U174" s="245"/>
      <c r="V174" s="242"/>
      <c r="W174" s="332" t="s">
        <v>43</v>
      </c>
      <c r="X174" s="332" t="s">
        <v>43</v>
      </c>
      <c r="Y174" s="336" t="s">
        <v>44</v>
      </c>
      <c r="Z174" s="337" t="s">
        <v>45</v>
      </c>
      <c r="AA174" s="336" t="str">
        <f>_xlfn.XLOOKUP($A174,'2026 Approved Budget'!$B:$B,'2026 Approved Budget'!C:C)</f>
        <v>915 Accounting</v>
      </c>
      <c r="AB174" s="336" t="s">
        <v>46</v>
      </c>
      <c r="AC174" s="336" t="str">
        <f>_xlfn.XLOOKUP($A174,'2026 Approved Budget'!$B:$B,'2026 Approved Budget'!D:D)</f>
        <v>Monika Kocinska</v>
      </c>
      <c r="AD174" s="336" t="str">
        <f>_xlfn.XLOOKUP($A174,'2026 Approved Budget'!$B:$B,'2026 Approved Budget'!E:E)</f>
        <v>05. Director</v>
      </c>
      <c r="AE174" s="336" t="str">
        <f>_xlfn.XLOOKUP($A174,'2026 Approved Budget'!$B:$B,'2026 Approved Budget'!F:F)</f>
        <v>SEC Reporting Technical Accounting &amp; SOX</v>
      </c>
      <c r="AF174" s="338">
        <f>_xlfn.XLOOKUP($A174,'2026 Approved Budget'!$B:$B,'2026 Approved Budget'!H:H)</f>
        <v>45922</v>
      </c>
      <c r="AG174" s="254"/>
    </row>
    <row r="175" spans="1:33" ht="90" hidden="1" customHeight="1" x14ac:dyDescent="0.2">
      <c r="A175" s="239">
        <v>1396</v>
      </c>
      <c r="B175" s="240" t="s">
        <v>551</v>
      </c>
      <c r="C175" s="240" t="s">
        <v>552</v>
      </c>
      <c r="D175" s="245" t="s">
        <v>556</v>
      </c>
      <c r="E175" s="241" t="s">
        <v>34</v>
      </c>
      <c r="F175" s="241" t="s">
        <v>98</v>
      </c>
      <c r="G175" s="242" t="s">
        <v>577</v>
      </c>
      <c r="H175" s="243" t="s">
        <v>60</v>
      </c>
      <c r="I175" s="241"/>
      <c r="J175" s="241"/>
      <c r="K175" s="247" t="s">
        <v>61</v>
      </c>
      <c r="L175" s="246" t="s">
        <v>39</v>
      </c>
      <c r="M175" s="246"/>
      <c r="N175" s="245" t="s">
        <v>578</v>
      </c>
      <c r="O175" s="246">
        <v>10315</v>
      </c>
      <c r="P175" s="241" t="s">
        <v>41</v>
      </c>
      <c r="Q175" s="240" t="s">
        <v>579</v>
      </c>
      <c r="R175" s="240"/>
      <c r="S175" s="245"/>
      <c r="T175" s="245"/>
      <c r="U175" s="245"/>
      <c r="V175" s="242"/>
      <c r="W175" s="332" t="s">
        <v>43</v>
      </c>
      <c r="X175" s="103" t="s">
        <v>43</v>
      </c>
      <c r="Y175" s="336" t="s">
        <v>44</v>
      </c>
      <c r="Z175" s="337" t="s">
        <v>45</v>
      </c>
      <c r="AA175" s="336" t="str">
        <f>_xlfn.XLOOKUP($A175,'2026 Approved Budget'!$B:$B,'2026 Approved Budget'!C:C)</f>
        <v>916 Finance</v>
      </c>
      <c r="AB175" s="336" t="s">
        <v>88</v>
      </c>
      <c r="AC175" s="336" t="str">
        <f>_xlfn.XLOOKUP($A175,'2026 Approved Budget'!$B:$B,'2026 Approved Budget'!D:D)</f>
        <v>TBD</v>
      </c>
      <c r="AD175" s="336" t="str">
        <f>_xlfn.XLOOKUP($A175,'2026 Approved Budget'!$B:$B,'2026 Approved Budget'!E:E)</f>
        <v>05. Director</v>
      </c>
      <c r="AE175" s="336" t="str">
        <f>_xlfn.XLOOKUP($A175,'2026 Approved Budget'!$B:$B,'2026 Approved Budget'!F:F)</f>
        <v>Divisional Controller / Head of Finance</v>
      </c>
      <c r="AF175" s="338">
        <f>_xlfn.XLOOKUP($A175,'2026 Approved Budget'!$B:$B,'2026 Approved Budget'!H:H)</f>
        <v>46006</v>
      </c>
      <c r="AG175" s="254"/>
    </row>
    <row r="176" spans="1:33" ht="30" hidden="1" customHeight="1" x14ac:dyDescent="0.2">
      <c r="A176" s="239">
        <v>1317</v>
      </c>
      <c r="B176" s="240" t="s">
        <v>551</v>
      </c>
      <c r="C176" s="240" t="s">
        <v>552</v>
      </c>
      <c r="D176" s="240" t="s">
        <v>556</v>
      </c>
      <c r="E176" s="241" t="s">
        <v>34</v>
      </c>
      <c r="F176" s="243" t="s">
        <v>117</v>
      </c>
      <c r="G176" s="242" t="s">
        <v>560</v>
      </c>
      <c r="H176" s="243" t="s">
        <v>37</v>
      </c>
      <c r="I176" s="241"/>
      <c r="J176" s="241"/>
      <c r="K176" s="247" t="s">
        <v>130</v>
      </c>
      <c r="L176" s="241" t="s">
        <v>39</v>
      </c>
      <c r="M176" s="246" t="s">
        <v>52</v>
      </c>
      <c r="N176" s="240" t="s">
        <v>561</v>
      </c>
      <c r="O176" s="246">
        <v>10170</v>
      </c>
      <c r="P176" s="241" t="s">
        <v>41</v>
      </c>
      <c r="Q176" s="240" t="s">
        <v>562</v>
      </c>
      <c r="R176" s="240"/>
      <c r="S176" s="270"/>
      <c r="T176" s="270"/>
      <c r="U176" s="245"/>
      <c r="V176" s="242"/>
      <c r="W176" s="332" t="s">
        <v>43</v>
      </c>
      <c r="X176" s="332" t="s">
        <v>43</v>
      </c>
      <c r="Y176" s="336" t="s">
        <v>44</v>
      </c>
      <c r="Z176" s="337" t="s">
        <v>45</v>
      </c>
      <c r="AA176" s="336" t="str">
        <f>_xlfn.XLOOKUP($A176,'2026 Approved Budget'!$B:$B,'2026 Approved Budget'!C:C)</f>
        <v>915 Accounting</v>
      </c>
      <c r="AB176" s="336" t="s">
        <v>46</v>
      </c>
      <c r="AC176" s="336" t="str">
        <f>_xlfn.XLOOKUP($A176,'2026 Approved Budget'!$B:$B,'2026 Approved Budget'!D:D)</f>
        <v>Maria Luz David</v>
      </c>
      <c r="AD176" s="336" t="str">
        <f>_xlfn.XLOOKUP($A176,'2026 Approved Budget'!$B:$B,'2026 Approved Budget'!E:E)</f>
        <v>03. Sr. Manager / Sr. Scientist</v>
      </c>
      <c r="AE176" s="336" t="str">
        <f>_xlfn.XLOOKUP($A176,'2026 Approved Budget'!$B:$B,'2026 Approved Budget'!F:F)</f>
        <v>Sr. Procurement Manager</v>
      </c>
      <c r="AF176" s="338">
        <f>_xlfn.XLOOKUP($A176,'2026 Approved Budget'!$B:$B,'2026 Approved Budget'!H:H)</f>
        <v>45726</v>
      </c>
      <c r="AG176" s="252"/>
    </row>
    <row r="177" spans="1:33" ht="30" hidden="1" customHeight="1" x14ac:dyDescent="0.2">
      <c r="A177" s="239">
        <v>1230</v>
      </c>
      <c r="B177" s="240" t="s">
        <v>551</v>
      </c>
      <c r="C177" s="240" t="s">
        <v>552</v>
      </c>
      <c r="D177" s="240" t="s">
        <v>563</v>
      </c>
      <c r="E177" s="241" t="s">
        <v>34</v>
      </c>
      <c r="F177" s="243" t="s">
        <v>117</v>
      </c>
      <c r="G177" s="242" t="s">
        <v>564</v>
      </c>
      <c r="H177" s="243" t="s">
        <v>50</v>
      </c>
      <c r="I177" s="241"/>
      <c r="J177" s="241"/>
      <c r="K177" s="247" t="s">
        <v>114</v>
      </c>
      <c r="L177" s="241" t="s">
        <v>39</v>
      </c>
      <c r="M177" s="241"/>
      <c r="N177" s="245" t="s">
        <v>565</v>
      </c>
      <c r="O177" s="246">
        <v>10245</v>
      </c>
      <c r="P177" s="241" t="s">
        <v>41</v>
      </c>
      <c r="Q177" s="240" t="s">
        <v>559</v>
      </c>
      <c r="R177" s="240"/>
      <c r="S177" s="245"/>
      <c r="T177" s="270"/>
      <c r="U177" s="245"/>
      <c r="V177" s="242"/>
      <c r="W177" s="332" t="s">
        <v>43</v>
      </c>
      <c r="X177" s="103" t="s">
        <v>43</v>
      </c>
      <c r="Y177" s="336" t="s">
        <v>44</v>
      </c>
      <c r="Z177" s="337" t="s">
        <v>45</v>
      </c>
      <c r="AA177" s="336" t="str">
        <f>_xlfn.XLOOKUP($A177,'2026 Approved Budget'!$B:$B,'2026 Approved Budget'!C:C)</f>
        <v>915 Accounting</v>
      </c>
      <c r="AB177" s="336" t="s">
        <v>46</v>
      </c>
      <c r="AC177" s="336" t="str">
        <f>_xlfn.XLOOKUP($A177,'2026 Approved Budget'!$B:$B,'2026 Approved Budget'!D:D)</f>
        <v>Leonard Ruditski</v>
      </c>
      <c r="AD177" s="336" t="str">
        <f>_xlfn.XLOOKUP($A177,'2026 Approved Budget'!$B:$B,'2026 Approved Budget'!E:E)</f>
        <v>03. Sr. Manager / Sr. Scientist</v>
      </c>
      <c r="AE177" s="336" t="str">
        <f>_xlfn.XLOOKUP($A177,'2026 Approved Budget'!$B:$B,'2026 Approved Budget'!F:F)</f>
        <v>Sr. Manager, Accounting &amp; Payroll</v>
      </c>
      <c r="AF177" s="338">
        <f>_xlfn.XLOOKUP($A177,'2026 Approved Budget'!$B:$B,'2026 Approved Budget'!H:H)</f>
        <v>45838</v>
      </c>
      <c r="AG177" s="252"/>
    </row>
    <row r="178" spans="1:33" ht="30" hidden="1" customHeight="1" x14ac:dyDescent="0.2">
      <c r="A178" s="239">
        <v>1349</v>
      </c>
      <c r="B178" s="240" t="s">
        <v>551</v>
      </c>
      <c r="C178" s="240" t="s">
        <v>552</v>
      </c>
      <c r="D178" s="240" t="s">
        <v>563</v>
      </c>
      <c r="E178" s="241" t="s">
        <v>34</v>
      </c>
      <c r="F178" s="243" t="s">
        <v>117</v>
      </c>
      <c r="G178" s="242" t="s">
        <v>571</v>
      </c>
      <c r="H178" s="243" t="s">
        <v>50</v>
      </c>
      <c r="I178" s="241"/>
      <c r="J178" s="241"/>
      <c r="K178" s="247" t="s">
        <v>124</v>
      </c>
      <c r="L178" s="246" t="s">
        <v>39</v>
      </c>
      <c r="M178" s="246" t="s">
        <v>52</v>
      </c>
      <c r="N178" s="240" t="s">
        <v>572</v>
      </c>
      <c r="O178" s="246">
        <v>10294</v>
      </c>
      <c r="P178" s="241" t="s">
        <v>41</v>
      </c>
      <c r="Q178" s="240" t="s">
        <v>573</v>
      </c>
      <c r="R178" s="240"/>
      <c r="S178" s="270"/>
      <c r="T178" s="270"/>
      <c r="U178" s="245"/>
      <c r="V178" s="242"/>
      <c r="W178" s="332" t="s">
        <v>43</v>
      </c>
      <c r="X178" s="332" t="s">
        <v>43</v>
      </c>
      <c r="Y178" s="336" t="s">
        <v>44</v>
      </c>
      <c r="Z178" s="337" t="s">
        <v>45</v>
      </c>
      <c r="AA178" s="336" t="str">
        <f>_xlfn.XLOOKUP($A178,'2026 Approved Budget'!$B:$B,'2026 Approved Budget'!C:C)</f>
        <v>915 Accounting</v>
      </c>
      <c r="AB178" s="336" t="s">
        <v>46</v>
      </c>
      <c r="AC178" s="336" t="str">
        <f>_xlfn.XLOOKUP($A178,'2026 Approved Budget'!$B:$B,'2026 Approved Budget'!D:D)</f>
        <v>Niru Pandurangi</v>
      </c>
      <c r="AD178" s="336" t="str">
        <f>_xlfn.XLOOKUP($A178,'2026 Approved Budget'!$B:$B,'2026 Approved Budget'!E:E)</f>
        <v>03. Sr. Manager / Sr. Scientist</v>
      </c>
      <c r="AE178" s="336" t="str">
        <f>_xlfn.XLOOKUP($A178,'2026 Approved Budget'!$B:$B,'2026 Approved Budget'!F:F)</f>
        <v xml:space="preserve">Payroll </v>
      </c>
      <c r="AF178" s="338">
        <f>_xlfn.XLOOKUP($A178,'2026 Approved Budget'!$B:$B,'2026 Approved Budget'!H:H)</f>
        <v>45971</v>
      </c>
      <c r="AG178" s="254"/>
    </row>
    <row r="179" spans="1:33" ht="45" hidden="1" customHeight="1" x14ac:dyDescent="0.2">
      <c r="A179" s="239">
        <v>1232</v>
      </c>
      <c r="B179" s="240" t="s">
        <v>551</v>
      </c>
      <c r="C179" s="240" t="s">
        <v>552</v>
      </c>
      <c r="D179" s="240" t="s">
        <v>563</v>
      </c>
      <c r="E179" s="241" t="s">
        <v>34</v>
      </c>
      <c r="F179" s="243" t="s">
        <v>197</v>
      </c>
      <c r="G179" s="242" t="s">
        <v>569</v>
      </c>
      <c r="H179" s="243" t="s">
        <v>50</v>
      </c>
      <c r="I179" s="241"/>
      <c r="J179" s="241"/>
      <c r="K179" s="247" t="s">
        <v>51</v>
      </c>
      <c r="L179" s="241" t="s">
        <v>39</v>
      </c>
      <c r="M179" s="241"/>
      <c r="N179" s="245" t="s">
        <v>570</v>
      </c>
      <c r="O179" s="246">
        <v>10228</v>
      </c>
      <c r="P179" s="241" t="s">
        <v>41</v>
      </c>
      <c r="Q179" s="240"/>
      <c r="R179" s="240"/>
      <c r="S179" s="245"/>
      <c r="T179" s="245"/>
      <c r="U179" s="245"/>
      <c r="V179" s="242"/>
      <c r="W179" s="332" t="s">
        <v>43</v>
      </c>
      <c r="X179" s="332" t="s">
        <v>43</v>
      </c>
      <c r="Y179" s="336" t="s">
        <v>44</v>
      </c>
      <c r="Z179" s="337" t="s">
        <v>45</v>
      </c>
      <c r="AA179" s="336" t="str">
        <f>_xlfn.XLOOKUP($A179,'2026 Approved Budget'!$B:$B,'2026 Approved Budget'!C:C)</f>
        <v>915 Accounting</v>
      </c>
      <c r="AB179" s="336" t="s">
        <v>46</v>
      </c>
      <c r="AC179" s="336" t="str">
        <f>_xlfn.XLOOKUP($A179,'2026 Approved Budget'!$B:$B,'2026 Approved Budget'!D:D)</f>
        <v>Angelo Pollari</v>
      </c>
      <c r="AD179" s="336" t="str">
        <f>_xlfn.XLOOKUP($A179,'2026 Approved Budget'!$B:$B,'2026 Approved Budget'!E:E)</f>
        <v>02. Manager / Scientist</v>
      </c>
      <c r="AE179" s="336" t="str">
        <f>_xlfn.XLOOKUP($A179,'2026 Approved Budget'!$B:$B,'2026 Approved Budget'!F:F)</f>
        <v>AP Manager</v>
      </c>
      <c r="AF179" s="338">
        <f>_xlfn.XLOOKUP($A179,'2026 Approved Budget'!$B:$B,'2026 Approved Budget'!H:H)</f>
        <v>45866</v>
      </c>
      <c r="AG179" s="254"/>
    </row>
    <row r="180" spans="1:33" ht="30" customHeight="1" x14ac:dyDescent="0.2">
      <c r="A180" s="239">
        <v>1366</v>
      </c>
      <c r="B180" s="248" t="s">
        <v>551</v>
      </c>
      <c r="C180" s="248" t="s">
        <v>552</v>
      </c>
      <c r="D180" s="248" t="s">
        <v>563</v>
      </c>
      <c r="E180" s="250" t="s">
        <v>34</v>
      </c>
      <c r="F180" s="239" t="s">
        <v>117</v>
      </c>
      <c r="G180" s="256" t="s">
        <v>580</v>
      </c>
      <c r="H180" s="250" t="s">
        <v>37</v>
      </c>
      <c r="I180" s="250">
        <v>3</v>
      </c>
      <c r="J180" s="250"/>
      <c r="K180" s="253" t="s">
        <v>71</v>
      </c>
      <c r="L180" s="250" t="s">
        <v>62</v>
      </c>
      <c r="M180" s="239" t="s">
        <v>52</v>
      </c>
      <c r="N180" s="248" t="s">
        <v>581</v>
      </c>
      <c r="O180" s="239"/>
      <c r="P180" s="250" t="s">
        <v>41</v>
      </c>
      <c r="Q180" s="248" t="s">
        <v>496</v>
      </c>
      <c r="R180" s="248"/>
      <c r="S180" s="248"/>
      <c r="T180" s="248"/>
      <c r="U180" s="249"/>
      <c r="V180" s="256"/>
      <c r="W180" s="332" t="s">
        <v>43</v>
      </c>
      <c r="X180" s="332" t="s">
        <v>43</v>
      </c>
      <c r="Y180" s="275" t="s">
        <v>69</v>
      </c>
      <c r="Z180" s="337" t="s">
        <v>45</v>
      </c>
      <c r="AA180" s="336" t="str">
        <f>_xlfn.XLOOKUP($A180,'2026 Approved Budget'!$B:$B,'2026 Approved Budget'!C:C)</f>
        <v>915 Accounting</v>
      </c>
      <c r="AB180" s="336" t="s">
        <v>46</v>
      </c>
      <c r="AC180" s="336" t="str">
        <f>_xlfn.XLOOKUP($A180,'2026 Approved Budget'!$B:$B,'2026 Approved Budget'!D:D)</f>
        <v>Martha Alshaweesh</v>
      </c>
      <c r="AD180" s="336" t="str">
        <f>_xlfn.XLOOKUP($A180,'2026 Approved Budget'!$B:$B,'2026 Approved Budget'!E:E)</f>
        <v>03. Sr. Manager / Sr. Scientist</v>
      </c>
      <c r="AE180" s="336" t="str">
        <f>_xlfn.XLOOKUP($A180,'2026 Approved Budget'!$B:$B,'2026 Approved Budget'!F:F)</f>
        <v>Staff Accountant</v>
      </c>
      <c r="AF180" s="338">
        <f>_xlfn.XLOOKUP($A180,'2026 Approved Budget'!$B:$B,'2026 Approved Budget'!H:H)</f>
        <v>45719</v>
      </c>
      <c r="AG180" s="252"/>
    </row>
    <row r="181" spans="1:33" ht="30" customHeight="1" x14ac:dyDescent="0.2">
      <c r="A181" s="260">
        <v>5179</v>
      </c>
      <c r="B181" s="248" t="s">
        <v>551</v>
      </c>
      <c r="C181" s="248" t="s">
        <v>552</v>
      </c>
      <c r="D181" s="249" t="s">
        <v>556</v>
      </c>
      <c r="E181" s="250" t="s">
        <v>34</v>
      </c>
      <c r="F181" s="251" t="s">
        <v>197</v>
      </c>
      <c r="G181" s="256" t="s">
        <v>574</v>
      </c>
      <c r="H181" s="251" t="s">
        <v>50</v>
      </c>
      <c r="I181" s="250">
        <v>4</v>
      </c>
      <c r="J181" s="250"/>
      <c r="K181" s="253" t="s">
        <v>61</v>
      </c>
      <c r="L181" s="239"/>
      <c r="M181" s="239" t="s">
        <v>52</v>
      </c>
      <c r="N181" s="249"/>
      <c r="O181" s="260"/>
      <c r="P181" s="239" t="s">
        <v>41</v>
      </c>
      <c r="Q181" s="248" t="s">
        <v>575</v>
      </c>
      <c r="R181" s="248" t="s">
        <v>576</v>
      </c>
      <c r="S181" s="249"/>
      <c r="T181" s="249"/>
      <c r="U181" s="249"/>
      <c r="V181" s="256"/>
      <c r="W181" s="332" t="s">
        <v>43</v>
      </c>
      <c r="X181" s="332" t="s">
        <v>43</v>
      </c>
      <c r="Y181" s="275" t="s">
        <v>69</v>
      </c>
      <c r="Z181" s="337" t="s">
        <v>45</v>
      </c>
      <c r="AA181" s="336" t="str">
        <f>_xlfn.XLOOKUP($A181,'2026 Approved Budget'!$B:$B,'2026 Approved Budget'!C:C)</f>
        <v>915 Accounting</v>
      </c>
      <c r="AB181" s="336" t="s">
        <v>46</v>
      </c>
      <c r="AC181" s="336" t="str">
        <f>_xlfn.XLOOKUP($A181,'2026 Approved Budget'!$B:$B,'2026 Approved Budget'!D:D)</f>
        <v>TBD</v>
      </c>
      <c r="AD181" s="336" t="str">
        <f>_xlfn.XLOOKUP($A181,'2026 Approved Budget'!$B:$B,'2026 Approved Budget'!E:E)</f>
        <v>02. Manager / Scientist</v>
      </c>
      <c r="AE181" s="336" t="str">
        <f>_xlfn.XLOOKUP($A181,'2026 Approved Budget'!$B:$B,'2026 Approved Budget'!F:F)</f>
        <v>Procurment Manager</v>
      </c>
      <c r="AF181" s="338">
        <f>_xlfn.XLOOKUP($A181,'2026 Approved Budget'!$B:$B,'2026 Approved Budget'!H:H)</f>
        <v>46096</v>
      </c>
      <c r="AG181" s="254"/>
    </row>
    <row r="182" spans="1:33" ht="30" customHeight="1" x14ac:dyDescent="0.2">
      <c r="A182" s="239">
        <v>5340</v>
      </c>
      <c r="B182" s="248" t="s">
        <v>551</v>
      </c>
      <c r="C182" s="248" t="s">
        <v>552</v>
      </c>
      <c r="D182" s="249" t="s">
        <v>556</v>
      </c>
      <c r="E182" s="250" t="s">
        <v>34</v>
      </c>
      <c r="F182" s="239" t="s">
        <v>197</v>
      </c>
      <c r="G182" s="256" t="s">
        <v>582</v>
      </c>
      <c r="H182" s="251" t="s">
        <v>37</v>
      </c>
      <c r="I182" s="250">
        <v>8</v>
      </c>
      <c r="J182" s="250"/>
      <c r="K182" s="253" t="s">
        <v>100</v>
      </c>
      <c r="L182" s="239"/>
      <c r="M182" s="239"/>
      <c r="N182" s="249"/>
      <c r="O182" s="239"/>
      <c r="P182" s="239" t="s">
        <v>41</v>
      </c>
      <c r="Q182" s="248" t="s">
        <v>583</v>
      </c>
      <c r="R182" s="249"/>
      <c r="S182" s="249"/>
      <c r="T182" s="249"/>
      <c r="U182" s="249"/>
      <c r="V182" s="256"/>
      <c r="W182" s="332" t="s">
        <v>43</v>
      </c>
      <c r="X182" s="332" t="s">
        <v>43</v>
      </c>
      <c r="Y182" s="275" t="s">
        <v>69</v>
      </c>
      <c r="Z182" s="337" t="s">
        <v>45</v>
      </c>
      <c r="AA182" s="336" t="str">
        <f>_xlfn.XLOOKUP($A182,'2026 Approved Budget'!$B:$B,'2026 Approved Budget'!C:C)</f>
        <v>915 Accounting</v>
      </c>
      <c r="AB182" s="336" t="s">
        <v>46</v>
      </c>
      <c r="AC182" s="336" t="str">
        <f>_xlfn.XLOOKUP($A182,'2026 Approved Budget'!$B:$B,'2026 Approved Budget'!D:D)</f>
        <v>TBD</v>
      </c>
      <c r="AD182" s="336" t="str">
        <f>_xlfn.XLOOKUP($A182,'2026 Approved Budget'!$B:$B,'2026 Approved Budget'!E:E)</f>
        <v>02. Manager / Scientist</v>
      </c>
      <c r="AE182" s="336" t="str">
        <f>_xlfn.XLOOKUP($A182,'2026 Approved Budget'!$B:$B,'2026 Approved Budget'!F:F)</f>
        <v>SEC Reporting Technical Accounting &amp; SOX</v>
      </c>
      <c r="AF182" s="338">
        <f>_xlfn.XLOOKUP($A182,'2026 Approved Budget'!$B:$B,'2026 Approved Budget'!H:H)</f>
        <v>46280</v>
      </c>
      <c r="AG182" s="252"/>
    </row>
    <row r="183" spans="1:33" ht="15" customHeight="1" x14ac:dyDescent="0.2">
      <c r="A183" s="239">
        <v>5180</v>
      </c>
      <c r="B183" s="248" t="s">
        <v>551</v>
      </c>
      <c r="C183" s="248" t="s">
        <v>584</v>
      </c>
      <c r="D183" s="249" t="s">
        <v>547</v>
      </c>
      <c r="E183" s="250" t="s">
        <v>34</v>
      </c>
      <c r="F183" s="251" t="s">
        <v>105</v>
      </c>
      <c r="G183" s="256" t="s">
        <v>604</v>
      </c>
      <c r="H183" s="251" t="s">
        <v>50</v>
      </c>
      <c r="I183" s="250">
        <v>1</v>
      </c>
      <c r="J183" s="250" t="s">
        <v>2125</v>
      </c>
      <c r="K183" s="253" t="s">
        <v>61</v>
      </c>
      <c r="L183" s="250" t="s">
        <v>534</v>
      </c>
      <c r="M183" s="239" t="s">
        <v>52</v>
      </c>
      <c r="N183" s="249"/>
      <c r="O183" s="239"/>
      <c r="P183" s="239" t="s">
        <v>41</v>
      </c>
      <c r="Q183" s="248" t="s">
        <v>605</v>
      </c>
      <c r="R183" s="248"/>
      <c r="S183" s="249"/>
      <c r="T183" s="249"/>
      <c r="U183" s="249"/>
      <c r="V183" s="256"/>
      <c r="W183" s="332" t="s">
        <v>43</v>
      </c>
      <c r="X183" s="332" t="s">
        <v>43</v>
      </c>
      <c r="Y183" s="275" t="s">
        <v>69</v>
      </c>
      <c r="Z183" s="337" t="s">
        <v>45</v>
      </c>
      <c r="AA183" s="336" t="str">
        <f>_xlfn.XLOOKUP($A183,'2026 Approved Budget'!$B:$B,'2026 Approved Budget'!C:C)</f>
        <v>915 Accounting</v>
      </c>
      <c r="AB183" s="336" t="s">
        <v>88</v>
      </c>
      <c r="AC183" s="336" t="str">
        <f>_xlfn.XLOOKUP($A183,'2026 Approved Budget'!$B:$B,'2026 Approved Budget'!D:D)</f>
        <v>TBD</v>
      </c>
      <c r="AD183" s="336" t="str">
        <f>_xlfn.XLOOKUP($A183,'2026 Approved Budget'!$B:$B,'2026 Approved Budget'!E:E)</f>
        <v>08. VP</v>
      </c>
      <c r="AE183" s="336" t="str">
        <f>_xlfn.XLOOKUP($A183,'2026 Approved Budget'!$B:$B,'2026 Approved Budget'!F:F)</f>
        <v>VP, Finance</v>
      </c>
      <c r="AF183" s="338">
        <f>_xlfn.XLOOKUP($A183,'2026 Approved Budget'!$B:$B,'2026 Approved Budget'!H:H)</f>
        <v>46096</v>
      </c>
      <c r="AG183" s="254"/>
    </row>
    <row r="184" spans="1:33" ht="105" hidden="1" customHeight="1" x14ac:dyDescent="0.2">
      <c r="A184" s="239">
        <v>1227</v>
      </c>
      <c r="B184" s="269" t="s">
        <v>551</v>
      </c>
      <c r="C184" s="240" t="s">
        <v>584</v>
      </c>
      <c r="D184" s="240" t="s">
        <v>33</v>
      </c>
      <c r="E184" s="241" t="s">
        <v>34</v>
      </c>
      <c r="F184" s="241" t="s">
        <v>35</v>
      </c>
      <c r="G184" s="242" t="s">
        <v>585</v>
      </c>
      <c r="H184" s="243" t="s">
        <v>50</v>
      </c>
      <c r="I184" s="241"/>
      <c r="J184" s="241"/>
      <c r="K184" s="247" t="s">
        <v>107</v>
      </c>
      <c r="L184" s="241" t="s">
        <v>39</v>
      </c>
      <c r="M184" s="241"/>
      <c r="N184" s="240" t="s">
        <v>586</v>
      </c>
      <c r="O184" s="246">
        <v>10108</v>
      </c>
      <c r="P184" s="241" t="s">
        <v>41</v>
      </c>
      <c r="Q184" s="240" t="s">
        <v>587</v>
      </c>
      <c r="R184" s="240"/>
      <c r="S184" s="270"/>
      <c r="T184" s="270"/>
      <c r="U184" s="245"/>
      <c r="V184" s="242"/>
      <c r="W184" s="332" t="s">
        <v>43</v>
      </c>
      <c r="X184" s="332" t="s">
        <v>43</v>
      </c>
      <c r="Y184" s="336" t="s">
        <v>44</v>
      </c>
      <c r="Z184" s="337" t="s">
        <v>45</v>
      </c>
      <c r="AA184" s="336" t="str">
        <f>_xlfn.XLOOKUP($A184,'2026 Approved Budget'!$B:$B,'2026 Approved Budget'!C:C)</f>
        <v>916 Finance</v>
      </c>
      <c r="AB184" s="336" t="s">
        <v>46</v>
      </c>
      <c r="AC184" s="336" t="str">
        <f>_xlfn.XLOOKUP($A184,'2026 Approved Budget'!$B:$B,'2026 Approved Budget'!D:D)</f>
        <v>Brianne Jahn</v>
      </c>
      <c r="AD184" s="336" t="str">
        <f>_xlfn.XLOOKUP($A184,'2026 Approved Budget'!$B:$B,'2026 Approved Budget'!E:E)</f>
        <v>10. C-Suite</v>
      </c>
      <c r="AE184" s="336" t="str">
        <f>_xlfn.XLOOKUP($A184,'2026 Approved Budget'!$B:$B,'2026 Approved Budget'!F:F)</f>
        <v>Chief Financial Officer</v>
      </c>
      <c r="AF184" s="338">
        <f>_xlfn.XLOOKUP($A184,'2026 Approved Budget'!$B:$B,'2026 Approved Budget'!H:H)</f>
        <v>45614</v>
      </c>
      <c r="AG184" s="252"/>
    </row>
    <row r="185" spans="1:33" ht="45" hidden="1" customHeight="1" x14ac:dyDescent="0.2">
      <c r="A185" s="239">
        <v>5344</v>
      </c>
      <c r="B185" s="240" t="s">
        <v>551</v>
      </c>
      <c r="C185" s="240" t="s">
        <v>584</v>
      </c>
      <c r="D185" s="245" t="s">
        <v>547</v>
      </c>
      <c r="E185" s="241" t="s">
        <v>34</v>
      </c>
      <c r="F185" s="243" t="s">
        <v>105</v>
      </c>
      <c r="G185" s="242" t="s">
        <v>598</v>
      </c>
      <c r="H185" s="243" t="s">
        <v>50</v>
      </c>
      <c r="I185" s="241"/>
      <c r="J185" s="241"/>
      <c r="K185" s="241" t="s">
        <v>61</v>
      </c>
      <c r="L185" s="246" t="s">
        <v>39</v>
      </c>
      <c r="M185" s="241" t="s">
        <v>534</v>
      </c>
      <c r="N185" s="245" t="s">
        <v>599</v>
      </c>
      <c r="O185" s="246">
        <v>10340</v>
      </c>
      <c r="P185" s="246" t="s">
        <v>41</v>
      </c>
      <c r="Q185" s="240" t="s">
        <v>600</v>
      </c>
      <c r="R185" s="240" t="s">
        <v>601</v>
      </c>
      <c r="S185" s="245" t="s">
        <v>602</v>
      </c>
      <c r="T185" s="245" t="s">
        <v>603</v>
      </c>
      <c r="U185" s="245"/>
      <c r="V185" s="242"/>
      <c r="W185" s="332" t="s">
        <v>43</v>
      </c>
      <c r="X185" s="103" t="s">
        <v>43</v>
      </c>
      <c r="Y185" s="336" t="s">
        <v>44</v>
      </c>
      <c r="Z185" s="337" t="s">
        <v>45</v>
      </c>
      <c r="AA185" s="336" t="str">
        <f>_xlfn.XLOOKUP($A185,'2026 Approved Budget'!$B:$B,'2026 Approved Budget'!C:C)</f>
        <v>915 Accounting</v>
      </c>
      <c r="AB185" s="336" t="s">
        <v>88</v>
      </c>
      <c r="AC185" s="336" t="str">
        <f>_xlfn.XLOOKUP($A185,'2026 Approved Budget'!$B:$B,'2026 Approved Budget'!D:D)</f>
        <v>Shared respoonsibility between Brianne, Emily and Matt</v>
      </c>
      <c r="AD185" s="336" t="str">
        <f>_xlfn.XLOOKUP($A185,'2026 Approved Budget'!$B:$B,'2026 Approved Budget'!E:E)</f>
        <v>08. VP</v>
      </c>
      <c r="AE185" s="336" t="str">
        <f>_xlfn.XLOOKUP($A185,'2026 Approved Budget'!$B:$B,'2026 Approved Budget'!F:F)</f>
        <v>Vice President, Investor Relations</v>
      </c>
      <c r="AF185" s="338">
        <f>_xlfn.XLOOKUP($A185,'2026 Approved Budget'!$B:$B,'2026 Approved Budget'!H:H)</f>
        <v>46006</v>
      </c>
      <c r="AG185" s="254"/>
    </row>
    <row r="186" spans="1:33" ht="30" hidden="1" customHeight="1" x14ac:dyDescent="0.2">
      <c r="A186" s="239">
        <v>1226</v>
      </c>
      <c r="B186" s="269" t="s">
        <v>551</v>
      </c>
      <c r="C186" s="240" t="s">
        <v>584</v>
      </c>
      <c r="D186" s="240" t="s">
        <v>556</v>
      </c>
      <c r="E186" s="241" t="s">
        <v>34</v>
      </c>
      <c r="F186" s="241" t="s">
        <v>98</v>
      </c>
      <c r="G186" s="242" t="s">
        <v>588</v>
      </c>
      <c r="H186" s="243" t="s">
        <v>50</v>
      </c>
      <c r="I186" s="241"/>
      <c r="J186" s="241"/>
      <c r="K186" s="247" t="s">
        <v>130</v>
      </c>
      <c r="L186" s="241" t="s">
        <v>39</v>
      </c>
      <c r="M186" s="246" t="s">
        <v>52</v>
      </c>
      <c r="N186" s="240" t="s">
        <v>589</v>
      </c>
      <c r="O186" s="246">
        <v>10179</v>
      </c>
      <c r="P186" s="241" t="s">
        <v>448</v>
      </c>
      <c r="Q186" s="240" t="s">
        <v>590</v>
      </c>
      <c r="R186" s="240"/>
      <c r="S186" s="270"/>
      <c r="T186" s="270" t="s">
        <v>142</v>
      </c>
      <c r="U186" s="245"/>
      <c r="V186" s="242"/>
      <c r="W186" s="332" t="s">
        <v>43</v>
      </c>
      <c r="X186" s="332" t="s">
        <v>43</v>
      </c>
      <c r="Y186" s="336" t="s">
        <v>44</v>
      </c>
      <c r="Z186" s="337" t="s">
        <v>45</v>
      </c>
      <c r="AA186" s="336" t="str">
        <f>_xlfn.XLOOKUP($A186,'2026 Approved Budget'!$B:$B,'2026 Approved Budget'!C:C)</f>
        <v>916 Finance</v>
      </c>
      <c r="AB186" s="336" t="s">
        <v>46</v>
      </c>
      <c r="AC186" s="336" t="str">
        <f>_xlfn.XLOOKUP($A186,'2026 Approved Budget'!$B:$B,'2026 Approved Budget'!D:D)</f>
        <v>Kyle Fetchko</v>
      </c>
      <c r="AD186" s="336" t="str">
        <f>_xlfn.XLOOKUP($A186,'2026 Approved Budget'!$B:$B,'2026 Approved Budget'!E:E)</f>
        <v>05. Director</v>
      </c>
      <c r="AE186" s="336" t="str">
        <f>_xlfn.XLOOKUP($A186,'2026 Approved Budget'!$B:$B,'2026 Approved Budget'!F:F)</f>
        <v>Director, FP&amp;A (support Clin Ops)</v>
      </c>
      <c r="AF186" s="338">
        <f>_xlfn.XLOOKUP($A186,'2026 Approved Budget'!$B:$B,'2026 Approved Budget'!H:H)</f>
        <v>45733</v>
      </c>
      <c r="AG186" s="252"/>
    </row>
    <row r="187" spans="1:33" ht="15" hidden="1" customHeight="1" x14ac:dyDescent="0.2">
      <c r="A187" s="239">
        <v>1224</v>
      </c>
      <c r="B187" s="269" t="s">
        <v>551</v>
      </c>
      <c r="C187" s="240" t="s">
        <v>584</v>
      </c>
      <c r="D187" s="240" t="s">
        <v>556</v>
      </c>
      <c r="E187" s="241" t="s">
        <v>34</v>
      </c>
      <c r="F187" s="241" t="s">
        <v>98</v>
      </c>
      <c r="G187" s="242" t="s">
        <v>588</v>
      </c>
      <c r="H187" s="243" t="s">
        <v>37</v>
      </c>
      <c r="I187" s="241"/>
      <c r="J187" s="241"/>
      <c r="K187" s="247" t="s">
        <v>130</v>
      </c>
      <c r="L187" s="241" t="s">
        <v>39</v>
      </c>
      <c r="M187" s="246" t="s">
        <v>52</v>
      </c>
      <c r="N187" s="240" t="s">
        <v>591</v>
      </c>
      <c r="O187" s="246">
        <v>10162</v>
      </c>
      <c r="P187" s="241" t="s">
        <v>41</v>
      </c>
      <c r="Q187" s="240" t="s">
        <v>592</v>
      </c>
      <c r="R187" s="240"/>
      <c r="S187" s="270"/>
      <c r="T187" s="270" t="s">
        <v>111</v>
      </c>
      <c r="U187" s="245"/>
      <c r="V187" s="242"/>
      <c r="W187" s="332" t="s">
        <v>43</v>
      </c>
      <c r="X187" s="332" t="s">
        <v>43</v>
      </c>
      <c r="Y187" s="336" t="s">
        <v>44</v>
      </c>
      <c r="Z187" s="337" t="s">
        <v>45</v>
      </c>
      <c r="AA187" s="336" t="str">
        <f>_xlfn.XLOOKUP($A187,'2026 Approved Budget'!$B:$B,'2026 Approved Budget'!C:C)</f>
        <v>916 Finance</v>
      </c>
      <c r="AB187" s="336" t="s">
        <v>46</v>
      </c>
      <c r="AC187" s="336" t="str">
        <f>_xlfn.XLOOKUP($A187,'2026 Approved Budget'!$B:$B,'2026 Approved Budget'!D:D)</f>
        <v>Karl Palmares</v>
      </c>
      <c r="AD187" s="336" t="str">
        <f>_xlfn.XLOOKUP($A187,'2026 Approved Budget'!$B:$B,'2026 Approved Budget'!E:E)</f>
        <v>05. Director</v>
      </c>
      <c r="AE187" s="336" t="str">
        <f>_xlfn.XLOOKUP($A187,'2026 Approved Budget'!$B:$B,'2026 Approved Budget'!F:F)</f>
        <v>Director, FP&amp;A (support Tech Ops)</v>
      </c>
      <c r="AF187" s="338">
        <f>_xlfn.XLOOKUP($A187,'2026 Approved Budget'!$B:$B,'2026 Approved Budget'!H:H)</f>
        <v>45719</v>
      </c>
      <c r="AG187" s="254"/>
    </row>
    <row r="188" spans="1:33" ht="15" hidden="1" customHeight="1" x14ac:dyDescent="0.2">
      <c r="A188" s="239">
        <v>1362</v>
      </c>
      <c r="B188" s="240" t="s">
        <v>551</v>
      </c>
      <c r="C188" s="240" t="s">
        <v>584</v>
      </c>
      <c r="D188" s="240" t="s">
        <v>547</v>
      </c>
      <c r="E188" s="241" t="s">
        <v>34</v>
      </c>
      <c r="F188" s="243" t="s">
        <v>138</v>
      </c>
      <c r="G188" s="242" t="s">
        <v>593</v>
      </c>
      <c r="H188" s="243" t="s">
        <v>50</v>
      </c>
      <c r="I188" s="241"/>
      <c r="J188" s="241"/>
      <c r="K188" s="247" t="s">
        <v>51</v>
      </c>
      <c r="L188" s="241" t="s">
        <v>39</v>
      </c>
      <c r="M188" s="246" t="s">
        <v>52</v>
      </c>
      <c r="N188" s="240" t="s">
        <v>594</v>
      </c>
      <c r="O188" s="246">
        <v>10237</v>
      </c>
      <c r="P188" s="241" t="s">
        <v>41</v>
      </c>
      <c r="Q188" s="240" t="s">
        <v>595</v>
      </c>
      <c r="R188" s="240"/>
      <c r="S188" s="270"/>
      <c r="T188" s="270" t="s">
        <v>142</v>
      </c>
      <c r="U188" s="245"/>
      <c r="V188" s="242"/>
      <c r="W188" s="332" t="s">
        <v>43</v>
      </c>
      <c r="X188" s="332" t="s">
        <v>43</v>
      </c>
      <c r="Y188" s="336" t="s">
        <v>44</v>
      </c>
      <c r="Z188" s="337" t="s">
        <v>45</v>
      </c>
      <c r="AA188" s="336" t="str">
        <f>_xlfn.XLOOKUP($A188,'2026 Approved Budget'!$B:$B,'2026 Approved Budget'!C:C)</f>
        <v>916 Finance</v>
      </c>
      <c r="AB188" s="336" t="s">
        <v>46</v>
      </c>
      <c r="AC188" s="336" t="str">
        <f>_xlfn.XLOOKUP($A188,'2026 Approved Budget'!$B:$B,'2026 Approved Budget'!D:D)</f>
        <v>Michele Canzi</v>
      </c>
      <c r="AD188" s="336" t="str">
        <f>_xlfn.XLOOKUP($A188,'2026 Approved Budget'!$B:$B,'2026 Approved Budget'!E:E)</f>
        <v>04. AD / Staff Scientist</v>
      </c>
      <c r="AE188" s="336" t="str">
        <f>_xlfn.XLOOKUP($A188,'2026 Approved Budget'!$B:$B,'2026 Approved Budget'!F:F)</f>
        <v>Associate Director, Strategic Operations</v>
      </c>
      <c r="AF188" s="338">
        <f>_xlfn.XLOOKUP($A188,'2026 Approved Budget'!$B:$B,'2026 Approved Budget'!H:H)</f>
        <v>45873</v>
      </c>
      <c r="AG188" s="254"/>
    </row>
    <row r="189" spans="1:33" ht="15" hidden="1" customHeight="1" x14ac:dyDescent="0.2">
      <c r="A189" s="239">
        <v>1367</v>
      </c>
      <c r="B189" s="240" t="s">
        <v>551</v>
      </c>
      <c r="C189" s="240" t="s">
        <v>584</v>
      </c>
      <c r="D189" s="240" t="s">
        <v>547</v>
      </c>
      <c r="E189" s="241" t="s">
        <v>34</v>
      </c>
      <c r="F189" s="243" t="s">
        <v>81</v>
      </c>
      <c r="G189" s="242" t="s">
        <v>82</v>
      </c>
      <c r="H189" s="243" t="s">
        <v>50</v>
      </c>
      <c r="I189" s="241"/>
      <c r="J189" s="241"/>
      <c r="K189" s="247" t="s">
        <v>51</v>
      </c>
      <c r="L189" s="241" t="s">
        <v>39</v>
      </c>
      <c r="M189" s="241"/>
      <c r="N189" s="245" t="s">
        <v>596</v>
      </c>
      <c r="O189" s="246">
        <v>10254</v>
      </c>
      <c r="P189" s="241" t="s">
        <v>41</v>
      </c>
      <c r="Q189" s="240" t="s">
        <v>597</v>
      </c>
      <c r="R189" s="240"/>
      <c r="S189" s="245"/>
      <c r="T189" s="245"/>
      <c r="U189" s="245"/>
      <c r="V189" s="242"/>
      <c r="W189" s="332" t="s">
        <v>43</v>
      </c>
      <c r="X189" s="332" t="s">
        <v>43</v>
      </c>
      <c r="Y189" s="336" t="s">
        <v>44</v>
      </c>
      <c r="Z189" s="337" t="s">
        <v>45</v>
      </c>
      <c r="AA189" s="336" t="str">
        <f>_xlfn.XLOOKUP($A189,'2026 Approved Budget'!$B:$B,'2026 Approved Budget'!C:C)</f>
        <v>916 Finance</v>
      </c>
      <c r="AB189" s="336" t="s">
        <v>46</v>
      </c>
      <c r="AC189" s="336" t="str">
        <f>_xlfn.XLOOKUP($A189,'2026 Approved Budget'!$B:$B,'2026 Approved Budget'!D:D)</f>
        <v>Erin Torrissi</v>
      </c>
      <c r="AD189" s="336" t="str">
        <f>_xlfn.XLOOKUP($A189,'2026 Approved Budget'!$B:$B,'2026 Approved Budget'!E:E)</f>
        <v>01. IC / Coordinator</v>
      </c>
      <c r="AE189" s="336" t="str">
        <f>_xlfn.XLOOKUP($A189,'2026 Approved Budget'!$B:$B,'2026 Approved Budget'!F:F)</f>
        <v>Executive Assistant</v>
      </c>
      <c r="AF189" s="338">
        <f>_xlfn.XLOOKUP($A189,'2026 Approved Budget'!$B:$B,'2026 Approved Budget'!H:H)</f>
        <v>45866</v>
      </c>
      <c r="AG189" s="254"/>
    </row>
    <row r="190" spans="1:33" ht="60" hidden="1" customHeight="1" x14ac:dyDescent="0.2">
      <c r="A190" s="239">
        <v>1080</v>
      </c>
      <c r="B190" s="240" t="s">
        <v>551</v>
      </c>
      <c r="C190" s="240" t="s">
        <v>606</v>
      </c>
      <c r="D190" s="240" t="s">
        <v>547</v>
      </c>
      <c r="E190" s="241" t="s">
        <v>34</v>
      </c>
      <c r="F190" s="243" t="s">
        <v>48</v>
      </c>
      <c r="G190" s="242" t="s">
        <v>607</v>
      </c>
      <c r="H190" s="243" t="s">
        <v>37</v>
      </c>
      <c r="I190" s="241"/>
      <c r="J190" s="241"/>
      <c r="K190" s="244" t="s">
        <v>166</v>
      </c>
      <c r="L190" s="241" t="s">
        <v>39</v>
      </c>
      <c r="M190" s="241"/>
      <c r="N190" s="245" t="s">
        <v>608</v>
      </c>
      <c r="O190" s="246">
        <v>10013</v>
      </c>
      <c r="P190" s="241" t="s">
        <v>41</v>
      </c>
      <c r="Q190" s="240" t="s">
        <v>609</v>
      </c>
      <c r="R190" s="240"/>
      <c r="S190" s="245"/>
      <c r="T190" s="240"/>
      <c r="U190" s="245"/>
      <c r="V190" s="242"/>
      <c r="W190" s="332" t="s">
        <v>43</v>
      </c>
      <c r="X190" s="332" t="s">
        <v>43</v>
      </c>
      <c r="Y190" s="336" t="s">
        <v>44</v>
      </c>
      <c r="Z190" s="337" t="s">
        <v>45</v>
      </c>
      <c r="AA190" s="336" t="str">
        <f>_xlfn.XLOOKUP($A190,'2026 Approved Budget'!$B:$B,'2026 Approved Budget'!C:C)</f>
        <v>960 Facilities</v>
      </c>
      <c r="AB190" s="336" t="s">
        <v>46</v>
      </c>
      <c r="AC190" s="336" t="str">
        <f>_xlfn.XLOOKUP($A190,'2026 Approved Budget'!$B:$B,'2026 Approved Budget'!D:D)</f>
        <v>Oliver Sjahsam</v>
      </c>
      <c r="AD190" s="336" t="str">
        <f>_xlfn.XLOOKUP($A190,'2026 Approved Budget'!$B:$B,'2026 Approved Budget'!E:E)</f>
        <v>07. Exec. Director</v>
      </c>
      <c r="AE190" s="336" t="str">
        <f>_xlfn.XLOOKUP($A190,'2026 Approved Budget'!$B:$B,'2026 Approved Budget'!F:F)</f>
        <v>Executive Director, Real Estate &amp; Facilities</v>
      </c>
      <c r="AF190" s="338">
        <f>_xlfn.XLOOKUP($A190,'2026 Approved Budget'!$B:$B,'2026 Approved Budget'!H:H)</f>
        <v>45446</v>
      </c>
      <c r="AG190" s="254"/>
    </row>
    <row r="191" spans="1:33" ht="30" hidden="1" customHeight="1" x14ac:dyDescent="0.2">
      <c r="A191" s="239">
        <v>1398</v>
      </c>
      <c r="B191" s="240" t="s">
        <v>551</v>
      </c>
      <c r="C191" s="240" t="s">
        <v>606</v>
      </c>
      <c r="D191" s="245" t="s">
        <v>610</v>
      </c>
      <c r="E191" s="241" t="s">
        <v>34</v>
      </c>
      <c r="F191" s="241" t="s">
        <v>98</v>
      </c>
      <c r="G191" s="242" t="s">
        <v>614</v>
      </c>
      <c r="H191" s="243" t="s">
        <v>37</v>
      </c>
      <c r="I191" s="241"/>
      <c r="J191" s="241"/>
      <c r="K191" s="247" t="s">
        <v>51</v>
      </c>
      <c r="L191" s="246" t="s">
        <v>39</v>
      </c>
      <c r="M191" s="246" t="s">
        <v>52</v>
      </c>
      <c r="N191" s="245" t="s">
        <v>615</v>
      </c>
      <c r="O191" s="246">
        <v>10138</v>
      </c>
      <c r="P191" s="241" t="s">
        <v>41</v>
      </c>
      <c r="Q191" s="240"/>
      <c r="R191" s="240"/>
      <c r="S191" s="245"/>
      <c r="T191" s="245"/>
      <c r="U191" s="245"/>
      <c r="V191" s="242"/>
      <c r="W191" s="332" t="s">
        <v>43</v>
      </c>
      <c r="X191" s="332" t="s">
        <v>43</v>
      </c>
      <c r="Y191" s="336" t="s">
        <v>44</v>
      </c>
      <c r="Z191" s="337" t="s">
        <v>45</v>
      </c>
      <c r="AA191" s="336" t="str">
        <f>_xlfn.XLOOKUP($A191,'2026 Approved Budget'!$B:$B,'2026 Approved Budget'!C:C)</f>
        <v>960 Facilities</v>
      </c>
      <c r="AB191" s="336" t="s">
        <v>46</v>
      </c>
      <c r="AC191" s="336" t="str">
        <f>_xlfn.XLOOKUP($A191,'2026 Approved Budget'!$B:$B,'2026 Approved Budget'!D:D)</f>
        <v>Eric Yeager</v>
      </c>
      <c r="AD191" s="336" t="str">
        <f>_xlfn.XLOOKUP($A191,'2026 Approved Budget'!$B:$B,'2026 Approved Budget'!E:E)</f>
        <v>05. Director</v>
      </c>
      <c r="AE191" s="336" t="str">
        <f>_xlfn.XLOOKUP($A191,'2026 Approved Budget'!$B:$B,'2026 Approved Budget'!F:F)</f>
        <v>Director, Facilities</v>
      </c>
      <c r="AF191" s="338">
        <f>_xlfn.XLOOKUP($A191,'2026 Approved Budget'!$B:$B,'2026 Approved Budget'!H:H)</f>
        <v>45929</v>
      </c>
      <c r="AG191" s="254"/>
    </row>
    <row r="192" spans="1:33" ht="30" hidden="1" customHeight="1" x14ac:dyDescent="0.2">
      <c r="A192" s="239">
        <v>1079</v>
      </c>
      <c r="B192" s="240" t="s">
        <v>551</v>
      </c>
      <c r="C192" s="240" t="s">
        <v>606</v>
      </c>
      <c r="D192" s="245" t="s">
        <v>610</v>
      </c>
      <c r="E192" s="241" t="s">
        <v>34</v>
      </c>
      <c r="F192" s="243" t="s">
        <v>117</v>
      </c>
      <c r="G192" s="242" t="s">
        <v>616</v>
      </c>
      <c r="H192" s="243" t="s">
        <v>50</v>
      </c>
      <c r="I192" s="241"/>
      <c r="J192" s="241"/>
      <c r="K192" s="247" t="s">
        <v>51</v>
      </c>
      <c r="L192" s="241" t="s">
        <v>39</v>
      </c>
      <c r="M192" s="246" t="s">
        <v>52</v>
      </c>
      <c r="N192" s="245" t="s">
        <v>617</v>
      </c>
      <c r="O192" s="246">
        <v>10258</v>
      </c>
      <c r="P192" s="241" t="s">
        <v>41</v>
      </c>
      <c r="Q192" s="240" t="s">
        <v>618</v>
      </c>
      <c r="R192" s="240"/>
      <c r="S192" s="245"/>
      <c r="T192" s="245" t="s">
        <v>142</v>
      </c>
      <c r="U192" s="245"/>
      <c r="V192" s="242"/>
      <c r="W192" s="332" t="s">
        <v>43</v>
      </c>
      <c r="X192" s="332" t="s">
        <v>43</v>
      </c>
      <c r="Y192" s="336" t="s">
        <v>44</v>
      </c>
      <c r="Z192" s="337" t="s">
        <v>45</v>
      </c>
      <c r="AA192" s="336" t="str">
        <f>_xlfn.XLOOKUP($A192,'2026 Approved Budget'!$B:$B,'2026 Approved Budget'!C:C)</f>
        <v>960 Facilities</v>
      </c>
      <c r="AB192" s="336" t="s">
        <v>46</v>
      </c>
      <c r="AC192" s="336" t="str">
        <f>_xlfn.XLOOKUP($A192,'2026 Approved Budget'!$B:$B,'2026 Approved Budget'!D:D)</f>
        <v>Mike Sothern</v>
      </c>
      <c r="AD192" s="336" t="str">
        <f>_xlfn.XLOOKUP($A192,'2026 Approved Budget'!$B:$B,'2026 Approved Budget'!E:E)</f>
        <v>03. Sr. Manager / Sr. Scientist</v>
      </c>
      <c r="AE192" s="336" t="str">
        <f>_xlfn.XLOOKUP($A192,'2026 Approved Budget'!$B:$B,'2026 Approved Budget'!F:F)</f>
        <v>Sr. Manager, Facilities</v>
      </c>
      <c r="AF192" s="338">
        <f>_xlfn.XLOOKUP($A192,'2026 Approved Budget'!$B:$B,'2026 Approved Budget'!H:H)</f>
        <v>45880</v>
      </c>
      <c r="AG192" s="252"/>
    </row>
    <row r="193" spans="1:33" ht="30" hidden="1" customHeight="1" x14ac:dyDescent="0.2">
      <c r="A193" s="239">
        <v>1073</v>
      </c>
      <c r="B193" s="240" t="s">
        <v>551</v>
      </c>
      <c r="C193" s="240" t="s">
        <v>606</v>
      </c>
      <c r="D193" s="245" t="s">
        <v>610</v>
      </c>
      <c r="E193" s="241" t="s">
        <v>34</v>
      </c>
      <c r="F193" s="243" t="s">
        <v>197</v>
      </c>
      <c r="G193" s="242" t="s">
        <v>611</v>
      </c>
      <c r="H193" s="243" t="s">
        <v>37</v>
      </c>
      <c r="I193" s="241"/>
      <c r="J193" s="241"/>
      <c r="K193" s="247" t="s">
        <v>130</v>
      </c>
      <c r="L193" s="241" t="s">
        <v>39</v>
      </c>
      <c r="M193" s="241"/>
      <c r="N193" s="240" t="s">
        <v>612</v>
      </c>
      <c r="O193" s="246">
        <v>10136</v>
      </c>
      <c r="P193" s="241" t="s">
        <v>41</v>
      </c>
      <c r="Q193" s="240" t="s">
        <v>613</v>
      </c>
      <c r="R193" s="240"/>
      <c r="S193" s="240"/>
      <c r="T193" s="245"/>
      <c r="U193" s="245"/>
      <c r="V193" s="242"/>
      <c r="W193" s="332" t="s">
        <v>43</v>
      </c>
      <c r="X193" s="332" t="s">
        <v>43</v>
      </c>
      <c r="Y193" s="336" t="s">
        <v>44</v>
      </c>
      <c r="Z193" s="337" t="s">
        <v>45</v>
      </c>
      <c r="AA193" s="336" t="str">
        <f>_xlfn.XLOOKUP($A193,'2026 Approved Budget'!$B:$B,'2026 Approved Budget'!C:C)</f>
        <v>960 Facilities</v>
      </c>
      <c r="AB193" s="336" t="s">
        <v>46</v>
      </c>
      <c r="AC193" s="336" t="str">
        <f>_xlfn.XLOOKUP($A193,'2026 Approved Budget'!$B:$B,'2026 Approved Budget'!D:D)</f>
        <v>Ferdie Evangelista</v>
      </c>
      <c r="AD193" s="336" t="str">
        <f>_xlfn.XLOOKUP($A193,'2026 Approved Budget'!$B:$B,'2026 Approved Budget'!E:E)</f>
        <v>02. Manager / Scientist</v>
      </c>
      <c r="AE193" s="336" t="str">
        <f>_xlfn.XLOOKUP($A193,'2026 Approved Budget'!$B:$B,'2026 Approved Budget'!F:F)</f>
        <v>Lab Operations manager</v>
      </c>
      <c r="AF193" s="338">
        <f>_xlfn.XLOOKUP($A193,'2026 Approved Budget'!$B:$B,'2026 Approved Budget'!H:H)</f>
        <v>45663</v>
      </c>
      <c r="AG193" s="252"/>
    </row>
    <row r="194" spans="1:33" ht="60" customHeight="1" x14ac:dyDescent="0.2">
      <c r="A194" s="239">
        <v>1071</v>
      </c>
      <c r="B194" s="248" t="s">
        <v>551</v>
      </c>
      <c r="C194" s="248" t="s">
        <v>606</v>
      </c>
      <c r="D194" s="249" t="s">
        <v>610</v>
      </c>
      <c r="E194" s="250" t="s">
        <v>34</v>
      </c>
      <c r="F194" s="251" t="s">
        <v>197</v>
      </c>
      <c r="G194" s="252" t="s">
        <v>619</v>
      </c>
      <c r="H194" s="251" t="s">
        <v>37</v>
      </c>
      <c r="I194" s="250">
        <v>5</v>
      </c>
      <c r="J194" s="250"/>
      <c r="K194" s="250" t="s">
        <v>61</v>
      </c>
      <c r="L194" s="250"/>
      <c r="M194" s="250" t="s">
        <v>240</v>
      </c>
      <c r="N194" s="249"/>
      <c r="O194" s="239"/>
      <c r="P194" s="239" t="s">
        <v>41</v>
      </c>
      <c r="Q194" s="248" t="s">
        <v>620</v>
      </c>
      <c r="R194" s="248"/>
      <c r="S194" s="249" t="s">
        <v>621</v>
      </c>
      <c r="T194" s="249"/>
      <c r="U194" s="249"/>
      <c r="V194" s="252" t="s">
        <v>102</v>
      </c>
      <c r="W194" s="332" t="s">
        <v>43</v>
      </c>
      <c r="X194" s="332" t="s">
        <v>43</v>
      </c>
      <c r="Y194" s="275" t="s">
        <v>69</v>
      </c>
      <c r="Z194" s="337" t="s">
        <v>45</v>
      </c>
      <c r="AA194" s="336" t="str">
        <f>_xlfn.XLOOKUP($A194,'2026 Approved Budget'!$B:$B,'2026 Approved Budget'!C:C)</f>
        <v>960 Facilities</v>
      </c>
      <c r="AB194" s="336" t="s">
        <v>46</v>
      </c>
      <c r="AC194" s="336" t="str">
        <f>_xlfn.XLOOKUP($A194,'2026 Approved Budget'!$B:$B,'2026 Approved Budget'!D:D)</f>
        <v>TBD</v>
      </c>
      <c r="AD194" s="336" t="str">
        <f>_xlfn.XLOOKUP($A194,'2026 Approved Budget'!$B:$B,'2026 Approved Budget'!E:E)</f>
        <v>02. Manager / Scientist</v>
      </c>
      <c r="AE194" s="336" t="str">
        <f>_xlfn.XLOOKUP($A194,'2026 Approved Budget'!$B:$B,'2026 Approved Budget'!F:F)</f>
        <v>EHS Manager</v>
      </c>
      <c r="AF194" s="338">
        <f>_xlfn.XLOOKUP($A194,'2026 Approved Budget'!$B:$B,'2026 Approved Budget'!H:H)</f>
        <v>46096</v>
      </c>
      <c r="AG194" s="252"/>
    </row>
    <row r="195" spans="1:33" ht="15" hidden="1" customHeight="1" x14ac:dyDescent="0.2">
      <c r="A195" s="239">
        <v>1075</v>
      </c>
      <c r="B195" s="248" t="s">
        <v>551</v>
      </c>
      <c r="C195" s="248" t="s">
        <v>606</v>
      </c>
      <c r="D195" s="249" t="s">
        <v>610</v>
      </c>
      <c r="E195" s="250" t="s">
        <v>180</v>
      </c>
      <c r="F195" s="251" t="s">
        <v>81</v>
      </c>
      <c r="G195" s="252" t="s">
        <v>625</v>
      </c>
      <c r="H195" s="251" t="s">
        <v>50</v>
      </c>
      <c r="I195" s="250"/>
      <c r="J195" s="250"/>
      <c r="K195" s="250" t="s">
        <v>61</v>
      </c>
      <c r="L195" s="250"/>
      <c r="M195" s="250"/>
      <c r="N195" s="249"/>
      <c r="O195" s="239"/>
      <c r="P195" s="239" t="s">
        <v>41</v>
      </c>
      <c r="Q195" s="248" t="s">
        <v>626</v>
      </c>
      <c r="R195" s="248"/>
      <c r="S195" s="249"/>
      <c r="T195" s="249"/>
      <c r="U195" s="249"/>
      <c r="V195" s="252"/>
      <c r="W195" s="335" t="s">
        <v>184</v>
      </c>
      <c r="X195" s="335" t="s">
        <v>184</v>
      </c>
      <c r="Y195" s="335" t="s">
        <v>185</v>
      </c>
      <c r="Z195" s="335"/>
      <c r="AA195" s="336" t="e">
        <f>_xlfn.XLOOKUP($A195,'2026 Approved Budget'!$B:$B,'2026 Approved Budget'!C:C)</f>
        <v>#N/A</v>
      </c>
      <c r="AB195" s="332" t="s">
        <v>185</v>
      </c>
      <c r="AC195" s="336" t="e">
        <f>_xlfn.XLOOKUP($A195,'2026 Approved Budget'!$B:$B,'2026 Approved Budget'!D:D)</f>
        <v>#N/A</v>
      </c>
      <c r="AD195" s="336" t="e">
        <f>_xlfn.XLOOKUP($A195,'2026 Approved Budget'!$B:$B,'2026 Approved Budget'!E:E)</f>
        <v>#N/A</v>
      </c>
      <c r="AE195" s="336" t="e">
        <f>_xlfn.XLOOKUP($A195,'2026 Approved Budget'!$B:$B,'2026 Approved Budget'!F:F)</f>
        <v>#N/A</v>
      </c>
      <c r="AF195" s="338" t="e">
        <f>_xlfn.XLOOKUP($A195,'2026 Approved Budget'!$B:$B,'2026 Approved Budget'!H:H)</f>
        <v>#N/A</v>
      </c>
      <c r="AG195" s="275"/>
    </row>
    <row r="196" spans="1:33" ht="30" hidden="1" customHeight="1" x14ac:dyDescent="0.2">
      <c r="A196" s="239">
        <v>1076</v>
      </c>
      <c r="B196" s="248" t="s">
        <v>551</v>
      </c>
      <c r="C196" s="248" t="s">
        <v>606</v>
      </c>
      <c r="D196" s="249" t="s">
        <v>610</v>
      </c>
      <c r="E196" s="250" t="s">
        <v>180</v>
      </c>
      <c r="F196" s="251" t="s">
        <v>81</v>
      </c>
      <c r="G196" s="252" t="s">
        <v>627</v>
      </c>
      <c r="H196" s="251" t="s">
        <v>37</v>
      </c>
      <c r="I196" s="250"/>
      <c r="J196" s="250"/>
      <c r="K196" s="250" t="s">
        <v>61</v>
      </c>
      <c r="L196" s="250"/>
      <c r="M196" s="250"/>
      <c r="N196" s="249"/>
      <c r="O196" s="239"/>
      <c r="P196" s="239" t="s">
        <v>41</v>
      </c>
      <c r="Q196" s="248" t="s">
        <v>628</v>
      </c>
      <c r="R196" s="248"/>
      <c r="S196" s="249"/>
      <c r="T196" s="249"/>
      <c r="U196" s="249"/>
      <c r="V196" s="252"/>
      <c r="W196" s="335" t="s">
        <v>184</v>
      </c>
      <c r="X196" s="335" t="s">
        <v>184</v>
      </c>
      <c r="Y196" s="335" t="s">
        <v>185</v>
      </c>
      <c r="Z196" s="335"/>
      <c r="AA196" s="336" t="e">
        <f>_xlfn.XLOOKUP($A196,'2026 Approved Budget'!$B:$B,'2026 Approved Budget'!C:C)</f>
        <v>#N/A</v>
      </c>
      <c r="AB196" s="332" t="s">
        <v>185</v>
      </c>
      <c r="AC196" s="336" t="e">
        <f>_xlfn.XLOOKUP($A196,'2026 Approved Budget'!$B:$B,'2026 Approved Budget'!D:D)</f>
        <v>#N/A</v>
      </c>
      <c r="AD196" s="336" t="e">
        <f>_xlfn.XLOOKUP($A196,'2026 Approved Budget'!$B:$B,'2026 Approved Budget'!E:E)</f>
        <v>#N/A</v>
      </c>
      <c r="AE196" s="336" t="e">
        <f>_xlfn.XLOOKUP($A196,'2026 Approved Budget'!$B:$B,'2026 Approved Budget'!F:F)</f>
        <v>#N/A</v>
      </c>
      <c r="AF196" s="338" t="e">
        <f>_xlfn.XLOOKUP($A196,'2026 Approved Budget'!$B:$B,'2026 Approved Budget'!H:H)</f>
        <v>#N/A</v>
      </c>
      <c r="AG196" s="254"/>
    </row>
    <row r="197" spans="1:33" ht="30" customHeight="1" x14ac:dyDescent="0.2">
      <c r="A197" s="239">
        <v>1077</v>
      </c>
      <c r="B197" s="248" t="s">
        <v>551</v>
      </c>
      <c r="C197" s="248" t="s">
        <v>606</v>
      </c>
      <c r="D197" s="249" t="s">
        <v>610</v>
      </c>
      <c r="E197" s="250" t="s">
        <v>34</v>
      </c>
      <c r="F197" s="251" t="s">
        <v>81</v>
      </c>
      <c r="G197" s="252" t="s">
        <v>622</v>
      </c>
      <c r="H197" s="251" t="s">
        <v>37</v>
      </c>
      <c r="I197" s="250">
        <v>6</v>
      </c>
      <c r="J197" s="250"/>
      <c r="K197" s="250" t="s">
        <v>61</v>
      </c>
      <c r="L197" s="250"/>
      <c r="M197" s="250" t="s">
        <v>240</v>
      </c>
      <c r="N197" s="249"/>
      <c r="O197" s="239"/>
      <c r="P197" s="239" t="s">
        <v>41</v>
      </c>
      <c r="Q197" s="248" t="s">
        <v>623</v>
      </c>
      <c r="R197" s="248"/>
      <c r="S197" s="249" t="s">
        <v>624</v>
      </c>
      <c r="T197" s="249"/>
      <c r="U197" s="249"/>
      <c r="V197" s="252"/>
      <c r="W197" s="332" t="s">
        <v>43</v>
      </c>
      <c r="X197" s="332" t="s">
        <v>43</v>
      </c>
      <c r="Y197" s="275" t="s">
        <v>69</v>
      </c>
      <c r="Z197" s="337" t="s">
        <v>45</v>
      </c>
      <c r="AA197" s="336" t="str">
        <f>_xlfn.XLOOKUP($A197,'2026 Approved Budget'!$B:$B,'2026 Approved Budget'!C:C)</f>
        <v>960 Facilities</v>
      </c>
      <c r="AB197" s="336" t="s">
        <v>46</v>
      </c>
      <c r="AC197" s="336" t="str">
        <f>_xlfn.XLOOKUP($A197,'2026 Approved Budget'!$B:$B,'2026 Approved Budget'!D:D)</f>
        <v>TBD</v>
      </c>
      <c r="AD197" s="336" t="str">
        <f>_xlfn.XLOOKUP($A197,'2026 Approved Budget'!$B:$B,'2026 Approved Budget'!E:E)</f>
        <v>01. IC / Coordinator</v>
      </c>
      <c r="AE197" s="336" t="str">
        <f>_xlfn.XLOOKUP($A197,'2026 Approved Budget'!$B:$B,'2026 Approved Budget'!F:F)</f>
        <v>Site Services Specialist</v>
      </c>
      <c r="AF197" s="338">
        <f>_xlfn.XLOOKUP($A197,'2026 Approved Budget'!$B:$B,'2026 Approved Budget'!H:H)</f>
        <v>46096</v>
      </c>
      <c r="AG197" s="252"/>
    </row>
    <row r="198" spans="1:33" s="101" customFormat="1" ht="15" hidden="1" customHeight="1" x14ac:dyDescent="0.2">
      <c r="A198" s="239">
        <v>1089</v>
      </c>
      <c r="B198" s="240" t="s">
        <v>551</v>
      </c>
      <c r="C198" s="240" t="s">
        <v>629</v>
      </c>
      <c r="D198" s="245" t="s">
        <v>547</v>
      </c>
      <c r="E198" s="241" t="s">
        <v>34</v>
      </c>
      <c r="F198" s="243" t="s">
        <v>105</v>
      </c>
      <c r="G198" s="242" t="s">
        <v>648</v>
      </c>
      <c r="H198" s="243" t="s">
        <v>37</v>
      </c>
      <c r="I198" s="241"/>
      <c r="J198" s="241"/>
      <c r="K198" s="247" t="s">
        <v>61</v>
      </c>
      <c r="L198" s="241" t="s">
        <v>39</v>
      </c>
      <c r="M198" s="241"/>
      <c r="N198" s="245" t="s">
        <v>649</v>
      </c>
      <c r="O198" s="246">
        <v>10307</v>
      </c>
      <c r="P198" s="241" t="s">
        <v>41</v>
      </c>
      <c r="Q198" s="240" t="s">
        <v>650</v>
      </c>
      <c r="R198" s="240"/>
      <c r="S198" s="274"/>
      <c r="T198" s="274" t="s">
        <v>111</v>
      </c>
      <c r="U198" s="240"/>
      <c r="V198" s="242"/>
      <c r="W198" s="332" t="s">
        <v>43</v>
      </c>
      <c r="X198" s="103" t="s">
        <v>43</v>
      </c>
      <c r="Y198" s="336" t="s">
        <v>44</v>
      </c>
      <c r="Z198" s="337" t="s">
        <v>45</v>
      </c>
      <c r="AA198" s="336" t="str">
        <f>_xlfn.XLOOKUP($A198,'2026 Approved Budget'!$B:$B,'2026 Approved Budget'!C:C)</f>
        <v>970 IT</v>
      </c>
      <c r="AB198" s="336" t="s">
        <v>46</v>
      </c>
      <c r="AC198" s="336" t="str">
        <f>_xlfn.XLOOKUP($A198,'2026 Approved Budget'!$B:$B,'2026 Approved Budget'!D:D)</f>
        <v>Backfill: Jason Tepelmann</v>
      </c>
      <c r="AD198" s="336" t="str">
        <f>_xlfn.XLOOKUP($A198,'2026 Approved Budget'!$B:$B,'2026 Approved Budget'!E:E)</f>
        <v>08. VP</v>
      </c>
      <c r="AE198" s="336" t="str">
        <f>_xlfn.XLOOKUP($A198,'2026 Approved Budget'!$B:$B,'2026 Approved Budget'!F:F)</f>
        <v>Head of  IT</v>
      </c>
      <c r="AF198" s="338">
        <f>_xlfn.XLOOKUP($A198,'2026 Approved Budget'!$B:$B,'2026 Approved Budget'!H:H)</f>
        <v>46006</v>
      </c>
      <c r="AG198" s="254"/>
    </row>
    <row r="199" spans="1:33" ht="15" hidden="1" customHeight="1" x14ac:dyDescent="0.2">
      <c r="A199" s="239">
        <v>1093</v>
      </c>
      <c r="B199" s="240" t="s">
        <v>551</v>
      </c>
      <c r="C199" s="240" t="s">
        <v>629</v>
      </c>
      <c r="D199" s="245" t="s">
        <v>634</v>
      </c>
      <c r="E199" s="241" t="s">
        <v>34</v>
      </c>
      <c r="F199" s="241" t="s">
        <v>58</v>
      </c>
      <c r="G199" s="242" t="s">
        <v>635</v>
      </c>
      <c r="H199" s="243" t="s">
        <v>37</v>
      </c>
      <c r="I199" s="241"/>
      <c r="J199" s="241"/>
      <c r="K199" s="247" t="s">
        <v>130</v>
      </c>
      <c r="L199" s="241" t="s">
        <v>39</v>
      </c>
      <c r="M199" s="246" t="s">
        <v>52</v>
      </c>
      <c r="N199" s="245" t="s">
        <v>636</v>
      </c>
      <c r="O199" s="246">
        <v>10158</v>
      </c>
      <c r="P199" s="241" t="s">
        <v>41</v>
      </c>
      <c r="Q199" s="240" t="s">
        <v>637</v>
      </c>
      <c r="R199" s="240"/>
      <c r="S199" s="245"/>
      <c r="T199" s="245"/>
      <c r="U199" s="240"/>
      <c r="V199" s="242"/>
      <c r="W199" s="332" t="s">
        <v>43</v>
      </c>
      <c r="X199" s="332" t="s">
        <v>43</v>
      </c>
      <c r="Y199" s="336" t="s">
        <v>44</v>
      </c>
      <c r="Z199" s="337" t="s">
        <v>45</v>
      </c>
      <c r="AA199" s="336" t="str">
        <f>_xlfn.XLOOKUP($A199,'2026 Approved Budget'!$B:$B,'2026 Approved Budget'!C:C)</f>
        <v>970 IT</v>
      </c>
      <c r="AB199" s="336" t="s">
        <v>46</v>
      </c>
      <c r="AC199" s="336" t="str">
        <f>_xlfn.XLOOKUP($A199,'2026 Approved Budget'!$B:$B,'2026 Approved Budget'!D:D)</f>
        <v>Daren Wilkinson</v>
      </c>
      <c r="AD199" s="336" t="str">
        <f>_xlfn.XLOOKUP($A199,'2026 Approved Budget'!$B:$B,'2026 Approved Budget'!E:E)</f>
        <v>06. Sr. Director</v>
      </c>
      <c r="AE199" s="336" t="str">
        <f>_xlfn.XLOOKUP($A199,'2026 Approved Budget'!$B:$B,'2026 Approved Budget'!F:F)</f>
        <v>Sr. Director Infrastructure &amp; Operations</v>
      </c>
      <c r="AF199" s="338">
        <f>_xlfn.XLOOKUP($A199,'2026 Approved Budget'!$B:$B,'2026 Approved Budget'!H:H)</f>
        <v>45720</v>
      </c>
      <c r="AG199" s="254"/>
    </row>
    <row r="200" spans="1:33" ht="30" hidden="1" customHeight="1" x14ac:dyDescent="0.2">
      <c r="A200" s="239">
        <v>1096</v>
      </c>
      <c r="B200" s="240" t="s">
        <v>551</v>
      </c>
      <c r="C200" s="240" t="s">
        <v>629</v>
      </c>
      <c r="D200" s="245" t="s">
        <v>634</v>
      </c>
      <c r="E200" s="241" t="s">
        <v>34</v>
      </c>
      <c r="F200" s="243" t="s">
        <v>58</v>
      </c>
      <c r="G200" s="242" t="s">
        <v>642</v>
      </c>
      <c r="H200" s="243" t="s">
        <v>50</v>
      </c>
      <c r="I200" s="241"/>
      <c r="J200" s="241"/>
      <c r="K200" s="246" t="s">
        <v>114</v>
      </c>
      <c r="L200" s="241" t="s">
        <v>39</v>
      </c>
      <c r="M200" s="241"/>
      <c r="N200" s="245" t="s">
        <v>643</v>
      </c>
      <c r="O200" s="246">
        <v>10238</v>
      </c>
      <c r="P200" s="241" t="s">
        <v>41</v>
      </c>
      <c r="Q200" s="240" t="s">
        <v>644</v>
      </c>
      <c r="R200" s="240"/>
      <c r="S200" s="245"/>
      <c r="T200" s="245"/>
      <c r="U200" s="240"/>
      <c r="V200" s="242"/>
      <c r="W200" s="332" t="s">
        <v>43</v>
      </c>
      <c r="X200" s="103" t="s">
        <v>43</v>
      </c>
      <c r="Y200" s="336" t="s">
        <v>44</v>
      </c>
      <c r="Z200" s="337" t="s">
        <v>45</v>
      </c>
      <c r="AA200" s="336" t="str">
        <f>_xlfn.XLOOKUP($A200,'2026 Approved Budget'!$B:$B,'2026 Approved Budget'!C:C)</f>
        <v>970 IT</v>
      </c>
      <c r="AB200" s="336" t="s">
        <v>46</v>
      </c>
      <c r="AC200" s="336" t="str">
        <f>_xlfn.XLOOKUP($A200,'2026 Approved Budget'!$B:$B,'2026 Approved Budget'!D:D)</f>
        <v>Anand Ramanathan</v>
      </c>
      <c r="AD200" s="336" t="str">
        <f>_xlfn.XLOOKUP($A200,'2026 Approved Budget'!$B:$B,'2026 Approved Budget'!E:E)</f>
        <v>06. Sr. Director</v>
      </c>
      <c r="AE200" s="336" t="str">
        <f>_xlfn.XLOOKUP($A200,'2026 Approved Budget'!$B:$B,'2026 Approved Budget'!F:F)</f>
        <v>Sr. Director, R&amp;D IT Business Partner</v>
      </c>
      <c r="AF200" s="338">
        <f>_xlfn.XLOOKUP($A200,'2026 Approved Budget'!$B:$B,'2026 Approved Budget'!H:H)</f>
        <v>45831</v>
      </c>
      <c r="AG200" s="254"/>
    </row>
    <row r="201" spans="1:33" ht="30" hidden="1" customHeight="1" x14ac:dyDescent="0.2">
      <c r="A201" s="239">
        <v>1100</v>
      </c>
      <c r="B201" s="240" t="s">
        <v>551</v>
      </c>
      <c r="C201" s="240" t="s">
        <v>629</v>
      </c>
      <c r="D201" s="270" t="s">
        <v>630</v>
      </c>
      <c r="E201" s="241" t="s">
        <v>34</v>
      </c>
      <c r="F201" s="243" t="s">
        <v>117</v>
      </c>
      <c r="G201" s="242" t="s">
        <v>631</v>
      </c>
      <c r="H201" s="243" t="s">
        <v>37</v>
      </c>
      <c r="I201" s="241"/>
      <c r="J201" s="241"/>
      <c r="K201" s="247" t="s">
        <v>38</v>
      </c>
      <c r="L201" s="241" t="s">
        <v>39</v>
      </c>
      <c r="M201" s="241"/>
      <c r="N201" s="245" t="s">
        <v>632</v>
      </c>
      <c r="O201" s="246">
        <v>10073</v>
      </c>
      <c r="P201" s="241" t="s">
        <v>41</v>
      </c>
      <c r="Q201" s="240" t="s">
        <v>633</v>
      </c>
      <c r="R201" s="240"/>
      <c r="S201" s="245"/>
      <c r="T201" s="245"/>
      <c r="U201" s="240"/>
      <c r="V201" s="242"/>
      <c r="W201" s="332" t="s">
        <v>43</v>
      </c>
      <c r="X201" s="332" t="s">
        <v>43</v>
      </c>
      <c r="Y201" s="336" t="s">
        <v>44</v>
      </c>
      <c r="Z201" s="337" t="s">
        <v>45</v>
      </c>
      <c r="AA201" s="336" t="str">
        <f>_xlfn.XLOOKUP($A201,'2026 Approved Budget'!$B:$B,'2026 Approved Budget'!C:C)</f>
        <v>970 IT</v>
      </c>
      <c r="AB201" s="336" t="s">
        <v>46</v>
      </c>
      <c r="AC201" s="336" t="str">
        <f>_xlfn.XLOOKUP($A201,'2026 Approved Budget'!$B:$B,'2026 Approved Budget'!D:D)</f>
        <v>Brian Roudabush</v>
      </c>
      <c r="AD201" s="336" t="str">
        <f>_xlfn.XLOOKUP($A201,'2026 Approved Budget'!$B:$B,'2026 Approved Budget'!E:E)</f>
        <v>03. Sr. Manager / Sr. Scientist</v>
      </c>
      <c r="AE201" s="336" t="str">
        <f>_xlfn.XLOOKUP($A201,'2026 Approved Budget'!$B:$B,'2026 Approved Budget'!F:F)</f>
        <v>Senior IT Analyst</v>
      </c>
      <c r="AF201" s="338">
        <f>_xlfn.XLOOKUP($A201,'2026 Approved Budget'!$B:$B,'2026 Approved Budget'!H:H)</f>
        <v>45551</v>
      </c>
      <c r="AG201" s="254"/>
    </row>
    <row r="202" spans="1:33" ht="30" hidden="1" customHeight="1" x14ac:dyDescent="0.2">
      <c r="A202" s="239">
        <v>1101</v>
      </c>
      <c r="B202" s="240" t="s">
        <v>551</v>
      </c>
      <c r="C202" s="240" t="s">
        <v>629</v>
      </c>
      <c r="D202" s="270" t="s">
        <v>638</v>
      </c>
      <c r="E202" s="241" t="s">
        <v>34</v>
      </c>
      <c r="F202" s="243" t="s">
        <v>117</v>
      </c>
      <c r="G202" s="242" t="s">
        <v>639</v>
      </c>
      <c r="H202" s="243" t="s">
        <v>37</v>
      </c>
      <c r="I202" s="241"/>
      <c r="J202" s="241"/>
      <c r="K202" s="247" t="s">
        <v>130</v>
      </c>
      <c r="L202" s="241" t="s">
        <v>39</v>
      </c>
      <c r="M202" s="246" t="s">
        <v>52</v>
      </c>
      <c r="N202" s="245" t="s">
        <v>640</v>
      </c>
      <c r="O202" s="246">
        <v>10184</v>
      </c>
      <c r="P202" s="241" t="s">
        <v>41</v>
      </c>
      <c r="Q202" s="240" t="s">
        <v>641</v>
      </c>
      <c r="R202" s="240"/>
      <c r="S202" s="245"/>
      <c r="T202" s="245"/>
      <c r="U202" s="240"/>
      <c r="V202" s="242"/>
      <c r="W202" s="332" t="s">
        <v>43</v>
      </c>
      <c r="X202" s="332" t="s">
        <v>43</v>
      </c>
      <c r="Y202" s="336" t="s">
        <v>44</v>
      </c>
      <c r="Z202" s="337" t="s">
        <v>45</v>
      </c>
      <c r="AA202" s="336" t="str">
        <f>_xlfn.XLOOKUP($A202,'2026 Approved Budget'!$B:$B,'2026 Approved Budget'!C:C)</f>
        <v>970 IT</v>
      </c>
      <c r="AB202" s="336" t="s">
        <v>46</v>
      </c>
      <c r="AC202" s="336" t="str">
        <f>_xlfn.XLOOKUP($A202,'2026 Approved Budget'!$B:$B,'2026 Approved Budget'!D:D)</f>
        <v>Garret Brown</v>
      </c>
      <c r="AD202" s="336" t="str">
        <f>_xlfn.XLOOKUP($A202,'2026 Approved Budget'!$B:$B,'2026 Approved Budget'!E:E)</f>
        <v>03. Sr. Manager / Sr. Scientist</v>
      </c>
      <c r="AE202" s="336" t="str">
        <f>_xlfn.XLOOKUP($A202,'2026 Approved Budget'!$B:$B,'2026 Approved Budget'!F:F)</f>
        <v>Sr. Manager, G&amp;A IT Business Analyst</v>
      </c>
      <c r="AF202" s="338">
        <f>_xlfn.XLOOKUP($A202,'2026 Approved Budget'!$B:$B,'2026 Approved Budget'!H:H)</f>
        <v>45733</v>
      </c>
      <c r="AG202" s="254"/>
    </row>
    <row r="203" spans="1:33" ht="30" hidden="1" customHeight="1" x14ac:dyDescent="0.2">
      <c r="A203" s="239">
        <v>1399</v>
      </c>
      <c r="B203" s="240" t="s">
        <v>551</v>
      </c>
      <c r="C203" s="240" t="s">
        <v>629</v>
      </c>
      <c r="D203" s="245" t="s">
        <v>630</v>
      </c>
      <c r="E203" s="241" t="s">
        <v>34</v>
      </c>
      <c r="F203" s="246" t="s">
        <v>117</v>
      </c>
      <c r="G203" s="242" t="s">
        <v>653</v>
      </c>
      <c r="H203" s="243" t="s">
        <v>60</v>
      </c>
      <c r="I203" s="241"/>
      <c r="J203" s="241"/>
      <c r="K203" s="241" t="s">
        <v>61</v>
      </c>
      <c r="L203" s="241" t="s">
        <v>39</v>
      </c>
      <c r="M203" s="241" t="s">
        <v>63</v>
      </c>
      <c r="N203" s="245" t="s">
        <v>654</v>
      </c>
      <c r="O203" s="246">
        <v>10336</v>
      </c>
      <c r="P203" s="241" t="s">
        <v>41</v>
      </c>
      <c r="Q203" s="240" t="s">
        <v>655</v>
      </c>
      <c r="R203" s="240"/>
      <c r="S203" s="240" t="s">
        <v>656</v>
      </c>
      <c r="T203" s="240"/>
      <c r="U203" s="240"/>
      <c r="V203" s="242"/>
      <c r="W203" s="332" t="s">
        <v>43</v>
      </c>
      <c r="X203" s="103" t="s">
        <v>43</v>
      </c>
      <c r="Y203" s="336" t="s">
        <v>44</v>
      </c>
      <c r="Z203" s="337" t="s">
        <v>45</v>
      </c>
      <c r="AA203" s="336" t="str">
        <f>_xlfn.XLOOKUP($A203,'2026 Approved Budget'!$B:$B,'2026 Approved Budget'!C:C)</f>
        <v>970 IT</v>
      </c>
      <c r="AB203" s="336" t="s">
        <v>46</v>
      </c>
      <c r="AC203" s="336" t="str">
        <f>_xlfn.XLOOKUP($A203,'2026 Approved Budget'!$B:$B,'2026 Approved Budget'!D:D)</f>
        <v>TBD</v>
      </c>
      <c r="AD203" s="336" t="str">
        <f>_xlfn.XLOOKUP($A203,'2026 Approved Budget'!$B:$B,'2026 Approved Budget'!E:E)</f>
        <v>03. Sr. Manager / Sr. Scientist</v>
      </c>
      <c r="AE203" s="336" t="str">
        <f>_xlfn.XLOOKUP($A203,'2026 Approved Budget'!$B:$B,'2026 Approved Budget'!F:F)</f>
        <v>Sr. Manager, IT Support (Prolaio)</v>
      </c>
      <c r="AF203" s="338">
        <f>_xlfn.XLOOKUP($A203,'2026 Approved Budget'!$B:$B,'2026 Approved Budget'!H:H)</f>
        <v>46006</v>
      </c>
      <c r="AG203" s="261"/>
    </row>
    <row r="204" spans="1:33" ht="15" hidden="1" customHeight="1" x14ac:dyDescent="0.2">
      <c r="A204" s="239">
        <v>1092</v>
      </c>
      <c r="B204" s="240" t="s">
        <v>551</v>
      </c>
      <c r="C204" s="240" t="s">
        <v>629</v>
      </c>
      <c r="D204" s="270" t="s">
        <v>630</v>
      </c>
      <c r="E204" s="241" t="s">
        <v>34</v>
      </c>
      <c r="F204" s="243" t="s">
        <v>197</v>
      </c>
      <c r="G204" s="242" t="s">
        <v>645</v>
      </c>
      <c r="H204" s="243" t="s">
        <v>50</v>
      </c>
      <c r="I204" s="241"/>
      <c r="J204" s="241"/>
      <c r="K204" s="247" t="s">
        <v>114</v>
      </c>
      <c r="L204" s="241" t="s">
        <v>39</v>
      </c>
      <c r="M204" s="241"/>
      <c r="N204" s="245" t="s">
        <v>646</v>
      </c>
      <c r="O204" s="246">
        <v>10226</v>
      </c>
      <c r="P204" s="241" t="s">
        <v>41</v>
      </c>
      <c r="Q204" s="240" t="s">
        <v>647</v>
      </c>
      <c r="R204" s="240"/>
      <c r="S204" s="245"/>
      <c r="T204" s="245"/>
      <c r="U204" s="240"/>
      <c r="V204" s="242"/>
      <c r="W204" s="332" t="s">
        <v>43</v>
      </c>
      <c r="X204" s="103" t="s">
        <v>43</v>
      </c>
      <c r="Y204" s="336" t="s">
        <v>44</v>
      </c>
      <c r="Z204" s="337" t="s">
        <v>45</v>
      </c>
      <c r="AA204" s="336" t="str">
        <f>_xlfn.XLOOKUP($A204,'2026 Approved Budget'!$B:$B,'2026 Approved Budget'!C:C)</f>
        <v>970 IT</v>
      </c>
      <c r="AB204" s="336" t="s">
        <v>46</v>
      </c>
      <c r="AC204" s="336" t="str">
        <f>_xlfn.XLOOKUP($A204,'2026 Approved Budget'!$B:$B,'2026 Approved Budget'!D:D)</f>
        <v>Jeffrey Wiernik</v>
      </c>
      <c r="AD204" s="336" t="str">
        <f>_xlfn.XLOOKUP($A204,'2026 Approved Budget'!$B:$B,'2026 Approved Budget'!E:E)</f>
        <v>02. Manager / Scientist</v>
      </c>
      <c r="AE204" s="336" t="str">
        <f>_xlfn.XLOOKUP($A204,'2026 Approved Budget'!$B:$B,'2026 Approved Budget'!F:F)</f>
        <v>Help Desk Support Lead</v>
      </c>
      <c r="AF204" s="338">
        <f>_xlfn.XLOOKUP($A204,'2026 Approved Budget'!$B:$B,'2026 Approved Budget'!H:H)</f>
        <v>45810</v>
      </c>
      <c r="AG204" s="254"/>
    </row>
    <row r="205" spans="1:33" ht="15" hidden="1" customHeight="1" x14ac:dyDescent="0.2">
      <c r="A205" s="239">
        <v>1097</v>
      </c>
      <c r="B205" s="248" t="s">
        <v>551</v>
      </c>
      <c r="C205" s="248" t="s">
        <v>629</v>
      </c>
      <c r="D205" s="249" t="s">
        <v>634</v>
      </c>
      <c r="E205" s="250" t="s">
        <v>180</v>
      </c>
      <c r="F205" s="251" t="s">
        <v>117</v>
      </c>
      <c r="G205" s="252" t="s">
        <v>661</v>
      </c>
      <c r="H205" s="251" t="s">
        <v>37</v>
      </c>
      <c r="I205" s="250"/>
      <c r="J205" s="250"/>
      <c r="K205" s="253" t="s">
        <v>114</v>
      </c>
      <c r="L205" s="239" t="s">
        <v>182</v>
      </c>
      <c r="M205" s="239"/>
      <c r="N205" s="249" t="s">
        <v>662</v>
      </c>
      <c r="O205" s="239"/>
      <c r="P205" s="239" t="s">
        <v>41</v>
      </c>
      <c r="Q205" s="248" t="s">
        <v>663</v>
      </c>
      <c r="R205" s="248"/>
      <c r="S205" s="249"/>
      <c r="T205" s="249"/>
      <c r="U205" s="248"/>
      <c r="V205" s="252"/>
      <c r="W205" s="335" t="s">
        <v>184</v>
      </c>
      <c r="X205" s="335" t="s">
        <v>184</v>
      </c>
      <c r="Y205" s="335" t="s">
        <v>185</v>
      </c>
      <c r="Z205" s="335"/>
      <c r="AA205" s="336" t="e">
        <f>_xlfn.XLOOKUP($A205,'2026 Approved Budget'!$B:$B,'2026 Approved Budget'!C:C)</f>
        <v>#N/A</v>
      </c>
      <c r="AB205" s="332" t="s">
        <v>185</v>
      </c>
      <c r="AC205" s="336" t="e">
        <f>_xlfn.XLOOKUP($A205,'2026 Approved Budget'!$B:$B,'2026 Approved Budget'!D:D)</f>
        <v>#N/A</v>
      </c>
      <c r="AD205" s="336" t="e">
        <f>_xlfn.XLOOKUP($A205,'2026 Approved Budget'!$B:$B,'2026 Approved Budget'!E:E)</f>
        <v>#N/A</v>
      </c>
      <c r="AE205" s="336" t="e">
        <f>_xlfn.XLOOKUP($A205,'2026 Approved Budget'!$B:$B,'2026 Approved Budget'!F:F)</f>
        <v>#N/A</v>
      </c>
      <c r="AF205" s="338" t="e">
        <f>_xlfn.XLOOKUP($A205,'2026 Approved Budget'!$B:$B,'2026 Approved Budget'!H:H)</f>
        <v>#N/A</v>
      </c>
      <c r="AG205" s="292"/>
    </row>
    <row r="206" spans="1:33" ht="60" hidden="1" customHeight="1" x14ac:dyDescent="0.2">
      <c r="A206" s="239">
        <v>1361</v>
      </c>
      <c r="B206" s="248" t="s">
        <v>551</v>
      </c>
      <c r="C206" s="248" t="s">
        <v>629</v>
      </c>
      <c r="D206" s="252" t="s">
        <v>630</v>
      </c>
      <c r="E206" s="250" t="s">
        <v>180</v>
      </c>
      <c r="F206" s="251" t="s">
        <v>81</v>
      </c>
      <c r="G206" s="275" t="s">
        <v>664</v>
      </c>
      <c r="H206" s="251" t="s">
        <v>37</v>
      </c>
      <c r="I206" s="250"/>
      <c r="J206" s="250"/>
      <c r="K206" s="253" t="s">
        <v>114</v>
      </c>
      <c r="L206" s="239" t="s">
        <v>182</v>
      </c>
      <c r="M206" s="239"/>
      <c r="N206" s="249" t="s">
        <v>665</v>
      </c>
      <c r="O206" s="239"/>
      <c r="P206" s="239" t="s">
        <v>41</v>
      </c>
      <c r="Q206" s="248" t="s">
        <v>666</v>
      </c>
      <c r="R206" s="248"/>
      <c r="S206" s="249"/>
      <c r="T206" s="248"/>
      <c r="U206" s="248"/>
      <c r="V206" s="275"/>
      <c r="W206" s="335" t="s">
        <v>184</v>
      </c>
      <c r="X206" s="335" t="s">
        <v>184</v>
      </c>
      <c r="Y206" s="335" t="s">
        <v>185</v>
      </c>
      <c r="Z206" s="335"/>
      <c r="AA206" s="336" t="e">
        <f>_xlfn.XLOOKUP($A206,'2026 Approved Budget'!$B:$B,'2026 Approved Budget'!C:C)</f>
        <v>#N/A</v>
      </c>
      <c r="AB206" s="332" t="s">
        <v>185</v>
      </c>
      <c r="AC206" s="336" t="e">
        <f>_xlfn.XLOOKUP($A206,'2026 Approved Budget'!$B:$B,'2026 Approved Budget'!D:D)</f>
        <v>#N/A</v>
      </c>
      <c r="AD206" s="336" t="e">
        <f>_xlfn.XLOOKUP($A206,'2026 Approved Budget'!$B:$B,'2026 Approved Budget'!E:E)</f>
        <v>#N/A</v>
      </c>
      <c r="AE206" s="336" t="e">
        <f>_xlfn.XLOOKUP($A206,'2026 Approved Budget'!$B:$B,'2026 Approved Budget'!F:F)</f>
        <v>#N/A</v>
      </c>
      <c r="AF206" s="338" t="e">
        <f>_xlfn.XLOOKUP($A206,'2026 Approved Budget'!$B:$B,'2026 Approved Budget'!H:H)</f>
        <v>#N/A</v>
      </c>
      <c r="AG206" s="292"/>
    </row>
    <row r="207" spans="1:33" ht="60" customHeight="1" x14ac:dyDescent="0.2">
      <c r="A207" s="239">
        <v>5189</v>
      </c>
      <c r="B207" s="248" t="s">
        <v>551</v>
      </c>
      <c r="C207" s="248" t="s">
        <v>629</v>
      </c>
      <c r="D207" s="249" t="s">
        <v>634</v>
      </c>
      <c r="E207" s="250" t="s">
        <v>34</v>
      </c>
      <c r="F207" s="251" t="s">
        <v>58</v>
      </c>
      <c r="G207" s="252" t="s">
        <v>659</v>
      </c>
      <c r="H207" s="251" t="s">
        <v>37</v>
      </c>
      <c r="I207" s="250">
        <v>9</v>
      </c>
      <c r="J207" s="250"/>
      <c r="K207" s="253" t="s">
        <v>242</v>
      </c>
      <c r="L207" s="250"/>
      <c r="M207" s="250"/>
      <c r="N207" s="249"/>
      <c r="O207" s="239"/>
      <c r="P207" s="239" t="s">
        <v>41</v>
      </c>
      <c r="Q207" s="248" t="s">
        <v>660</v>
      </c>
      <c r="R207" s="248"/>
      <c r="S207" s="249"/>
      <c r="T207" s="248"/>
      <c r="U207" s="248"/>
      <c r="V207" s="252" t="s">
        <v>102</v>
      </c>
      <c r="W207" s="332" t="s">
        <v>43</v>
      </c>
      <c r="X207" s="332" t="s">
        <v>43</v>
      </c>
      <c r="Y207" s="275" t="s">
        <v>69</v>
      </c>
      <c r="Z207" s="337" t="s">
        <v>45</v>
      </c>
      <c r="AA207" s="336" t="str">
        <f>_xlfn.XLOOKUP($A207,'2026 Approved Budget'!$B:$B,'2026 Approved Budget'!C:C)</f>
        <v>970 IT</v>
      </c>
      <c r="AB207" s="336" t="s">
        <v>46</v>
      </c>
      <c r="AC207" s="336" t="str">
        <f>_xlfn.XLOOKUP($A207,'2026 Approved Budget'!$B:$B,'2026 Approved Budget'!D:D)</f>
        <v>TBD</v>
      </c>
      <c r="AD207" s="336" t="str">
        <f>_xlfn.XLOOKUP($A207,'2026 Approved Budget'!$B:$B,'2026 Approved Budget'!E:E)</f>
        <v>06. Sr. Director</v>
      </c>
      <c r="AE207" s="336" t="str">
        <f>_xlfn.XLOOKUP($A207,'2026 Approved Budget'!$B:$B,'2026 Approved Budget'!F:F)</f>
        <v>IT Business Partner, G&amp;A</v>
      </c>
      <c r="AF207" s="338">
        <f>_xlfn.XLOOKUP($A207,'2026 Approved Budget'!$B:$B,'2026 Approved Budget'!H:H)</f>
        <v>46371</v>
      </c>
      <c r="AG207" s="254"/>
    </row>
    <row r="208" spans="1:33" ht="60" customHeight="1" x14ac:dyDescent="0.2">
      <c r="A208" s="239">
        <v>5186</v>
      </c>
      <c r="B208" s="248" t="s">
        <v>551</v>
      </c>
      <c r="C208" s="248" t="s">
        <v>629</v>
      </c>
      <c r="D208" s="252" t="s">
        <v>630</v>
      </c>
      <c r="E208" s="250" t="s">
        <v>34</v>
      </c>
      <c r="F208" s="251" t="s">
        <v>117</v>
      </c>
      <c r="G208" s="252" t="s">
        <v>651</v>
      </c>
      <c r="H208" s="251" t="s">
        <v>37</v>
      </c>
      <c r="I208" s="250">
        <v>2</v>
      </c>
      <c r="J208" s="250"/>
      <c r="K208" s="253" t="s">
        <v>61</v>
      </c>
      <c r="L208" s="250"/>
      <c r="M208" s="250" t="s">
        <v>240</v>
      </c>
      <c r="N208" s="249"/>
      <c r="O208" s="239"/>
      <c r="P208" s="239" t="s">
        <v>41</v>
      </c>
      <c r="Q208" s="248" t="s">
        <v>652</v>
      </c>
      <c r="R208" s="248"/>
      <c r="S208" s="249"/>
      <c r="T208" s="248"/>
      <c r="U208" s="248"/>
      <c r="V208" s="252"/>
      <c r="W208" s="332" t="s">
        <v>43</v>
      </c>
      <c r="X208" s="332" t="s">
        <v>43</v>
      </c>
      <c r="Y208" s="275" t="s">
        <v>69</v>
      </c>
      <c r="Z208" s="337" t="s">
        <v>45</v>
      </c>
      <c r="AA208" s="336" t="str">
        <f>_xlfn.XLOOKUP($A208,'2026 Approved Budget'!$B:$B,'2026 Approved Budget'!C:C)</f>
        <v>970 IT</v>
      </c>
      <c r="AB208" s="336" t="s">
        <v>46</v>
      </c>
      <c r="AC208" s="336" t="str">
        <f>_xlfn.XLOOKUP($A208,'2026 Approved Budget'!$B:$B,'2026 Approved Budget'!D:D)</f>
        <v>TBD</v>
      </c>
      <c r="AD208" s="336" t="str">
        <f>_xlfn.XLOOKUP($A208,'2026 Approved Budget'!$B:$B,'2026 Approved Budget'!E:E)</f>
        <v>03. Sr. Manager / Sr. Scientist</v>
      </c>
      <c r="AE208" s="336" t="str">
        <f>_xlfn.XLOOKUP($A208,'2026 Approved Budget'!$B:$B,'2026 Approved Budget'!F:F)</f>
        <v>IT Systems Engineer</v>
      </c>
      <c r="AF208" s="338">
        <f>_xlfn.XLOOKUP($A208,'2026 Approved Budget'!$B:$B,'2026 Approved Budget'!H:H)</f>
        <v>46096</v>
      </c>
      <c r="AG208" s="252"/>
    </row>
    <row r="209" spans="1:33" ht="60" customHeight="1" x14ac:dyDescent="0.2">
      <c r="A209" s="239">
        <v>5192</v>
      </c>
      <c r="B209" s="248" t="s">
        <v>551</v>
      </c>
      <c r="C209" s="248" t="s">
        <v>629</v>
      </c>
      <c r="D209" s="249" t="s">
        <v>634</v>
      </c>
      <c r="E209" s="250" t="s">
        <v>34</v>
      </c>
      <c r="F209" s="251" t="s">
        <v>117</v>
      </c>
      <c r="G209" s="252" t="s">
        <v>657</v>
      </c>
      <c r="H209" s="251" t="s">
        <v>37</v>
      </c>
      <c r="I209" s="250">
        <v>7</v>
      </c>
      <c r="J209" s="250"/>
      <c r="K209" s="253" t="s">
        <v>71</v>
      </c>
      <c r="L209" s="250"/>
      <c r="M209" s="250" t="s">
        <v>240</v>
      </c>
      <c r="N209" s="249"/>
      <c r="O209" s="239"/>
      <c r="P209" s="239" t="s">
        <v>41</v>
      </c>
      <c r="Q209" s="248" t="s">
        <v>658</v>
      </c>
      <c r="R209" s="248"/>
      <c r="S209" s="249"/>
      <c r="T209" s="248"/>
      <c r="U209" s="248"/>
      <c r="V209" s="252"/>
      <c r="W209" s="332" t="s">
        <v>43</v>
      </c>
      <c r="X209" s="332" t="s">
        <v>43</v>
      </c>
      <c r="Y209" s="275" t="s">
        <v>69</v>
      </c>
      <c r="Z209" s="337" t="s">
        <v>45</v>
      </c>
      <c r="AA209" s="336" t="str">
        <f>_xlfn.XLOOKUP($A209,'2026 Approved Budget'!$B:$B,'2026 Approved Budget'!C:C)</f>
        <v>970 IT</v>
      </c>
      <c r="AB209" s="336" t="s">
        <v>46</v>
      </c>
      <c r="AC209" s="336" t="str">
        <f>_xlfn.XLOOKUP($A209,'2026 Approved Budget'!$B:$B,'2026 Approved Budget'!D:D)</f>
        <v>TBD</v>
      </c>
      <c r="AD209" s="336" t="str">
        <f>_xlfn.XLOOKUP($A209,'2026 Approved Budget'!$B:$B,'2026 Approved Budget'!E:E)</f>
        <v>03. Sr. Manager / Sr. Scientist</v>
      </c>
      <c r="AE209" s="336" t="str">
        <f>_xlfn.XLOOKUP($A209,'2026 Approved Budget'!$B:$B,'2026 Approved Budget'!F:F)</f>
        <v>IT Security &amp; Data Privacy</v>
      </c>
      <c r="AF209" s="338">
        <f>_xlfn.XLOOKUP($A209,'2026 Approved Budget'!$B:$B,'2026 Approved Budget'!H:H)</f>
        <v>46188</v>
      </c>
      <c r="AG209" s="252"/>
    </row>
    <row r="210" spans="1:33" ht="45" customHeight="1" x14ac:dyDescent="0.2">
      <c r="A210" s="239">
        <v>1119</v>
      </c>
      <c r="B210" s="248" t="s">
        <v>684</v>
      </c>
      <c r="C210" s="248" t="s">
        <v>667</v>
      </c>
      <c r="D210" s="254" t="s">
        <v>685</v>
      </c>
      <c r="E210" s="250" t="s">
        <v>34</v>
      </c>
      <c r="F210" s="251" t="s">
        <v>48</v>
      </c>
      <c r="G210" s="252" t="s">
        <v>686</v>
      </c>
      <c r="H210" s="251" t="s">
        <v>60</v>
      </c>
      <c r="I210" s="250">
        <v>1</v>
      </c>
      <c r="J210" s="250"/>
      <c r="K210" s="253" t="s">
        <v>71</v>
      </c>
      <c r="L210" s="250" t="s">
        <v>62</v>
      </c>
      <c r="M210" s="239" t="s">
        <v>52</v>
      </c>
      <c r="N210" s="249" t="s">
        <v>687</v>
      </c>
      <c r="O210" s="239"/>
      <c r="P210" s="250" t="s">
        <v>41</v>
      </c>
      <c r="Q210" s="248" t="s">
        <v>688</v>
      </c>
      <c r="R210" s="248"/>
      <c r="S210" s="249"/>
      <c r="T210" s="248"/>
      <c r="U210" s="249"/>
      <c r="V210" s="252"/>
      <c r="W210" s="332" t="s">
        <v>165</v>
      </c>
      <c r="X210" s="332" t="s">
        <v>76</v>
      </c>
      <c r="Y210" s="275" t="s">
        <v>69</v>
      </c>
      <c r="Z210" s="337" t="s">
        <v>45</v>
      </c>
      <c r="AA210" s="336" t="str">
        <f>_xlfn.XLOOKUP($A210,'2026 Approved Budget'!$B:$B,'2026 Approved Budget'!C:C)</f>
        <v>240 Portfolio Management</v>
      </c>
      <c r="AB210" s="332" t="s">
        <v>46</v>
      </c>
      <c r="AC210" s="336" t="str">
        <f>_xlfn.XLOOKUP($A210,'2026 Approved Budget'!$B:$B,'2026 Approved Budget'!D:D)</f>
        <v>Amy Westfall</v>
      </c>
      <c r="AD210" s="336" t="str">
        <f>_xlfn.XLOOKUP($A210,'2026 Approved Budget'!$B:$B,'2026 Approved Budget'!E:E)</f>
        <v>08. VP</v>
      </c>
      <c r="AE210" s="336" t="str">
        <f>_xlfn.XLOOKUP($A210,'2026 Approved Budget'!$B:$B,'2026 Approved Budget'!F:F)</f>
        <v>Vice President, Portfolio &amp; Project Management</v>
      </c>
      <c r="AF210" s="338">
        <f>_xlfn.XLOOKUP($A210,'2026 Approved Budget'!$B:$B,'2026 Approved Budget'!H:H)</f>
        <v>45440</v>
      </c>
      <c r="AG210" s="252"/>
    </row>
    <row r="211" spans="1:33" ht="30" customHeight="1" x14ac:dyDescent="0.2">
      <c r="A211" s="239">
        <v>1385</v>
      </c>
      <c r="B211" s="248" t="s">
        <v>684</v>
      </c>
      <c r="C211" s="248" t="s">
        <v>667</v>
      </c>
      <c r="D211" s="254" t="s">
        <v>689</v>
      </c>
      <c r="E211" s="250" t="s">
        <v>34</v>
      </c>
      <c r="F211" s="250" t="s">
        <v>98</v>
      </c>
      <c r="G211" s="256" t="s">
        <v>690</v>
      </c>
      <c r="H211" s="251" t="s">
        <v>60</v>
      </c>
      <c r="I211" s="250">
        <v>7</v>
      </c>
      <c r="J211" s="250"/>
      <c r="K211" s="253" t="s">
        <v>71</v>
      </c>
      <c r="L211" s="239"/>
      <c r="M211" s="239" t="s">
        <v>52</v>
      </c>
      <c r="N211" s="249"/>
      <c r="O211" s="239"/>
      <c r="P211" s="239" t="s">
        <v>41</v>
      </c>
      <c r="Q211" s="248"/>
      <c r="R211" s="248"/>
      <c r="S211" s="249"/>
      <c r="T211" s="249"/>
      <c r="U211" s="249"/>
      <c r="V211" s="256"/>
      <c r="W211" s="332" t="s">
        <v>43</v>
      </c>
      <c r="X211" s="332" t="s">
        <v>76</v>
      </c>
      <c r="Y211" s="275" t="s">
        <v>69</v>
      </c>
      <c r="Z211" s="337" t="s">
        <v>45</v>
      </c>
      <c r="AA211" s="336" t="str">
        <f>_xlfn.XLOOKUP($A211,'2026 Approved Budget'!$B:$B,'2026 Approved Budget'!C:C)</f>
        <v>240 Portfolio Management</v>
      </c>
      <c r="AB211" s="332" t="s">
        <v>46</v>
      </c>
      <c r="AC211" s="336" t="str">
        <f>_xlfn.XLOOKUP($A211,'2026 Approved Budget'!$B:$B,'2026 Approved Budget'!D:D)</f>
        <v>TBD</v>
      </c>
      <c r="AD211" s="336" t="str">
        <f>_xlfn.XLOOKUP($A211,'2026 Approved Budget'!$B:$B,'2026 Approved Budget'!E:E)</f>
        <v>05. Director</v>
      </c>
      <c r="AE211" s="336" t="str">
        <f>_xlfn.XLOOKUP($A211,'2026 Approved Budget'!$B:$B,'2026 Approved Budget'!F:F)</f>
        <v>Director, Portfolio</v>
      </c>
      <c r="AF211" s="338">
        <f>_xlfn.XLOOKUP($A211,'2026 Approved Budget'!$B:$B,'2026 Approved Budget'!H:H)</f>
        <v>46096</v>
      </c>
      <c r="AG211" s="254"/>
    </row>
    <row r="212" spans="1:33" ht="30" customHeight="1" x14ac:dyDescent="0.2">
      <c r="A212" s="260">
        <v>5217</v>
      </c>
      <c r="B212" s="248" t="s">
        <v>684</v>
      </c>
      <c r="C212" s="248" t="s">
        <v>667</v>
      </c>
      <c r="D212" s="254" t="s">
        <v>689</v>
      </c>
      <c r="E212" s="260" t="s">
        <v>34</v>
      </c>
      <c r="F212" s="260" t="s">
        <v>197</v>
      </c>
      <c r="G212" s="261" t="s">
        <v>691</v>
      </c>
      <c r="H212" s="251" t="s">
        <v>60</v>
      </c>
      <c r="I212" s="260">
        <v>9</v>
      </c>
      <c r="J212" s="260"/>
      <c r="K212" s="253" t="s">
        <v>71</v>
      </c>
      <c r="L212" s="260"/>
      <c r="M212" s="260" t="s">
        <v>52</v>
      </c>
      <c r="N212" s="265"/>
      <c r="O212" s="260"/>
      <c r="P212" s="239" t="s">
        <v>41</v>
      </c>
      <c r="Q212" s="261" t="s">
        <v>693</v>
      </c>
      <c r="R212" s="261" t="s">
        <v>694</v>
      </c>
      <c r="S212" s="261" t="s">
        <v>695</v>
      </c>
      <c r="T212" s="261" t="s">
        <v>692</v>
      </c>
      <c r="U212" s="249"/>
      <c r="V212" s="252"/>
      <c r="W212" s="103" t="s">
        <v>165</v>
      </c>
      <c r="X212" s="332" t="s">
        <v>103</v>
      </c>
      <c r="Y212" s="275" t="s">
        <v>69</v>
      </c>
      <c r="Z212" s="337" t="s">
        <v>45</v>
      </c>
      <c r="AA212" s="336" t="str">
        <f>_xlfn.XLOOKUP($A212,'2026 Approved Budget'!$B:$B,'2026 Approved Budget'!C:C)</f>
        <v>240 Portfolio Management</v>
      </c>
      <c r="AB212" s="332" t="s">
        <v>46</v>
      </c>
      <c r="AC212" s="336" t="str">
        <f>_xlfn.XLOOKUP($A212,'2026 Approved Budget'!$B:$B,'2026 Approved Budget'!D:D)</f>
        <v>TBD</v>
      </c>
      <c r="AD212" s="336" t="str">
        <f>_xlfn.XLOOKUP($A212,'2026 Approved Budget'!$B:$B,'2026 Approved Budget'!E:E)</f>
        <v>03. Sr. Manager / Sr. Scientist</v>
      </c>
      <c r="AE212" s="336" t="str">
        <f>_xlfn.XLOOKUP($A212,'2026 Approved Budget'!$B:$B,'2026 Approved Budget'!F:F)</f>
        <v>Portfolio Analyst</v>
      </c>
      <c r="AF212" s="338">
        <f>_xlfn.XLOOKUP($A212,'2026 Approved Budget'!$B:$B,'2026 Approved Budget'!H:H)</f>
        <v>46371</v>
      </c>
      <c r="AG212" s="254"/>
    </row>
    <row r="213" spans="1:33" ht="45" hidden="1" customHeight="1" x14ac:dyDescent="0.2">
      <c r="A213" s="239">
        <v>1248</v>
      </c>
      <c r="B213" s="269" t="s">
        <v>684</v>
      </c>
      <c r="C213" s="240" t="s">
        <v>696</v>
      </c>
      <c r="D213" s="240" t="s">
        <v>685</v>
      </c>
      <c r="E213" s="241" t="s">
        <v>34</v>
      </c>
      <c r="F213" s="246" t="s">
        <v>105</v>
      </c>
      <c r="G213" s="242" t="s">
        <v>697</v>
      </c>
      <c r="H213" s="243" t="s">
        <v>37</v>
      </c>
      <c r="I213" s="241"/>
      <c r="J213" s="241"/>
      <c r="K213" s="244" t="s">
        <v>38</v>
      </c>
      <c r="L213" s="241" t="s">
        <v>39</v>
      </c>
      <c r="M213" s="246" t="s">
        <v>535</v>
      </c>
      <c r="N213" s="240" t="s">
        <v>698</v>
      </c>
      <c r="O213" s="246">
        <v>10074</v>
      </c>
      <c r="P213" s="241" t="s">
        <v>41</v>
      </c>
      <c r="Q213" s="240" t="s">
        <v>699</v>
      </c>
      <c r="R213" s="240"/>
      <c r="S213" s="240"/>
      <c r="T213" s="240"/>
      <c r="U213" s="277"/>
      <c r="V213" s="242"/>
      <c r="W213" s="332" t="s">
        <v>43</v>
      </c>
      <c r="X213" s="332" t="s">
        <v>43</v>
      </c>
      <c r="Y213" s="336" t="s">
        <v>44</v>
      </c>
      <c r="Z213" s="337" t="s">
        <v>45</v>
      </c>
      <c r="AA213" s="336" t="str">
        <f>_xlfn.XLOOKUP($A213,'2026 Approved Budget'!$B:$B,'2026 Approved Budget'!C:C)</f>
        <v>605 Marketing</v>
      </c>
      <c r="AB213" s="336" t="s">
        <v>46</v>
      </c>
      <c r="AC213" s="336" t="str">
        <f>_xlfn.XLOOKUP($A213,'2026 Approved Budget'!$B:$B,'2026 Approved Budget'!D:D)</f>
        <v>Geoff McKinley</v>
      </c>
      <c r="AD213" s="336" t="str">
        <f>_xlfn.XLOOKUP($A213,'2026 Approved Budget'!$B:$B,'2026 Approved Budget'!E:E)</f>
        <v>08. VP</v>
      </c>
      <c r="AE213" s="336" t="str">
        <f>_xlfn.XLOOKUP($A213,'2026 Approved Budget'!$B:$B,'2026 Approved Budget'!F:F)</f>
        <v>VP Product Strategy Head</v>
      </c>
      <c r="AF213" s="338">
        <f>_xlfn.XLOOKUP($A213,'2026 Approved Budget'!$B:$B,'2026 Approved Budget'!H:H)</f>
        <v>45551</v>
      </c>
      <c r="AG213" s="261"/>
    </row>
    <row r="214" spans="1:33" ht="16" hidden="1" x14ac:dyDescent="0.2">
      <c r="A214" s="260">
        <v>5357</v>
      </c>
      <c r="B214" s="240" t="s">
        <v>684</v>
      </c>
      <c r="C214" s="240" t="s">
        <v>696</v>
      </c>
      <c r="D214" s="245" t="s">
        <v>685</v>
      </c>
      <c r="E214" s="241" t="s">
        <v>34</v>
      </c>
      <c r="F214" s="276" t="s">
        <v>105</v>
      </c>
      <c r="G214" s="277" t="s">
        <v>700</v>
      </c>
      <c r="H214" s="243" t="s">
        <v>37</v>
      </c>
      <c r="I214" s="276"/>
      <c r="J214" s="276"/>
      <c r="K214" s="276" t="s">
        <v>71</v>
      </c>
      <c r="L214" s="246" t="s">
        <v>39</v>
      </c>
      <c r="M214" s="246" t="s">
        <v>52</v>
      </c>
      <c r="N214" s="267" t="s">
        <v>701</v>
      </c>
      <c r="O214" s="276"/>
      <c r="P214" s="246" t="s">
        <v>41</v>
      </c>
      <c r="Q214" s="277"/>
      <c r="R214" s="277" t="s">
        <v>692</v>
      </c>
      <c r="S214" s="277"/>
      <c r="T214" s="277" t="s">
        <v>702</v>
      </c>
      <c r="U214" s="277" t="s">
        <v>692</v>
      </c>
      <c r="V214" s="277"/>
      <c r="W214" s="332" t="s">
        <v>43</v>
      </c>
      <c r="X214" s="332" t="s">
        <v>103</v>
      </c>
      <c r="Y214" s="103" t="s">
        <v>703</v>
      </c>
      <c r="Z214" s="337" t="s">
        <v>45</v>
      </c>
      <c r="AA214" s="336" t="str">
        <f>_xlfn.XLOOKUP($A214,'2026 Approved Budget'!$B:$B,'2026 Approved Budget'!C:C)</f>
        <v>605 Marketing</v>
      </c>
      <c r="AB214" s="336" t="s">
        <v>88</v>
      </c>
      <c r="AC214" s="336" t="str">
        <f>_xlfn.XLOOKUP($A214,'2026 Approved Budget'!$B:$B,'2026 Approved Budget'!D:D)</f>
        <v>TBD</v>
      </c>
      <c r="AD214" s="336" t="str">
        <f>_xlfn.XLOOKUP($A214,'2026 Approved Budget'!$B:$B,'2026 Approved Budget'!E:E)</f>
        <v>08. VP</v>
      </c>
      <c r="AE214" s="336" t="str">
        <f>_xlfn.XLOOKUP($A214,'2026 Approved Budget'!$B:$B,'2026 Approved Budget'!F:F)</f>
        <v>VP Product Strategy Head</v>
      </c>
      <c r="AF214" s="338">
        <f>_xlfn.XLOOKUP($A214,'2026 Approved Budget'!$B:$B,'2026 Approved Budget'!H:H)</f>
        <v>46188</v>
      </c>
      <c r="AG214" s="254"/>
    </row>
    <row r="215" spans="1:33" ht="15" hidden="1" customHeight="1" x14ac:dyDescent="0.2">
      <c r="A215" s="239">
        <v>1249</v>
      </c>
      <c r="B215" s="269" t="s">
        <v>684</v>
      </c>
      <c r="C215" s="240" t="s">
        <v>696</v>
      </c>
      <c r="D215" s="245" t="s">
        <v>704</v>
      </c>
      <c r="E215" s="241" t="s">
        <v>34</v>
      </c>
      <c r="F215" s="246" t="s">
        <v>58</v>
      </c>
      <c r="G215" s="242" t="s">
        <v>705</v>
      </c>
      <c r="H215" s="243" t="s">
        <v>37</v>
      </c>
      <c r="I215" s="241"/>
      <c r="J215" s="241"/>
      <c r="K215" s="247" t="s">
        <v>114</v>
      </c>
      <c r="L215" s="241" t="s">
        <v>39</v>
      </c>
      <c r="M215" s="246" t="s">
        <v>52</v>
      </c>
      <c r="N215" s="240" t="s">
        <v>706</v>
      </c>
      <c r="O215" s="246">
        <v>10194</v>
      </c>
      <c r="P215" s="241" t="s">
        <v>371</v>
      </c>
      <c r="Q215" s="240"/>
      <c r="R215" s="240"/>
      <c r="S215" s="240"/>
      <c r="T215" s="240" t="s">
        <v>111</v>
      </c>
      <c r="U215" s="277"/>
      <c r="V215" s="242"/>
      <c r="W215" s="332" t="s">
        <v>43</v>
      </c>
      <c r="X215" s="103" t="s">
        <v>43</v>
      </c>
      <c r="Y215" s="336" t="s">
        <v>44</v>
      </c>
      <c r="Z215" s="337" t="s">
        <v>45</v>
      </c>
      <c r="AA215" s="336" t="str">
        <f>_xlfn.XLOOKUP($A215,'2026 Approved Budget'!$B:$B,'2026 Approved Budget'!C:C)</f>
        <v>605 Marketing</v>
      </c>
      <c r="AB215" s="336" t="s">
        <v>46</v>
      </c>
      <c r="AC215" s="336" t="str">
        <f>_xlfn.XLOOKUP($A215,'2026 Approved Budget'!$B:$B,'2026 Approved Budget'!D:D)</f>
        <v>Sarah Rose</v>
      </c>
      <c r="AD215" s="336" t="str">
        <f>_xlfn.XLOOKUP($A215,'2026 Approved Budget'!$B:$B,'2026 Approved Budget'!E:E)</f>
        <v>06. Sr. Director</v>
      </c>
      <c r="AE215" s="336" t="str">
        <f>_xlfn.XLOOKUP($A215,'2026 Approved Budget'!$B:$B,'2026 Approved Budget'!F:F)</f>
        <v>Product Strategy Head (TLA), Lead (Dani)</v>
      </c>
      <c r="AF215" s="338">
        <f>_xlfn.XLOOKUP($A215,'2026 Approved Budget'!$B:$B,'2026 Approved Budget'!H:H)</f>
        <v>45768</v>
      </c>
      <c r="AG215" s="261"/>
    </row>
    <row r="216" spans="1:33" ht="30" hidden="1" customHeight="1" x14ac:dyDescent="0.2">
      <c r="A216" s="239">
        <v>1395</v>
      </c>
      <c r="B216" s="240" t="s">
        <v>684</v>
      </c>
      <c r="C216" s="240" t="s">
        <v>696</v>
      </c>
      <c r="D216" s="245" t="s">
        <v>704</v>
      </c>
      <c r="E216" s="241" t="s">
        <v>34</v>
      </c>
      <c r="F216" s="246" t="s">
        <v>58</v>
      </c>
      <c r="G216" s="242" t="s">
        <v>707</v>
      </c>
      <c r="H216" s="243" t="s">
        <v>37</v>
      </c>
      <c r="I216" s="363"/>
      <c r="J216" s="363"/>
      <c r="K216" s="276" t="s">
        <v>71</v>
      </c>
      <c r="L216" s="246" t="s">
        <v>39</v>
      </c>
      <c r="M216" s="246" t="s">
        <v>535</v>
      </c>
      <c r="N216" s="245" t="s">
        <v>708</v>
      </c>
      <c r="O216" s="246">
        <v>10341</v>
      </c>
      <c r="P216" s="246" t="s">
        <v>41</v>
      </c>
      <c r="Q216" s="240"/>
      <c r="R216" s="277"/>
      <c r="S216" s="245"/>
      <c r="T216" s="245" t="s">
        <v>709</v>
      </c>
      <c r="U216" s="277" t="s">
        <v>692</v>
      </c>
      <c r="V216" s="242"/>
      <c r="W216" s="332" t="s">
        <v>43</v>
      </c>
      <c r="X216" s="332" t="s">
        <v>103</v>
      </c>
      <c r="Y216" s="336" t="s">
        <v>44</v>
      </c>
      <c r="Z216" s="337" t="s">
        <v>45</v>
      </c>
      <c r="AA216" s="336" t="str">
        <f>_xlfn.XLOOKUP($A216,'2026 Approved Budget'!$B:$B,'2026 Approved Budget'!C:C)</f>
        <v>605 Marketing</v>
      </c>
      <c r="AB216" s="336" t="s">
        <v>46</v>
      </c>
      <c r="AC216" s="336" t="str">
        <f>_xlfn.XLOOKUP($A216,'2026 Approved Budget'!$B:$B,'2026 Approved Budget'!D:D)</f>
        <v>TBD</v>
      </c>
      <c r="AD216" s="336" t="str">
        <f>_xlfn.XLOOKUP($A216,'2026 Approved Budget'!$B:$B,'2026 Approved Budget'!E:E)</f>
        <v>06. Sr. Director</v>
      </c>
      <c r="AE216" s="336" t="str">
        <f>_xlfn.XLOOKUP($A216,'2026 Approved Budget'!$B:$B,'2026 Approved Budget'!F:F)</f>
        <v>Sr. Dir. Marketing</v>
      </c>
      <c r="AF216" s="338">
        <f>_xlfn.XLOOKUP($A216,'2026 Approved Budget'!$B:$B,'2026 Approved Budget'!H:H)</f>
        <v>46188</v>
      </c>
      <c r="AG216" s="254"/>
    </row>
    <row r="217" spans="1:33" ht="15" customHeight="1" x14ac:dyDescent="0.2">
      <c r="A217" s="239">
        <v>1394</v>
      </c>
      <c r="B217" s="248" t="s">
        <v>684</v>
      </c>
      <c r="C217" s="248" t="s">
        <v>696</v>
      </c>
      <c r="D217" s="249" t="s">
        <v>685</v>
      </c>
      <c r="E217" s="250" t="s">
        <v>34</v>
      </c>
      <c r="F217" s="239" t="s">
        <v>58</v>
      </c>
      <c r="G217" s="261" t="s">
        <v>710</v>
      </c>
      <c r="H217" s="251" t="s">
        <v>37</v>
      </c>
      <c r="I217" s="250"/>
      <c r="J217" s="250"/>
      <c r="K217" s="253" t="s">
        <v>100</v>
      </c>
      <c r="L217" s="239"/>
      <c r="M217" s="239"/>
      <c r="N217" s="249"/>
      <c r="O217" s="239"/>
      <c r="P217" s="250" t="s">
        <v>109</v>
      </c>
      <c r="Q217" s="248" t="s">
        <v>711</v>
      </c>
      <c r="R217" s="248" t="s">
        <v>712</v>
      </c>
      <c r="S217" s="249" t="s">
        <v>713</v>
      </c>
      <c r="T217" s="249" t="s">
        <v>714</v>
      </c>
      <c r="U217" s="261" t="s">
        <v>692</v>
      </c>
      <c r="V217" s="252" t="s">
        <v>102</v>
      </c>
      <c r="W217" s="332" t="s">
        <v>43</v>
      </c>
      <c r="X217" s="103" t="s">
        <v>76</v>
      </c>
      <c r="Y217" s="275" t="s">
        <v>69</v>
      </c>
      <c r="Z217" s="337" t="s">
        <v>45</v>
      </c>
      <c r="AA217" s="336" t="str">
        <f>_xlfn.XLOOKUP($A217,'2026 Approved Budget'!$B:$B,'2026 Approved Budget'!C:C)</f>
        <v>605 Marketing</v>
      </c>
      <c r="AB217" s="336" t="s">
        <v>46</v>
      </c>
      <c r="AC217" s="336" t="str">
        <f>_xlfn.XLOOKUP($A217,'2026 Approved Budget'!$B:$B,'2026 Approved Budget'!D:D)</f>
        <v>TBD</v>
      </c>
      <c r="AD217" s="336" t="str">
        <f>_xlfn.XLOOKUP($A217,'2026 Approved Budget'!$B:$B,'2026 Approved Budget'!E:E)</f>
        <v>06. Sr. Director</v>
      </c>
      <c r="AE217" s="336" t="str">
        <f>_xlfn.XLOOKUP($A217,'2026 Approved Budget'!$B:$B,'2026 Approved Budget'!F:F)</f>
        <v>Sr Dir, Commercial Ops (all programs)</v>
      </c>
      <c r="AF217" s="338">
        <f>_xlfn.XLOOKUP($A217,'2026 Approved Budget'!$B:$B,'2026 Approved Budget'!H:H)</f>
        <v>46188</v>
      </c>
      <c r="AG217" s="254" t="s">
        <v>715</v>
      </c>
    </row>
    <row r="218" spans="1:33" ht="15" hidden="1" customHeight="1" x14ac:dyDescent="0.2">
      <c r="A218" s="239">
        <v>1277</v>
      </c>
      <c r="B218" s="269" t="s">
        <v>684</v>
      </c>
      <c r="C218" s="240" t="s">
        <v>716</v>
      </c>
      <c r="D218" s="240" t="s">
        <v>704</v>
      </c>
      <c r="E218" s="241" t="s">
        <v>34</v>
      </c>
      <c r="F218" s="246" t="s">
        <v>58</v>
      </c>
      <c r="G218" s="242" t="s">
        <v>717</v>
      </c>
      <c r="H218" s="243" t="s">
        <v>37</v>
      </c>
      <c r="I218" s="241"/>
      <c r="J218" s="241"/>
      <c r="K218" s="244" t="s">
        <v>107</v>
      </c>
      <c r="L218" s="241" t="s">
        <v>39</v>
      </c>
      <c r="M218" s="246" t="s">
        <v>52</v>
      </c>
      <c r="N218" s="240" t="s">
        <v>718</v>
      </c>
      <c r="O218" s="246">
        <v>10114</v>
      </c>
      <c r="P218" s="241" t="s">
        <v>109</v>
      </c>
      <c r="Q218" s="240" t="s">
        <v>719</v>
      </c>
      <c r="R218" s="240"/>
      <c r="S218" s="240"/>
      <c r="T218" s="240"/>
      <c r="U218" s="277"/>
      <c r="V218" s="242"/>
      <c r="W218" s="332" t="s">
        <v>43</v>
      </c>
      <c r="X218" s="332" t="s">
        <v>43</v>
      </c>
      <c r="Y218" s="336" t="s">
        <v>44</v>
      </c>
      <c r="Z218" s="337" t="s">
        <v>45</v>
      </c>
      <c r="AA218" s="336" t="str">
        <f>_xlfn.XLOOKUP($A218,'2026 Approved Budget'!$B:$B,'2026 Approved Budget'!C:C)</f>
        <v>615 Commercial Analytics</v>
      </c>
      <c r="AB218" s="336" t="s">
        <v>46</v>
      </c>
      <c r="AC218" s="336" t="str">
        <f>_xlfn.XLOOKUP($A218,'2026 Approved Budget'!$B:$B,'2026 Approved Budget'!D:D)</f>
        <v>Grace Xiao</v>
      </c>
      <c r="AD218" s="336" t="str">
        <f>_xlfn.XLOOKUP($A218,'2026 Approved Budget'!$B:$B,'2026 Approved Budget'!E:E)</f>
        <v>06. Sr. Director</v>
      </c>
      <c r="AE218" s="336" t="str">
        <f>_xlfn.XLOOKUP($A218,'2026 Approved Budget'!$B:$B,'2026 Approved Budget'!F:F)</f>
        <v>Sr. Director, Insights and Analytics</v>
      </c>
      <c r="AF218" s="338">
        <f>_xlfn.XLOOKUP($A218,'2026 Approved Budget'!$B:$B,'2026 Approved Budget'!H:H)</f>
        <v>45642</v>
      </c>
      <c r="AG218" s="261"/>
    </row>
    <row r="219" spans="1:33" ht="45" hidden="1" customHeight="1" x14ac:dyDescent="0.2">
      <c r="A219" s="239">
        <v>1279</v>
      </c>
      <c r="B219" s="269" t="s">
        <v>684</v>
      </c>
      <c r="C219" s="240" t="s">
        <v>716</v>
      </c>
      <c r="D219" s="240" t="s">
        <v>704</v>
      </c>
      <c r="E219" s="241" t="s">
        <v>34</v>
      </c>
      <c r="F219" s="246" t="s">
        <v>117</v>
      </c>
      <c r="G219" s="242" t="s">
        <v>720</v>
      </c>
      <c r="H219" s="243" t="s">
        <v>37</v>
      </c>
      <c r="I219" s="241"/>
      <c r="J219" s="241"/>
      <c r="K219" s="247" t="s">
        <v>114</v>
      </c>
      <c r="L219" s="241" t="s">
        <v>39</v>
      </c>
      <c r="M219" s="246" t="s">
        <v>52</v>
      </c>
      <c r="N219" s="240" t="s">
        <v>721</v>
      </c>
      <c r="O219" s="246">
        <v>10208</v>
      </c>
      <c r="P219" s="241" t="s">
        <v>109</v>
      </c>
      <c r="Q219" s="270" t="s">
        <v>722</v>
      </c>
      <c r="R219" s="270"/>
      <c r="S219" s="240"/>
      <c r="T219" s="240"/>
      <c r="U219" s="277"/>
      <c r="V219" s="242"/>
      <c r="W219" s="332" t="s">
        <v>43</v>
      </c>
      <c r="X219" s="103" t="s">
        <v>43</v>
      </c>
      <c r="Y219" s="336" t="s">
        <v>44</v>
      </c>
      <c r="Z219" s="337" t="s">
        <v>45</v>
      </c>
      <c r="AA219" s="336" t="str">
        <f>_xlfn.XLOOKUP($A219,'2026 Approved Budget'!$B:$B,'2026 Approved Budget'!C:C)</f>
        <v>615 Commercial Analytics</v>
      </c>
      <c r="AB219" s="336" t="s">
        <v>46</v>
      </c>
      <c r="AC219" s="336" t="str">
        <f>_xlfn.XLOOKUP($A219,'2026 Approved Budget'!$B:$B,'2026 Approved Budget'!D:D)</f>
        <v>Adrian Garcia</v>
      </c>
      <c r="AD219" s="336" t="str">
        <f>_xlfn.XLOOKUP($A219,'2026 Approved Budget'!$B:$B,'2026 Approved Budget'!E:E)</f>
        <v>03. Sr. Manager / Sr. Scientist</v>
      </c>
      <c r="AE219" s="336" t="str">
        <f>_xlfn.XLOOKUP($A219,'2026 Approved Budget'!$B:$B,'2026 Approved Budget'!F:F)</f>
        <v>Sr. Manager, Insights and Analytics</v>
      </c>
      <c r="AF219" s="338">
        <f>_xlfn.XLOOKUP($A219,'2026 Approved Budget'!$B:$B,'2026 Approved Budget'!H:H)</f>
        <v>45768</v>
      </c>
      <c r="AG219" s="254"/>
    </row>
    <row r="220" spans="1:33" ht="90" hidden="1" customHeight="1" x14ac:dyDescent="0.2">
      <c r="A220" s="239">
        <v>5378</v>
      </c>
      <c r="B220" s="240" t="s">
        <v>684</v>
      </c>
      <c r="C220" s="240" t="s">
        <v>723</v>
      </c>
      <c r="D220" s="240" t="s">
        <v>33</v>
      </c>
      <c r="E220" s="241" t="s">
        <v>34</v>
      </c>
      <c r="F220" s="246" t="s">
        <v>35</v>
      </c>
      <c r="G220" s="242" t="s">
        <v>724</v>
      </c>
      <c r="H220" s="241" t="s">
        <v>60</v>
      </c>
      <c r="I220" s="241"/>
      <c r="J220" s="241"/>
      <c r="K220" s="247" t="s">
        <v>61</v>
      </c>
      <c r="L220" s="241" t="s">
        <v>39</v>
      </c>
      <c r="M220" s="246" t="s">
        <v>535</v>
      </c>
      <c r="N220" s="245" t="s">
        <v>725</v>
      </c>
      <c r="O220" s="246">
        <v>10289</v>
      </c>
      <c r="P220" s="246" t="s">
        <v>41</v>
      </c>
      <c r="Q220" s="240"/>
      <c r="R220" s="240"/>
      <c r="S220" s="240"/>
      <c r="T220" s="240"/>
      <c r="U220" s="240"/>
      <c r="V220" s="242"/>
      <c r="W220" s="332" t="s">
        <v>43</v>
      </c>
      <c r="X220" s="332" t="s">
        <v>43</v>
      </c>
      <c r="Y220" s="336" t="s">
        <v>44</v>
      </c>
      <c r="Z220" s="337" t="s">
        <v>45</v>
      </c>
      <c r="AA220" s="336" t="str">
        <f>_xlfn.XLOOKUP($A220,'2026 Approved Budget'!$B:$B,'2026 Approved Budget'!C:C)</f>
        <v>901 Executive G&amp;A</v>
      </c>
      <c r="AB220" s="336" t="s">
        <v>88</v>
      </c>
      <c r="AC220" s="336" t="str">
        <f>_xlfn.XLOOKUP($A220,'2026 Approved Budget'!$B:$B,'2026 Approved Budget'!D:D)</f>
        <v>TBD</v>
      </c>
      <c r="AD220" s="336" t="str">
        <f>_xlfn.XLOOKUP($A220,'2026 Approved Budget'!$B:$B,'2026 Approved Budget'!E:E)</f>
        <v>10. C-Suite</v>
      </c>
      <c r="AE220" s="336" t="str">
        <f>_xlfn.XLOOKUP($A220,'2026 Approved Budget'!$B:$B,'2026 Approved Budget'!F:F)</f>
        <v>Chief Strategy Officer</v>
      </c>
      <c r="AF220" s="338">
        <f>_xlfn.XLOOKUP($A220,'2026 Approved Budget'!$B:$B,'2026 Approved Budget'!H:H)</f>
        <v>46096</v>
      </c>
      <c r="AG220" s="252"/>
    </row>
    <row r="221" spans="1:33" ht="60" hidden="1" customHeight="1" x14ac:dyDescent="0.2">
      <c r="A221" s="239">
        <v>5380</v>
      </c>
      <c r="B221" s="240" t="s">
        <v>684</v>
      </c>
      <c r="C221" s="240" t="s">
        <v>723</v>
      </c>
      <c r="D221" s="242" t="s">
        <v>685</v>
      </c>
      <c r="E221" s="241" t="s">
        <v>34</v>
      </c>
      <c r="F221" s="246" t="s">
        <v>105</v>
      </c>
      <c r="G221" s="242" t="s">
        <v>726</v>
      </c>
      <c r="H221" s="241" t="s">
        <v>60</v>
      </c>
      <c r="I221" s="241"/>
      <c r="J221" s="241"/>
      <c r="K221" s="247" t="s">
        <v>61</v>
      </c>
      <c r="L221" s="241" t="s">
        <v>39</v>
      </c>
      <c r="M221" s="246" t="s">
        <v>535</v>
      </c>
      <c r="N221" s="245" t="s">
        <v>727</v>
      </c>
      <c r="O221" s="246">
        <v>10321</v>
      </c>
      <c r="P221" s="246" t="s">
        <v>41</v>
      </c>
      <c r="Q221" s="240"/>
      <c r="R221" s="240"/>
      <c r="S221" s="240"/>
      <c r="T221" s="240"/>
      <c r="U221" s="240"/>
      <c r="V221" s="242"/>
      <c r="W221" s="332" t="s">
        <v>43</v>
      </c>
      <c r="X221" s="332" t="s">
        <v>43</v>
      </c>
      <c r="Y221" s="336" t="s">
        <v>44</v>
      </c>
      <c r="Z221" s="337" t="s">
        <v>45</v>
      </c>
      <c r="AA221" s="336" t="str">
        <f>_xlfn.XLOOKUP($A221,'2026 Approved Budget'!$B:$B,'2026 Approved Budget'!C:C)</f>
        <v>901 Executive G&amp;A</v>
      </c>
      <c r="AB221" s="336" t="s">
        <v>88</v>
      </c>
      <c r="AC221" s="336" t="str">
        <f>_xlfn.XLOOKUP($A221,'2026 Approved Budget'!$B:$B,'2026 Approved Budget'!D:D)</f>
        <v>TBD</v>
      </c>
      <c r="AD221" s="336" t="str">
        <f>_xlfn.XLOOKUP($A221,'2026 Approved Budget'!$B:$B,'2026 Approved Budget'!E:E)</f>
        <v>08. VP</v>
      </c>
      <c r="AE221" s="336" t="str">
        <f>_xlfn.XLOOKUP($A221,'2026 Approved Budget'!$B:$B,'2026 Approved Budget'!F:F)</f>
        <v>Placeholder</v>
      </c>
      <c r="AF221" s="338">
        <f>_xlfn.XLOOKUP($A221,'2026 Approved Budget'!$B:$B,'2026 Approved Budget'!H:H)</f>
        <v>46096</v>
      </c>
      <c r="AG221" s="252"/>
    </row>
    <row r="222" spans="1:33" s="93" customFormat="1" ht="15.75" customHeight="1" x14ac:dyDescent="0.2">
      <c r="A222" s="239">
        <v>5381</v>
      </c>
      <c r="B222" s="248" t="s">
        <v>684</v>
      </c>
      <c r="C222" s="248" t="s">
        <v>723</v>
      </c>
      <c r="D222" s="256" t="s">
        <v>728</v>
      </c>
      <c r="E222" s="250" t="s">
        <v>34</v>
      </c>
      <c r="F222" s="250" t="s">
        <v>98</v>
      </c>
      <c r="G222" s="256" t="s">
        <v>730</v>
      </c>
      <c r="H222" s="250" t="s">
        <v>60</v>
      </c>
      <c r="I222" s="250">
        <v>2</v>
      </c>
      <c r="J222" s="250"/>
      <c r="K222" s="253" t="s">
        <v>71</v>
      </c>
      <c r="L222" s="250" t="s">
        <v>62</v>
      </c>
      <c r="M222" s="250" t="s">
        <v>63</v>
      </c>
      <c r="N222" s="249"/>
      <c r="O222" s="239"/>
      <c r="P222" s="239" t="s">
        <v>41</v>
      </c>
      <c r="Q222" s="248"/>
      <c r="R222" s="248"/>
      <c r="S222" s="248"/>
      <c r="T222" s="248"/>
      <c r="U222" s="248"/>
      <c r="V222" s="256"/>
      <c r="W222" s="103" t="s">
        <v>75</v>
      </c>
      <c r="X222" s="103" t="s">
        <v>76</v>
      </c>
      <c r="Y222" s="275" t="s">
        <v>69</v>
      </c>
      <c r="Z222" s="337" t="s">
        <v>45</v>
      </c>
      <c r="AA222" s="336" t="str">
        <f>_xlfn.XLOOKUP($A222,'2026 Approved Budget'!$B:$B,'2026 Approved Budget'!C:C)</f>
        <v>901 Executive G&amp;A</v>
      </c>
      <c r="AB222" s="336" t="s">
        <v>88</v>
      </c>
      <c r="AC222" s="336" t="str">
        <f>_xlfn.XLOOKUP($A222,'2026 Approved Budget'!$B:$B,'2026 Approved Budget'!D:D)</f>
        <v>TBD</v>
      </c>
      <c r="AD222" s="336" t="str">
        <f>_xlfn.XLOOKUP($A222,'2026 Approved Budget'!$B:$B,'2026 Approved Budget'!E:E)</f>
        <v>04. AD / Staff Scientist</v>
      </c>
      <c r="AE222" s="336" t="str">
        <f>_xlfn.XLOOKUP($A222,'2026 Approved Budget'!$B:$B,'2026 Approved Budget'!F:F)</f>
        <v>Placeholder</v>
      </c>
      <c r="AF222" s="338">
        <f>_xlfn.XLOOKUP($A222,'2026 Approved Budget'!$B:$B,'2026 Approved Budget'!H:H)</f>
        <v>46096</v>
      </c>
      <c r="AG222" s="252"/>
    </row>
    <row r="223" spans="1:33" s="27" customFormat="1" ht="45" customHeight="1" x14ac:dyDescent="0.2">
      <c r="A223" s="260">
        <v>5358</v>
      </c>
      <c r="B223" s="248" t="s">
        <v>684</v>
      </c>
      <c r="C223" s="248" t="s">
        <v>723</v>
      </c>
      <c r="D223" s="249" t="s">
        <v>728</v>
      </c>
      <c r="E223" s="250" t="s">
        <v>34</v>
      </c>
      <c r="F223" s="260" t="s">
        <v>197</v>
      </c>
      <c r="G223" s="261" t="s">
        <v>2118</v>
      </c>
      <c r="H223" s="251" t="s">
        <v>37</v>
      </c>
      <c r="I223" s="250">
        <v>5</v>
      </c>
      <c r="J223" s="250"/>
      <c r="K223" s="260" t="s">
        <v>71</v>
      </c>
      <c r="L223" s="239" t="s">
        <v>62</v>
      </c>
      <c r="M223" s="250" t="s">
        <v>63</v>
      </c>
      <c r="N223" s="265" t="s">
        <v>731</v>
      </c>
      <c r="O223" s="260"/>
      <c r="P223" s="250"/>
      <c r="Q223" s="261"/>
      <c r="R223" s="261"/>
      <c r="S223" s="261"/>
      <c r="T223" s="261"/>
      <c r="U223" s="261" t="s">
        <v>692</v>
      </c>
      <c r="V223" s="261"/>
      <c r="W223" s="332" t="s">
        <v>165</v>
      </c>
      <c r="X223" s="332" t="s">
        <v>103</v>
      </c>
      <c r="Y223" s="275" t="s">
        <v>703</v>
      </c>
      <c r="Z223" s="337" t="s">
        <v>45</v>
      </c>
      <c r="AA223" s="336" t="str">
        <f>_xlfn.XLOOKUP($A223,'2026 Approved Budget'!$B:$B,'2026 Approved Budget'!C:C)</f>
        <v>605 Marketing</v>
      </c>
      <c r="AB223" s="336" t="s">
        <v>88</v>
      </c>
      <c r="AC223" s="336" t="str">
        <f>_xlfn.XLOOKUP($A223,'2026 Approved Budget'!$B:$B,'2026 Approved Budget'!D:D)</f>
        <v>TBD</v>
      </c>
      <c r="AD223" s="336" t="str">
        <f>_xlfn.XLOOKUP($A223,'2026 Approved Budget'!$B:$B,'2026 Approved Budget'!E:E)</f>
        <v>06. Sr. Director</v>
      </c>
      <c r="AE223" s="336" t="str">
        <f>_xlfn.XLOOKUP($A223,'2026 Approved Budget'!$B:$B,'2026 Approved Budget'!F:F)</f>
        <v>Sr. Dir Digital Mktg (ALL FRANCHISES)</v>
      </c>
      <c r="AF223" s="338">
        <f>_xlfn.XLOOKUP($A223,'2026 Approved Budget'!$B:$B,'2026 Approved Budget'!H:H)</f>
        <v>46280</v>
      </c>
      <c r="AG223" s="254" t="s">
        <v>732</v>
      </c>
    </row>
    <row r="224" spans="1:33" s="27" customFormat="1" ht="30" customHeight="1" x14ac:dyDescent="0.2">
      <c r="A224" s="239">
        <v>1380</v>
      </c>
      <c r="B224" s="248" t="s">
        <v>684</v>
      </c>
      <c r="C224" s="248" t="s">
        <v>723</v>
      </c>
      <c r="D224" s="256" t="s">
        <v>728</v>
      </c>
      <c r="E224" s="250" t="s">
        <v>34</v>
      </c>
      <c r="F224" s="251" t="s">
        <v>48</v>
      </c>
      <c r="G224" s="256" t="s">
        <v>2116</v>
      </c>
      <c r="H224" s="251" t="s">
        <v>60</v>
      </c>
      <c r="I224" s="250">
        <v>6</v>
      </c>
      <c r="J224" s="250"/>
      <c r="K224" s="253" t="s">
        <v>71</v>
      </c>
      <c r="L224" s="239"/>
      <c r="M224" s="239"/>
      <c r="N224" s="249"/>
      <c r="O224" s="239"/>
      <c r="P224" s="239" t="s">
        <v>496</v>
      </c>
      <c r="Q224" s="261"/>
      <c r="R224" s="261"/>
      <c r="S224" s="249"/>
      <c r="T224" s="249"/>
      <c r="U224" s="249"/>
      <c r="V224" s="302" t="s">
        <v>729</v>
      </c>
      <c r="W224" s="332" t="s">
        <v>43</v>
      </c>
      <c r="X224" s="103" t="s">
        <v>76</v>
      </c>
      <c r="Y224" s="275" t="s">
        <v>69</v>
      </c>
      <c r="Z224" s="337" t="s">
        <v>45</v>
      </c>
      <c r="AA224" s="336" t="str">
        <f>_xlfn.XLOOKUP($A224,'2026 Approved Budget'!$B:$B,'2026 Approved Budget'!C:C)</f>
        <v>240 Portfolio Management</v>
      </c>
      <c r="AB224" s="332" t="s">
        <v>46</v>
      </c>
      <c r="AC224" s="336" t="str">
        <f>_xlfn.XLOOKUP($A224,'2026 Approved Budget'!$B:$B,'2026 Approved Budget'!D:D)</f>
        <v>TBD</v>
      </c>
      <c r="AD224" s="336" t="str">
        <f>_xlfn.XLOOKUP($A224,'2026 Approved Budget'!$B:$B,'2026 Approved Budget'!E:E)</f>
        <v>07. Exec. Director</v>
      </c>
      <c r="AE224" s="336" t="str">
        <f>_xlfn.XLOOKUP($A224,'2026 Approved Budget'!$B:$B,'2026 Approved Budget'!F:F)</f>
        <v>ED/VP of Program Management (Lead GPMS)</v>
      </c>
      <c r="AF224" s="338">
        <f>_xlfn.XLOOKUP($A224,'2026 Approved Budget'!$B:$B,'2026 Approved Budget'!H:H)</f>
        <v>46096</v>
      </c>
      <c r="AG224" s="254"/>
    </row>
    <row r="225" spans="1:33" s="27" customFormat="1" ht="15.75" hidden="1" customHeight="1" x14ac:dyDescent="0.2">
      <c r="A225" s="239">
        <v>1397</v>
      </c>
      <c r="B225" s="240" t="s">
        <v>684</v>
      </c>
      <c r="C225" s="240" t="s">
        <v>733</v>
      </c>
      <c r="D225" s="245" t="s">
        <v>685</v>
      </c>
      <c r="E225" s="241" t="s">
        <v>34</v>
      </c>
      <c r="F225" s="246" t="s">
        <v>105</v>
      </c>
      <c r="G225" s="242" t="s">
        <v>734</v>
      </c>
      <c r="H225" s="243" t="s">
        <v>37</v>
      </c>
      <c r="I225" s="241"/>
      <c r="J225" s="241"/>
      <c r="K225" s="241" t="s">
        <v>61</v>
      </c>
      <c r="L225" s="246" t="s">
        <v>39</v>
      </c>
      <c r="M225" s="246" t="s">
        <v>535</v>
      </c>
      <c r="N225" s="245" t="s">
        <v>735</v>
      </c>
      <c r="O225" s="246">
        <v>10348</v>
      </c>
      <c r="P225" s="246" t="s">
        <v>41</v>
      </c>
      <c r="Q225" s="240" t="s">
        <v>736</v>
      </c>
      <c r="R225" s="240" t="s">
        <v>737</v>
      </c>
      <c r="S225" s="245" t="s">
        <v>738</v>
      </c>
      <c r="T225" s="245" t="s">
        <v>709</v>
      </c>
      <c r="U225" s="245"/>
      <c r="V225" s="242"/>
      <c r="W225" s="332" t="s">
        <v>43</v>
      </c>
      <c r="X225" s="103" t="s">
        <v>43</v>
      </c>
      <c r="Y225" s="336" t="s">
        <v>44</v>
      </c>
      <c r="Z225" s="337" t="s">
        <v>45</v>
      </c>
      <c r="AA225" s="336" t="str">
        <f>_xlfn.XLOOKUP($A225,'2026 Approved Budget'!$B:$B,'2026 Approved Budget'!C:C)</f>
        <v>925 Business Development</v>
      </c>
      <c r="AB225" s="336" t="s">
        <v>46</v>
      </c>
      <c r="AC225" s="336" t="str">
        <f>_xlfn.XLOOKUP($A225,'2026 Approved Budget'!$B:$B,'2026 Approved Budget'!D:D)</f>
        <v>TBD</v>
      </c>
      <c r="AD225" s="336" t="str">
        <f>_xlfn.XLOOKUP($A225,'2026 Approved Budget'!$B:$B,'2026 Approved Budget'!E:E)</f>
        <v>08. VP</v>
      </c>
      <c r="AE225" s="336" t="str">
        <f>_xlfn.XLOOKUP($A225,'2026 Approved Budget'!$B:$B,'2026 Approved Budget'!F:F)</f>
        <v>VP Business Development</v>
      </c>
      <c r="AF225" s="338">
        <f>_xlfn.XLOOKUP($A225,'2026 Approved Budget'!$B:$B,'2026 Approved Budget'!H:H)</f>
        <v>46006</v>
      </c>
      <c r="AG225" s="254"/>
    </row>
    <row r="226" spans="1:33" s="27" customFormat="1" ht="15.75" hidden="1" customHeight="1" x14ac:dyDescent="0.2">
      <c r="A226" s="239">
        <v>1005</v>
      </c>
      <c r="B226" s="240" t="s">
        <v>684</v>
      </c>
      <c r="C226" s="240" t="s">
        <v>733</v>
      </c>
      <c r="D226" s="245" t="s">
        <v>739</v>
      </c>
      <c r="E226" s="241" t="s">
        <v>34</v>
      </c>
      <c r="F226" s="241" t="s">
        <v>58</v>
      </c>
      <c r="G226" s="242" t="s">
        <v>740</v>
      </c>
      <c r="H226" s="243" t="s">
        <v>37</v>
      </c>
      <c r="I226" s="241"/>
      <c r="J226" s="241"/>
      <c r="K226" s="244" t="s">
        <v>38</v>
      </c>
      <c r="L226" s="241" t="s">
        <v>39</v>
      </c>
      <c r="M226" s="241"/>
      <c r="N226" s="245" t="s">
        <v>741</v>
      </c>
      <c r="O226" s="246">
        <v>10029</v>
      </c>
      <c r="P226" s="241" t="s">
        <v>41</v>
      </c>
      <c r="Q226" s="240" t="s">
        <v>742</v>
      </c>
      <c r="R226" s="240"/>
      <c r="S226" s="245"/>
      <c r="T226" s="240"/>
      <c r="U226" s="245"/>
      <c r="V226" s="242"/>
      <c r="W226" s="332" t="s">
        <v>43</v>
      </c>
      <c r="X226" s="332" t="s">
        <v>43</v>
      </c>
      <c r="Y226" s="336" t="s">
        <v>44</v>
      </c>
      <c r="Z226" s="337" t="s">
        <v>45</v>
      </c>
      <c r="AA226" s="336" t="str">
        <f>_xlfn.XLOOKUP($A226,'2026 Approved Budget'!$B:$B,'2026 Approved Budget'!C:C)</f>
        <v>925 Business Development</v>
      </c>
      <c r="AB226" s="336" t="s">
        <v>46</v>
      </c>
      <c r="AC226" s="336" t="str">
        <f>_xlfn.XLOOKUP($A226,'2026 Approved Budget'!$B:$B,'2026 Approved Budget'!D:D)</f>
        <v>Matt Terwelp</v>
      </c>
      <c r="AD226" s="336" t="str">
        <f>_xlfn.XLOOKUP($A226,'2026 Approved Budget'!$B:$B,'2026 Approved Budget'!E:E)</f>
        <v>06. Sr. Director</v>
      </c>
      <c r="AE226" s="336" t="str">
        <f>_xlfn.XLOOKUP($A226,'2026 Approved Budget'!$B:$B,'2026 Approved Budget'!F:F)</f>
        <v>Senior Director, Corporate Strategy and Business Development</v>
      </c>
      <c r="AF226" s="338">
        <f>_xlfn.XLOOKUP($A226,'2026 Approved Budget'!$B:$B,'2026 Approved Budget'!H:H)</f>
        <v>45506</v>
      </c>
      <c r="AG226" s="252"/>
    </row>
    <row r="227" spans="1:33" s="27" customFormat="1" ht="30" customHeight="1" x14ac:dyDescent="0.2">
      <c r="A227" s="239">
        <v>5382</v>
      </c>
      <c r="B227" s="248" t="s">
        <v>684</v>
      </c>
      <c r="C227" s="248" t="s">
        <v>733</v>
      </c>
      <c r="D227" s="256" t="s">
        <v>739</v>
      </c>
      <c r="E227" s="250" t="s">
        <v>34</v>
      </c>
      <c r="F227" s="250" t="s">
        <v>48</v>
      </c>
      <c r="G227" s="256" t="s">
        <v>745</v>
      </c>
      <c r="H227" s="250" t="s">
        <v>60</v>
      </c>
      <c r="I227" s="250">
        <v>3</v>
      </c>
      <c r="J227" s="250"/>
      <c r="K227" s="253" t="s">
        <v>71</v>
      </c>
      <c r="L227" s="250"/>
      <c r="M227" s="239" t="s">
        <v>52</v>
      </c>
      <c r="N227" s="249" t="s">
        <v>746</v>
      </c>
      <c r="O227" s="239"/>
      <c r="P227" s="239" t="s">
        <v>41</v>
      </c>
      <c r="Q227" s="248"/>
      <c r="R227" s="248"/>
      <c r="S227" s="248"/>
      <c r="T227" s="248"/>
      <c r="U227" s="248"/>
      <c r="V227" s="256"/>
      <c r="W227" s="332" t="s">
        <v>75</v>
      </c>
      <c r="X227" s="103" t="s">
        <v>76</v>
      </c>
      <c r="Y227" s="275" t="s">
        <v>69</v>
      </c>
      <c r="Z227" s="337" t="s">
        <v>45</v>
      </c>
      <c r="AA227" s="336" t="str">
        <f>_xlfn.XLOOKUP($A227,'2026 Approved Budget'!$B:$B,'2026 Approved Budget'!C:C)</f>
        <v>901 Executive G&amp;A</v>
      </c>
      <c r="AB227" s="336" t="s">
        <v>88</v>
      </c>
      <c r="AC227" s="336" t="str">
        <f>_xlfn.XLOOKUP($A227,'2026 Approved Budget'!$B:$B,'2026 Approved Budget'!D:D)</f>
        <v>TBD</v>
      </c>
      <c r="AD227" s="336" t="str">
        <f>_xlfn.XLOOKUP($A227,'2026 Approved Budget'!$B:$B,'2026 Approved Budget'!E:E)</f>
        <v>05. Director</v>
      </c>
      <c r="AE227" s="336" t="str">
        <f>_xlfn.XLOOKUP($A227,'2026 Approved Budget'!$B:$B,'2026 Approved Budget'!F:F)</f>
        <v>Placeholder</v>
      </c>
      <c r="AF227" s="338">
        <f>_xlfn.XLOOKUP($A227,'2026 Approved Budget'!$B:$B,'2026 Approved Budget'!H:H)</f>
        <v>46096</v>
      </c>
      <c r="AG227" s="252"/>
    </row>
    <row r="228" spans="1:33" s="27" customFormat="1" ht="45" customHeight="1" x14ac:dyDescent="0.2">
      <c r="A228" s="239">
        <v>1261</v>
      </c>
      <c r="B228" s="278" t="s">
        <v>684</v>
      </c>
      <c r="C228" s="248" t="s">
        <v>733</v>
      </c>
      <c r="D228" s="248" t="s">
        <v>739</v>
      </c>
      <c r="E228" s="250" t="s">
        <v>34</v>
      </c>
      <c r="F228" s="239" t="s">
        <v>48</v>
      </c>
      <c r="G228" s="256" t="s">
        <v>743</v>
      </c>
      <c r="H228" s="251" t="s">
        <v>60</v>
      </c>
      <c r="I228" s="250">
        <v>4</v>
      </c>
      <c r="J228" s="250"/>
      <c r="K228" s="253" t="s">
        <v>71</v>
      </c>
      <c r="L228" s="239"/>
      <c r="M228" s="239" t="s">
        <v>52</v>
      </c>
      <c r="N228" s="248" t="s">
        <v>744</v>
      </c>
      <c r="O228" s="239"/>
      <c r="P228" s="239" t="s">
        <v>41</v>
      </c>
      <c r="Q228" s="261"/>
      <c r="R228" s="261"/>
      <c r="S228" s="249"/>
      <c r="T228" s="249"/>
      <c r="U228" s="261" t="s">
        <v>692</v>
      </c>
      <c r="V228" s="261"/>
      <c r="W228" s="332" t="s">
        <v>75</v>
      </c>
      <c r="X228" s="332" t="s">
        <v>103</v>
      </c>
      <c r="Y228" s="275" t="s">
        <v>69</v>
      </c>
      <c r="Z228" s="337" t="s">
        <v>45</v>
      </c>
      <c r="AA228" s="336" t="str">
        <f>_xlfn.XLOOKUP($A228,'2026 Approved Budget'!$B:$B,'2026 Approved Budget'!C:C)</f>
        <v>615 Commercial Analytics</v>
      </c>
      <c r="AB228" s="336" t="s">
        <v>46</v>
      </c>
      <c r="AC228" s="336" t="str">
        <f>_xlfn.XLOOKUP($A228,'2026 Approved Budget'!$B:$B,'2026 Approved Budget'!D:D)</f>
        <v>TBD</v>
      </c>
      <c r="AD228" s="336" t="str">
        <f>_xlfn.XLOOKUP($A228,'2026 Approved Budget'!$B:$B,'2026 Approved Budget'!E:E)</f>
        <v>03. Sr. Manager / Sr. Scientist</v>
      </c>
      <c r="AE228" s="336" t="str">
        <f>_xlfn.XLOOKUP($A228,'2026 Approved Budget'!$B:$B,'2026 Approved Budget'!F:F)</f>
        <v>Sr Manager, Market Research</v>
      </c>
      <c r="AF228" s="338">
        <f>_xlfn.XLOOKUP($A228,'2026 Approved Budget'!$B:$B,'2026 Approved Budget'!H:H)</f>
        <v>46280</v>
      </c>
      <c r="AG228" s="254"/>
    </row>
    <row r="229" spans="1:33" s="94" customFormat="1" ht="30" customHeight="1" x14ac:dyDescent="0.2">
      <c r="A229" s="239">
        <v>5383</v>
      </c>
      <c r="B229" s="248" t="s">
        <v>684</v>
      </c>
      <c r="C229" s="248" t="s">
        <v>733</v>
      </c>
      <c r="D229" s="256" t="s">
        <v>739</v>
      </c>
      <c r="E229" s="250" t="s">
        <v>34</v>
      </c>
      <c r="F229" s="250" t="s">
        <v>98</v>
      </c>
      <c r="G229" s="256" t="s">
        <v>747</v>
      </c>
      <c r="H229" s="250" t="s">
        <v>60</v>
      </c>
      <c r="I229" s="250">
        <v>8</v>
      </c>
      <c r="J229" s="250"/>
      <c r="K229" s="253" t="s">
        <v>71</v>
      </c>
      <c r="L229" s="250"/>
      <c r="M229" s="250" t="s">
        <v>52</v>
      </c>
      <c r="N229" s="249" t="s">
        <v>748</v>
      </c>
      <c r="O229" s="239"/>
      <c r="P229" s="239" t="s">
        <v>41</v>
      </c>
      <c r="Q229" s="248"/>
      <c r="R229" s="248"/>
      <c r="S229" s="248"/>
      <c r="T229" s="248"/>
      <c r="U229" s="248"/>
      <c r="V229" s="256"/>
      <c r="W229" s="332" t="s">
        <v>43</v>
      </c>
      <c r="X229" s="103" t="s">
        <v>76</v>
      </c>
      <c r="Y229" s="275" t="s">
        <v>69</v>
      </c>
      <c r="Z229" s="337" t="s">
        <v>45</v>
      </c>
      <c r="AA229" s="336" t="str">
        <f>_xlfn.XLOOKUP($A229,'2026 Approved Budget'!$B:$B,'2026 Approved Budget'!C:C)</f>
        <v>901 Executive G&amp;A</v>
      </c>
      <c r="AB229" s="336" t="s">
        <v>88</v>
      </c>
      <c r="AC229" s="336" t="str">
        <f>_xlfn.XLOOKUP($A229,'2026 Approved Budget'!$B:$B,'2026 Approved Budget'!D:D)</f>
        <v>TBD</v>
      </c>
      <c r="AD229" s="336" t="str">
        <f>_xlfn.XLOOKUP($A229,'2026 Approved Budget'!$B:$B,'2026 Approved Budget'!E:E)</f>
        <v>05. Director</v>
      </c>
      <c r="AE229" s="336" t="str">
        <f>_xlfn.XLOOKUP($A229,'2026 Approved Budget'!$B:$B,'2026 Approved Budget'!F:F)</f>
        <v>Placeholder</v>
      </c>
      <c r="AF229" s="338">
        <f>_xlfn.XLOOKUP($A229,'2026 Approved Budget'!$B:$B,'2026 Approved Budget'!H:H)</f>
        <v>46096</v>
      </c>
      <c r="AG229" s="252"/>
    </row>
    <row r="230" spans="1:33" s="27" customFormat="1" ht="30" hidden="1" customHeight="1" x14ac:dyDescent="0.2">
      <c r="A230" s="239">
        <v>1113</v>
      </c>
      <c r="B230" s="240" t="s">
        <v>749</v>
      </c>
      <c r="C230" s="240" t="s">
        <v>750</v>
      </c>
      <c r="D230" s="240" t="s">
        <v>33</v>
      </c>
      <c r="E230" s="241" t="s">
        <v>34</v>
      </c>
      <c r="F230" s="241" t="s">
        <v>35</v>
      </c>
      <c r="G230" s="242" t="s">
        <v>759</v>
      </c>
      <c r="H230" s="243" t="s">
        <v>37</v>
      </c>
      <c r="I230" s="241"/>
      <c r="J230" s="241"/>
      <c r="K230" s="244" t="s">
        <v>166</v>
      </c>
      <c r="L230" s="241" t="s">
        <v>39</v>
      </c>
      <c r="M230" s="241"/>
      <c r="N230" s="245" t="s">
        <v>760</v>
      </c>
      <c r="O230" s="246">
        <v>10007</v>
      </c>
      <c r="P230" s="241" t="s">
        <v>41</v>
      </c>
      <c r="Q230" s="240" t="s">
        <v>761</v>
      </c>
      <c r="R230" s="240"/>
      <c r="S230" s="245"/>
      <c r="T230" s="245"/>
      <c r="U230" s="240"/>
      <c r="V230" s="242"/>
      <c r="W230" s="332" t="s">
        <v>43</v>
      </c>
      <c r="X230" s="332" t="s">
        <v>43</v>
      </c>
      <c r="Y230" s="336" t="s">
        <v>44</v>
      </c>
      <c r="Z230" s="337" t="s">
        <v>45</v>
      </c>
      <c r="AA230" s="336" t="str">
        <f>_xlfn.XLOOKUP($A230,'2026 Approved Budget'!$B:$B,'2026 Approved Budget'!C:C)</f>
        <v>910 People &amp; Culture</v>
      </c>
      <c r="AB230" s="336" t="s">
        <v>46</v>
      </c>
      <c r="AC230" s="336" t="str">
        <f>_xlfn.XLOOKUP($A230,'2026 Approved Budget'!$B:$B,'2026 Approved Budget'!D:D)</f>
        <v>Liz Nguyen</v>
      </c>
      <c r="AD230" s="336" t="str">
        <f>_xlfn.XLOOKUP($A230,'2026 Approved Budget'!$B:$B,'2026 Approved Budget'!E:E)</f>
        <v>10. C-Suite</v>
      </c>
      <c r="AE230" s="336" t="str">
        <f>_xlfn.XLOOKUP($A230,'2026 Approved Budget'!$B:$B,'2026 Approved Budget'!F:F)</f>
        <v>Chief People Officer</v>
      </c>
      <c r="AF230" s="338">
        <f>_xlfn.XLOOKUP($A230,'2026 Approved Budget'!$B:$B,'2026 Approved Budget'!H:H)</f>
        <v>45413</v>
      </c>
      <c r="AG230" s="254"/>
    </row>
    <row r="231" spans="1:33" s="27" customFormat="1" ht="15.75" hidden="1" customHeight="1" x14ac:dyDescent="0.2">
      <c r="A231" s="239">
        <v>1363</v>
      </c>
      <c r="B231" s="240" t="s">
        <v>749</v>
      </c>
      <c r="C231" s="240" t="s">
        <v>750</v>
      </c>
      <c r="D231" s="240" t="s">
        <v>751</v>
      </c>
      <c r="E231" s="241" t="s">
        <v>34</v>
      </c>
      <c r="F231" s="246" t="s">
        <v>105</v>
      </c>
      <c r="G231" s="242" t="s">
        <v>769</v>
      </c>
      <c r="H231" s="241" t="s">
        <v>60</v>
      </c>
      <c r="I231" s="241"/>
      <c r="J231" s="241"/>
      <c r="K231" s="247" t="s">
        <v>130</v>
      </c>
      <c r="L231" s="241" t="s">
        <v>39</v>
      </c>
      <c r="M231" s="241"/>
      <c r="N231" s="240" t="s">
        <v>770</v>
      </c>
      <c r="O231" s="246">
        <v>10186</v>
      </c>
      <c r="P231" s="241" t="s">
        <v>41</v>
      </c>
      <c r="Q231" s="240" t="s">
        <v>496</v>
      </c>
      <c r="R231" s="240"/>
      <c r="S231" s="240"/>
      <c r="T231" s="240"/>
      <c r="U231" s="240"/>
      <c r="V231" s="242"/>
      <c r="W231" s="332" t="s">
        <v>43</v>
      </c>
      <c r="X231" s="332" t="s">
        <v>43</v>
      </c>
      <c r="Y231" s="336" t="s">
        <v>44</v>
      </c>
      <c r="Z231" s="337" t="s">
        <v>45</v>
      </c>
      <c r="AA231" s="336" t="str">
        <f>_xlfn.XLOOKUP($A231,'2026 Approved Budget'!$B:$B,'2026 Approved Budget'!C:C)</f>
        <v>910 People &amp; Culture</v>
      </c>
      <c r="AB231" s="336" t="s">
        <v>46</v>
      </c>
      <c r="AC231" s="336" t="str">
        <f>_xlfn.XLOOKUP($A231,'2026 Approved Budget'!$B:$B,'2026 Approved Budget'!D:D)</f>
        <v>Nicole Skaluba</v>
      </c>
      <c r="AD231" s="336" t="str">
        <f>_xlfn.XLOOKUP($A231,'2026 Approved Budget'!$B:$B,'2026 Approved Budget'!E:E)</f>
        <v>08. VP</v>
      </c>
      <c r="AE231" s="336" t="str">
        <f>_xlfn.XLOOKUP($A231,'2026 Approved Budget'!$B:$B,'2026 Approved Budget'!F:F)</f>
        <v>Vice President, Talent &amp; Culture</v>
      </c>
      <c r="AF231" s="338">
        <f>_xlfn.XLOOKUP($A231,'2026 Approved Budget'!$B:$B,'2026 Approved Budget'!H:H)</f>
        <v>45719</v>
      </c>
      <c r="AG231" s="254"/>
    </row>
    <row r="232" spans="1:33" s="27" customFormat="1" ht="30" hidden="1" customHeight="1" x14ac:dyDescent="0.2">
      <c r="A232" s="239">
        <v>1379</v>
      </c>
      <c r="B232" s="240" t="s">
        <v>749</v>
      </c>
      <c r="C232" s="240" t="s">
        <v>750</v>
      </c>
      <c r="D232" s="245" t="s">
        <v>751</v>
      </c>
      <c r="E232" s="241" t="s">
        <v>34</v>
      </c>
      <c r="F232" s="243" t="s">
        <v>48</v>
      </c>
      <c r="G232" s="242" t="s">
        <v>780</v>
      </c>
      <c r="H232" s="243" t="s">
        <v>37</v>
      </c>
      <c r="I232" s="241"/>
      <c r="J232" s="241"/>
      <c r="K232" s="247" t="s">
        <v>124</v>
      </c>
      <c r="L232" s="246" t="s">
        <v>39</v>
      </c>
      <c r="M232" s="246"/>
      <c r="N232" s="245" t="s">
        <v>781</v>
      </c>
      <c r="O232" s="246">
        <v>10303</v>
      </c>
      <c r="P232" s="241" t="s">
        <v>41</v>
      </c>
      <c r="Q232" s="240"/>
      <c r="R232" s="240"/>
      <c r="S232" s="245"/>
      <c r="T232" s="245"/>
      <c r="U232" s="240"/>
      <c r="V232" s="242"/>
      <c r="W232" s="332" t="s">
        <v>43</v>
      </c>
      <c r="X232" s="332" t="s">
        <v>43</v>
      </c>
      <c r="Y232" s="336" t="s">
        <v>44</v>
      </c>
      <c r="Z232" s="337" t="s">
        <v>45</v>
      </c>
      <c r="AA232" s="336" t="str">
        <f>_xlfn.XLOOKUP($A232,'2026 Approved Budget'!$B:$B,'2026 Approved Budget'!C:C)</f>
        <v>910 People &amp; Culture</v>
      </c>
      <c r="AB232" s="336" t="s">
        <v>46</v>
      </c>
      <c r="AC232" s="336" t="str">
        <f>_xlfn.XLOOKUP($A232,'2026 Approved Budget'!$B:$B,'2026 Approved Budget'!D:D)</f>
        <v>Eric Turzak</v>
      </c>
      <c r="AD232" s="336" t="str">
        <f>_xlfn.XLOOKUP($A232,'2026 Approved Budget'!$B:$B,'2026 Approved Budget'!E:E)</f>
        <v>07. Exec. Director</v>
      </c>
      <c r="AE232" s="336" t="str">
        <f>_xlfn.XLOOKUP($A232,'2026 Approved Budget'!$B:$B,'2026 Approved Budget'!F:F)</f>
        <v>Head of Total Rewards &amp; Analytics</v>
      </c>
      <c r="AF232" s="338">
        <f>_xlfn.XLOOKUP($A232,'2026 Approved Budget'!$B:$B,'2026 Approved Budget'!H:H)</f>
        <v>45978</v>
      </c>
      <c r="AG232" s="254"/>
    </row>
    <row r="233" spans="1:33" s="27" customFormat="1" ht="15.75" hidden="1" customHeight="1" x14ac:dyDescent="0.2">
      <c r="A233" s="239">
        <v>5214</v>
      </c>
      <c r="B233" s="240" t="s">
        <v>749</v>
      </c>
      <c r="C233" s="240" t="s">
        <v>750</v>
      </c>
      <c r="D233" s="240" t="s">
        <v>751</v>
      </c>
      <c r="E233" s="241" t="s">
        <v>34</v>
      </c>
      <c r="F233" s="243" t="s">
        <v>48</v>
      </c>
      <c r="G233" s="240" t="s">
        <v>785</v>
      </c>
      <c r="H233" s="243" t="s">
        <v>37</v>
      </c>
      <c r="I233" s="241"/>
      <c r="J233" s="241"/>
      <c r="K233" s="247" t="s">
        <v>61</v>
      </c>
      <c r="L233" s="241" t="s">
        <v>39</v>
      </c>
      <c r="M233" s="241" t="s">
        <v>535</v>
      </c>
      <c r="N233" s="240" t="s">
        <v>786</v>
      </c>
      <c r="O233" s="246">
        <v>10343</v>
      </c>
      <c r="P233" s="246" t="s">
        <v>41</v>
      </c>
      <c r="Q233" s="240" t="s">
        <v>787</v>
      </c>
      <c r="R233" s="240"/>
      <c r="S233" s="240"/>
      <c r="T233" s="240"/>
      <c r="U233" s="240"/>
      <c r="V233" s="240"/>
      <c r="W233" s="332" t="s">
        <v>43</v>
      </c>
      <c r="X233" s="332" t="s">
        <v>43</v>
      </c>
      <c r="Y233" s="336" t="s">
        <v>44</v>
      </c>
      <c r="Z233" s="337" t="s">
        <v>45</v>
      </c>
      <c r="AA233" s="336" t="str">
        <f>_xlfn.XLOOKUP($A233,'2026 Approved Budget'!$B:$B,'2026 Approved Budget'!C:C)</f>
        <v>910 People &amp; Culture</v>
      </c>
      <c r="AB233" s="336" t="s">
        <v>46</v>
      </c>
      <c r="AC233" s="336" t="str">
        <f>_xlfn.XLOOKUP($A233,'2026 Approved Budget'!$B:$B,'2026 Approved Budget'!D:D)</f>
        <v>Candidate: Jonathan Becker</v>
      </c>
      <c r="AD233" s="336" t="str">
        <f>_xlfn.XLOOKUP($A233,'2026 Approved Budget'!$B:$B,'2026 Approved Budget'!E:E)</f>
        <v>07. Exec. Director</v>
      </c>
      <c r="AE233" s="336" t="str">
        <f>_xlfn.XLOOKUP($A233,'2026 Approved Budget'!$B:$B,'2026 Approved Budget'!F:F)</f>
        <v>Head of OD/Learning</v>
      </c>
      <c r="AF233" s="338">
        <f>_xlfn.XLOOKUP($A233,'2026 Approved Budget'!$B:$B,'2026 Approved Budget'!H:H)</f>
        <v>46096</v>
      </c>
      <c r="AG233" s="254"/>
    </row>
    <row r="234" spans="1:33" s="27" customFormat="1" ht="15.75" hidden="1" customHeight="1" x14ac:dyDescent="0.2">
      <c r="A234" s="239">
        <v>5211</v>
      </c>
      <c r="B234" s="240" t="s">
        <v>749</v>
      </c>
      <c r="C234" s="240" t="s">
        <v>750</v>
      </c>
      <c r="D234" s="240" t="s">
        <v>751</v>
      </c>
      <c r="E234" s="241" t="s">
        <v>34</v>
      </c>
      <c r="F234" s="243" t="s">
        <v>48</v>
      </c>
      <c r="G234" s="240" t="s">
        <v>788</v>
      </c>
      <c r="H234" s="243" t="s">
        <v>37</v>
      </c>
      <c r="I234" s="241"/>
      <c r="J234" s="241"/>
      <c r="K234" s="241" t="s">
        <v>61</v>
      </c>
      <c r="L234" s="241" t="s">
        <v>39</v>
      </c>
      <c r="M234" s="241"/>
      <c r="N234" s="240" t="s">
        <v>789</v>
      </c>
      <c r="O234" s="246">
        <v>10346</v>
      </c>
      <c r="P234" s="246" t="s">
        <v>41</v>
      </c>
      <c r="Q234" s="240" t="s">
        <v>790</v>
      </c>
      <c r="R234" s="240"/>
      <c r="S234" s="240"/>
      <c r="T234" s="240"/>
      <c r="U234" s="240"/>
      <c r="V234" s="240"/>
      <c r="W234" s="332" t="s">
        <v>43</v>
      </c>
      <c r="X234" s="332" t="s">
        <v>103</v>
      </c>
      <c r="Y234" s="336" t="s">
        <v>44</v>
      </c>
      <c r="Z234" s="337" t="s">
        <v>45</v>
      </c>
      <c r="AA234" s="336" t="str">
        <f>_xlfn.XLOOKUP($A234,'2026 Approved Budget'!$B:$B,'2026 Approved Budget'!C:C)</f>
        <v>910 People &amp; Culture</v>
      </c>
      <c r="AB234" s="336" t="s">
        <v>46</v>
      </c>
      <c r="AC234" s="336" t="str">
        <f>_xlfn.XLOOKUP($A234,'2026 Approved Budget'!$B:$B,'2026 Approved Budget'!D:D)</f>
        <v>TBD</v>
      </c>
      <c r="AD234" s="336" t="str">
        <f>_xlfn.XLOOKUP($A234,'2026 Approved Budget'!$B:$B,'2026 Approved Budget'!E:E)</f>
        <v>07. Exec. Director</v>
      </c>
      <c r="AE234" s="336" t="str">
        <f>_xlfn.XLOOKUP($A234,'2026 Approved Budget'!$B:$B,'2026 Approved Budget'!F:F)</f>
        <v>Head of Talent Acquisition</v>
      </c>
      <c r="AF234" s="338">
        <f>_xlfn.XLOOKUP($A234,'2026 Approved Budget'!$B:$B,'2026 Approved Budget'!H:H)</f>
        <v>46188</v>
      </c>
      <c r="AG234" s="252"/>
    </row>
    <row r="235" spans="1:33" s="27" customFormat="1" ht="30" hidden="1" customHeight="1" x14ac:dyDescent="0.2">
      <c r="A235" s="239">
        <v>1112</v>
      </c>
      <c r="B235" s="240" t="s">
        <v>749</v>
      </c>
      <c r="C235" s="240" t="s">
        <v>750</v>
      </c>
      <c r="D235" s="240" t="s">
        <v>751</v>
      </c>
      <c r="E235" s="241" t="s">
        <v>34</v>
      </c>
      <c r="F235" s="241" t="s">
        <v>58</v>
      </c>
      <c r="G235" s="242" t="s">
        <v>752</v>
      </c>
      <c r="H235" s="243" t="s">
        <v>37</v>
      </c>
      <c r="I235" s="241"/>
      <c r="J235" s="241"/>
      <c r="K235" s="244" t="s">
        <v>91</v>
      </c>
      <c r="L235" s="241" t="s">
        <v>39</v>
      </c>
      <c r="M235" s="241"/>
      <c r="N235" s="245" t="s">
        <v>753</v>
      </c>
      <c r="O235" s="246">
        <v>10006</v>
      </c>
      <c r="P235" s="241" t="s">
        <v>41</v>
      </c>
      <c r="Q235" s="240" t="s">
        <v>754</v>
      </c>
      <c r="R235" s="240"/>
      <c r="S235" s="245"/>
      <c r="T235" s="240"/>
      <c r="U235" s="240"/>
      <c r="V235" s="242"/>
      <c r="W235" s="332" t="s">
        <v>43</v>
      </c>
      <c r="X235" s="332" t="s">
        <v>43</v>
      </c>
      <c r="Y235" s="336" t="s">
        <v>44</v>
      </c>
      <c r="Z235" s="337" t="s">
        <v>45</v>
      </c>
      <c r="AA235" s="336" t="str">
        <f>_xlfn.XLOOKUP($A235,'2026 Approved Budget'!$B:$B,'2026 Approved Budget'!C:C)</f>
        <v>910 People &amp; Culture</v>
      </c>
      <c r="AB235" s="336" t="s">
        <v>46</v>
      </c>
      <c r="AC235" s="336" t="str">
        <f>_xlfn.XLOOKUP($A235,'2026 Approved Budget'!$B:$B,'2026 Approved Budget'!D:D)</f>
        <v>Phillip Wright</v>
      </c>
      <c r="AD235" s="336" t="str">
        <f>_xlfn.XLOOKUP($A235,'2026 Approved Budget'!$B:$B,'2026 Approved Budget'!E:E)</f>
        <v>06. Sr. Director</v>
      </c>
      <c r="AE235" s="336" t="str">
        <f>_xlfn.XLOOKUP($A235,'2026 Approved Budget'!$B:$B,'2026 Approved Budget'!F:F)</f>
        <v>Senior Director, People &amp; Culture</v>
      </c>
      <c r="AF235" s="338">
        <f>_xlfn.XLOOKUP($A235,'2026 Approved Budget'!$B:$B,'2026 Approved Budget'!H:H)</f>
        <v>45369</v>
      </c>
      <c r="AG235" s="261"/>
    </row>
    <row r="236" spans="1:33" s="27" customFormat="1" ht="15.75" hidden="1" customHeight="1" x14ac:dyDescent="0.2">
      <c r="A236" s="239">
        <v>1364</v>
      </c>
      <c r="B236" s="240" t="s">
        <v>749</v>
      </c>
      <c r="C236" s="240" t="s">
        <v>750</v>
      </c>
      <c r="D236" s="240" t="s">
        <v>771</v>
      </c>
      <c r="E236" s="241" t="s">
        <v>34</v>
      </c>
      <c r="F236" s="241" t="s">
        <v>98</v>
      </c>
      <c r="G236" s="242" t="s">
        <v>772</v>
      </c>
      <c r="H236" s="241" t="s">
        <v>60</v>
      </c>
      <c r="I236" s="241"/>
      <c r="J236" s="241"/>
      <c r="K236" s="247" t="s">
        <v>130</v>
      </c>
      <c r="L236" s="241" t="s">
        <v>39</v>
      </c>
      <c r="M236" s="241"/>
      <c r="N236" s="240" t="s">
        <v>773</v>
      </c>
      <c r="O236" s="246">
        <v>10201</v>
      </c>
      <c r="P236" s="241" t="s">
        <v>41</v>
      </c>
      <c r="Q236" s="240" t="s">
        <v>496</v>
      </c>
      <c r="R236" s="240"/>
      <c r="S236" s="240"/>
      <c r="T236" s="240"/>
      <c r="U236" s="240"/>
      <c r="V236" s="242"/>
      <c r="W236" s="332" t="s">
        <v>43</v>
      </c>
      <c r="X236" s="332" t="s">
        <v>43</v>
      </c>
      <c r="Y236" s="336" t="s">
        <v>44</v>
      </c>
      <c r="Z236" s="337" t="s">
        <v>45</v>
      </c>
      <c r="AA236" s="336" t="str">
        <f>_xlfn.XLOOKUP($A236,'2026 Approved Budget'!$B:$B,'2026 Approved Budget'!C:C)</f>
        <v>910 People &amp; Culture</v>
      </c>
      <c r="AB236" s="336" t="s">
        <v>46</v>
      </c>
      <c r="AC236" s="336" t="str">
        <f>_xlfn.XLOOKUP($A236,'2026 Approved Budget'!$B:$B,'2026 Approved Budget'!D:D)</f>
        <v>Steven Cha</v>
      </c>
      <c r="AD236" s="336" t="str">
        <f>_xlfn.XLOOKUP($A236,'2026 Approved Budget'!$B:$B,'2026 Approved Budget'!E:E)</f>
        <v>05. Director</v>
      </c>
      <c r="AE236" s="336" t="str">
        <f>_xlfn.XLOOKUP($A236,'2026 Approved Budget'!$B:$B,'2026 Approved Budget'!F:F)</f>
        <v>Director, Talent Acquisition</v>
      </c>
      <c r="AF236" s="338">
        <f>_xlfn.XLOOKUP($A236,'2026 Approved Budget'!$B:$B,'2026 Approved Budget'!H:H)</f>
        <v>45719</v>
      </c>
      <c r="AG236" s="261"/>
    </row>
    <row r="237" spans="1:33" s="27" customFormat="1" ht="15.75" hidden="1" customHeight="1" x14ac:dyDescent="0.2">
      <c r="A237" s="239">
        <v>1111</v>
      </c>
      <c r="B237" s="240" t="s">
        <v>749</v>
      </c>
      <c r="C237" s="240" t="s">
        <v>750</v>
      </c>
      <c r="D237" s="242" t="s">
        <v>755</v>
      </c>
      <c r="E237" s="241" t="s">
        <v>34</v>
      </c>
      <c r="F237" s="243" t="s">
        <v>117</v>
      </c>
      <c r="G237" s="242" t="s">
        <v>756</v>
      </c>
      <c r="H237" s="243" t="s">
        <v>37</v>
      </c>
      <c r="I237" s="241"/>
      <c r="J237" s="241"/>
      <c r="K237" s="244" t="s">
        <v>91</v>
      </c>
      <c r="L237" s="241" t="s">
        <v>39</v>
      </c>
      <c r="M237" s="241"/>
      <c r="N237" s="245" t="s">
        <v>757</v>
      </c>
      <c r="O237" s="246">
        <v>10005</v>
      </c>
      <c r="P237" s="241" t="s">
        <v>41</v>
      </c>
      <c r="Q237" s="240" t="s">
        <v>758</v>
      </c>
      <c r="R237" s="240"/>
      <c r="S237" s="245"/>
      <c r="T237" s="245"/>
      <c r="U237" s="240"/>
      <c r="V237" s="242"/>
      <c r="W237" s="103" t="s">
        <v>75</v>
      </c>
      <c r="X237" s="332" t="s">
        <v>43</v>
      </c>
      <c r="Y237" s="336" t="s">
        <v>44</v>
      </c>
      <c r="Z237" s="337" t="s">
        <v>45</v>
      </c>
      <c r="AA237" s="336" t="str">
        <f>_xlfn.XLOOKUP($A237,'2026 Approved Budget'!$B:$B,'2026 Approved Budget'!C:C)</f>
        <v>910 People &amp; Culture</v>
      </c>
      <c r="AB237" s="336" t="s">
        <v>46</v>
      </c>
      <c r="AC237" s="336" t="str">
        <f>_xlfn.XLOOKUP($A237,'2026 Approved Budget'!$B:$B,'2026 Approved Budget'!D:D)</f>
        <v>Ophelia Ng</v>
      </c>
      <c r="AD237" s="336" t="str">
        <f>_xlfn.XLOOKUP($A237,'2026 Approved Budget'!$B:$B,'2026 Approved Budget'!E:E)</f>
        <v>02. Manager / Scientist</v>
      </c>
      <c r="AE237" s="336" t="str">
        <f>_xlfn.XLOOKUP($A237,'2026 Approved Budget'!$B:$B,'2026 Approved Budget'!F:F)</f>
        <v>Manager, People &amp; Culture Operations</v>
      </c>
      <c r="AF237" s="338">
        <f>_xlfn.XLOOKUP($A237,'2026 Approved Budget'!$B:$B,'2026 Approved Budget'!H:H)</f>
        <v>45363</v>
      </c>
      <c r="AG237" s="254"/>
    </row>
    <row r="238" spans="1:33" s="27" customFormat="1" ht="15.75" hidden="1" customHeight="1" x14ac:dyDescent="0.2">
      <c r="A238" s="239">
        <v>1290</v>
      </c>
      <c r="B238" s="240" t="s">
        <v>749</v>
      </c>
      <c r="C238" s="240" t="s">
        <v>750</v>
      </c>
      <c r="D238" s="240" t="s">
        <v>751</v>
      </c>
      <c r="E238" s="241" t="s">
        <v>34</v>
      </c>
      <c r="F238" s="243" t="s">
        <v>117</v>
      </c>
      <c r="G238" s="242" t="s">
        <v>764</v>
      </c>
      <c r="H238" s="243" t="s">
        <v>37</v>
      </c>
      <c r="I238" s="241"/>
      <c r="J238" s="241"/>
      <c r="K238" s="247" t="s">
        <v>107</v>
      </c>
      <c r="L238" s="241" t="s">
        <v>39</v>
      </c>
      <c r="M238" s="241"/>
      <c r="N238" s="240" t="s">
        <v>765</v>
      </c>
      <c r="O238" s="246">
        <v>10093</v>
      </c>
      <c r="P238" s="241" t="s">
        <v>41</v>
      </c>
      <c r="Q238" s="240" t="s">
        <v>761</v>
      </c>
      <c r="R238" s="240"/>
      <c r="S238" s="240"/>
      <c r="T238" s="240"/>
      <c r="U238" s="240"/>
      <c r="V238" s="242"/>
      <c r="W238" s="332" t="s">
        <v>43</v>
      </c>
      <c r="X238" s="332" t="s">
        <v>43</v>
      </c>
      <c r="Y238" s="336" t="s">
        <v>44</v>
      </c>
      <c r="Z238" s="337" t="s">
        <v>45</v>
      </c>
      <c r="AA238" s="336" t="str">
        <f>_xlfn.XLOOKUP($A238,'2026 Approved Budget'!$B:$B,'2026 Approved Budget'!C:C)</f>
        <v>910 People &amp; Culture</v>
      </c>
      <c r="AB238" s="336" t="s">
        <v>46</v>
      </c>
      <c r="AC238" s="336" t="str">
        <f>_xlfn.XLOOKUP($A238,'2026 Approved Budget'!$B:$B,'2026 Approved Budget'!D:D)</f>
        <v>Angelina Dwyer</v>
      </c>
      <c r="AD238" s="336" t="str">
        <f>_xlfn.XLOOKUP($A238,'2026 Approved Budget'!$B:$B,'2026 Approved Budget'!E:E)</f>
        <v>03. Sr. Manager / Sr. Scientist</v>
      </c>
      <c r="AE238" s="336" t="str">
        <f>_xlfn.XLOOKUP($A238,'2026 Approved Budget'!$B:$B,'2026 Approved Budget'!F:F)</f>
        <v>Sr Mgr P&amp;C Business Partner</v>
      </c>
      <c r="AF238" s="338">
        <f>_xlfn.XLOOKUP($A238,'2026 Approved Budget'!$B:$B,'2026 Approved Budget'!H:H)</f>
        <v>45600</v>
      </c>
      <c r="AG238" s="261"/>
    </row>
    <row r="239" spans="1:33" s="27" customFormat="1" ht="15.75" hidden="1" customHeight="1" x14ac:dyDescent="0.2">
      <c r="A239" s="239">
        <v>1365</v>
      </c>
      <c r="B239" s="240" t="s">
        <v>749</v>
      </c>
      <c r="C239" s="240" t="s">
        <v>750</v>
      </c>
      <c r="D239" s="240" t="s">
        <v>774</v>
      </c>
      <c r="E239" s="241" t="s">
        <v>34</v>
      </c>
      <c r="F239" s="246" t="s">
        <v>117</v>
      </c>
      <c r="G239" s="242" t="s">
        <v>775</v>
      </c>
      <c r="H239" s="241" t="s">
        <v>60</v>
      </c>
      <c r="I239" s="241"/>
      <c r="J239" s="241"/>
      <c r="K239" s="247" t="s">
        <v>130</v>
      </c>
      <c r="L239" s="241" t="s">
        <v>39</v>
      </c>
      <c r="M239" s="241"/>
      <c r="N239" s="240" t="s">
        <v>776</v>
      </c>
      <c r="O239" s="246">
        <v>10198</v>
      </c>
      <c r="P239" s="241" t="s">
        <v>41</v>
      </c>
      <c r="Q239" s="240" t="s">
        <v>496</v>
      </c>
      <c r="R239" s="240"/>
      <c r="S239" s="240"/>
      <c r="T239" s="240"/>
      <c r="U239" s="240"/>
      <c r="V239" s="242"/>
      <c r="W239" s="332" t="s">
        <v>43</v>
      </c>
      <c r="X239" s="332" t="s">
        <v>43</v>
      </c>
      <c r="Y239" s="336" t="s">
        <v>44</v>
      </c>
      <c r="Z239" s="337" t="s">
        <v>45</v>
      </c>
      <c r="AA239" s="336" t="str">
        <f>_xlfn.XLOOKUP($A239,'2026 Approved Budget'!$B:$B,'2026 Approved Budget'!C:C)</f>
        <v>910 People &amp; Culture</v>
      </c>
      <c r="AB239" s="336" t="s">
        <v>46</v>
      </c>
      <c r="AC239" s="336" t="str">
        <f>_xlfn.XLOOKUP($A239,'2026 Approved Budget'!$B:$B,'2026 Approved Budget'!D:D)</f>
        <v>Kristin Fanning</v>
      </c>
      <c r="AD239" s="336" t="str">
        <f>_xlfn.XLOOKUP($A239,'2026 Approved Budget'!$B:$B,'2026 Approved Budget'!E:E)</f>
        <v>03. Sr. Manager / Sr. Scientist</v>
      </c>
      <c r="AE239" s="336" t="str">
        <f>_xlfn.XLOOKUP($A239,'2026 Approved Budget'!$B:$B,'2026 Approved Budget'!F:F)</f>
        <v>Senior P&amp;C Generalist</v>
      </c>
      <c r="AF239" s="338">
        <f>_xlfn.XLOOKUP($A239,'2026 Approved Budget'!$B:$B,'2026 Approved Budget'!H:H)</f>
        <v>45719</v>
      </c>
      <c r="AG239" s="261"/>
    </row>
    <row r="240" spans="1:33" s="27" customFormat="1" ht="15.75" hidden="1" customHeight="1" x14ac:dyDescent="0.2">
      <c r="A240" s="239">
        <v>1110</v>
      </c>
      <c r="B240" s="240" t="s">
        <v>749</v>
      </c>
      <c r="C240" s="240" t="s">
        <v>750</v>
      </c>
      <c r="D240" s="240" t="s">
        <v>771</v>
      </c>
      <c r="E240" s="241" t="s">
        <v>34</v>
      </c>
      <c r="F240" s="243" t="s">
        <v>117</v>
      </c>
      <c r="G240" s="242" t="s">
        <v>777</v>
      </c>
      <c r="H240" s="243" t="s">
        <v>37</v>
      </c>
      <c r="I240" s="241"/>
      <c r="J240" s="241"/>
      <c r="K240" s="247" t="s">
        <v>130</v>
      </c>
      <c r="L240" s="241" t="s">
        <v>39</v>
      </c>
      <c r="M240" s="241"/>
      <c r="N240" s="245" t="s">
        <v>778</v>
      </c>
      <c r="O240" s="246">
        <v>10082</v>
      </c>
      <c r="P240" s="241" t="s">
        <v>41</v>
      </c>
      <c r="Q240" s="240" t="s">
        <v>779</v>
      </c>
      <c r="R240" s="240"/>
      <c r="S240" s="245"/>
      <c r="T240" s="245"/>
      <c r="U240" s="240"/>
      <c r="V240" s="242"/>
      <c r="W240" s="332" t="s">
        <v>43</v>
      </c>
      <c r="X240" s="332" t="s">
        <v>43</v>
      </c>
      <c r="Y240" s="336" t="s">
        <v>44</v>
      </c>
      <c r="Z240" s="337" t="s">
        <v>45</v>
      </c>
      <c r="AA240" s="336" t="str">
        <f>_xlfn.XLOOKUP($A240,'2026 Approved Budget'!$B:$B,'2026 Approved Budget'!C:C)</f>
        <v>910 People &amp; Culture</v>
      </c>
      <c r="AB240" s="336" t="s">
        <v>46</v>
      </c>
      <c r="AC240" s="336" t="str">
        <f>_xlfn.XLOOKUP($A240,'2026 Approved Budget'!$B:$B,'2026 Approved Budget'!D:D)</f>
        <v>Yen Lin</v>
      </c>
      <c r="AD240" s="336" t="str">
        <f>_xlfn.XLOOKUP($A240,'2026 Approved Budget'!$B:$B,'2026 Approved Budget'!E:E)</f>
        <v>03. Sr. Manager / Sr. Scientist</v>
      </c>
      <c r="AE240" s="336" t="str">
        <f>_xlfn.XLOOKUP($A240,'2026 Approved Budget'!$B:$B,'2026 Approved Budget'!F:F)</f>
        <v>Sr. Talent Acquisition Partner</v>
      </c>
      <c r="AF240" s="338">
        <f>_xlfn.XLOOKUP($A240,'2026 Approved Budget'!$B:$B,'2026 Approved Budget'!H:H)</f>
        <v>45719</v>
      </c>
      <c r="AG240" s="261"/>
    </row>
    <row r="241" spans="1:33" s="27" customFormat="1" ht="30" hidden="1" customHeight="1" x14ac:dyDescent="0.2">
      <c r="A241" s="239">
        <v>1067</v>
      </c>
      <c r="B241" s="240" t="s">
        <v>749</v>
      </c>
      <c r="C241" s="240" t="s">
        <v>750</v>
      </c>
      <c r="D241" s="240" t="s">
        <v>751</v>
      </c>
      <c r="E241" s="241" t="s">
        <v>34</v>
      </c>
      <c r="F241" s="243" t="s">
        <v>81</v>
      </c>
      <c r="G241" s="242" t="s">
        <v>82</v>
      </c>
      <c r="H241" s="243" t="s">
        <v>37</v>
      </c>
      <c r="I241" s="241"/>
      <c r="J241" s="241"/>
      <c r="K241" s="244" t="s">
        <v>38</v>
      </c>
      <c r="L241" s="241" t="s">
        <v>39</v>
      </c>
      <c r="M241" s="241"/>
      <c r="N241" s="245" t="s">
        <v>762</v>
      </c>
      <c r="O241" s="246">
        <v>10071</v>
      </c>
      <c r="P241" s="241" t="s">
        <v>41</v>
      </c>
      <c r="Q241" s="240" t="s">
        <v>763</v>
      </c>
      <c r="R241" s="240"/>
      <c r="S241" s="245"/>
      <c r="T241" s="245"/>
      <c r="U241" s="240"/>
      <c r="V241" s="242"/>
      <c r="W241" s="332" t="s">
        <v>43</v>
      </c>
      <c r="X241" s="332" t="s">
        <v>43</v>
      </c>
      <c r="Y241" s="336" t="s">
        <v>44</v>
      </c>
      <c r="Z241" s="337" t="s">
        <v>45</v>
      </c>
      <c r="AA241" s="336" t="str">
        <f>_xlfn.XLOOKUP($A241,'2026 Approved Budget'!$B:$B,'2026 Approved Budget'!C:C)</f>
        <v>910 People &amp; Culture</v>
      </c>
      <c r="AB241" s="336" t="s">
        <v>46</v>
      </c>
      <c r="AC241" s="336" t="str">
        <f>_xlfn.XLOOKUP($A241,'2026 Approved Budget'!$B:$B,'2026 Approved Budget'!D:D)</f>
        <v>Terry O'Donnell</v>
      </c>
      <c r="AD241" s="336" t="str">
        <f>_xlfn.XLOOKUP($A241,'2026 Approved Budget'!$B:$B,'2026 Approved Budget'!E:E)</f>
        <v>01. IC / Coordinator</v>
      </c>
      <c r="AE241" s="336" t="str">
        <f>_xlfn.XLOOKUP($A241,'2026 Approved Budget'!$B:$B,'2026 Approved Budget'!F:F)</f>
        <v>Executive Assistant</v>
      </c>
      <c r="AF241" s="338">
        <f>_xlfn.XLOOKUP($A241,'2026 Approved Budget'!$B:$B,'2026 Approved Budget'!H:H)</f>
        <v>45565</v>
      </c>
      <c r="AG241" s="254"/>
    </row>
    <row r="242" spans="1:33" ht="16" hidden="1" x14ac:dyDescent="0.2">
      <c r="A242" s="239">
        <v>1289</v>
      </c>
      <c r="B242" s="240" t="s">
        <v>749</v>
      </c>
      <c r="C242" s="240" t="s">
        <v>750</v>
      </c>
      <c r="D242" s="240" t="s">
        <v>766</v>
      </c>
      <c r="E242" s="241" t="s">
        <v>34</v>
      </c>
      <c r="F242" s="243" t="s">
        <v>81</v>
      </c>
      <c r="G242" s="242" t="s">
        <v>767</v>
      </c>
      <c r="H242" s="243" t="s">
        <v>37</v>
      </c>
      <c r="I242" s="241"/>
      <c r="J242" s="241"/>
      <c r="K242" s="244" t="s">
        <v>107</v>
      </c>
      <c r="L242" s="241" t="s">
        <v>39</v>
      </c>
      <c r="M242" s="241"/>
      <c r="N242" s="240" t="s">
        <v>768</v>
      </c>
      <c r="O242" s="246">
        <v>10039</v>
      </c>
      <c r="P242" s="241" t="s">
        <v>41</v>
      </c>
      <c r="Q242" s="240" t="s">
        <v>761</v>
      </c>
      <c r="R242" s="240"/>
      <c r="S242" s="240"/>
      <c r="T242" s="240"/>
      <c r="U242" s="240"/>
      <c r="V242" s="242"/>
      <c r="W242" s="332" t="s">
        <v>43</v>
      </c>
      <c r="X242" s="332" t="s">
        <v>43</v>
      </c>
      <c r="Y242" s="336" t="s">
        <v>44</v>
      </c>
      <c r="Z242" s="337" t="s">
        <v>45</v>
      </c>
      <c r="AA242" s="336" t="str">
        <f>_xlfn.XLOOKUP($A242,'2026 Approved Budget'!$B:$B,'2026 Approved Budget'!C:C)</f>
        <v>910 People &amp; Culture</v>
      </c>
      <c r="AB242" s="336" t="s">
        <v>46</v>
      </c>
      <c r="AC242" s="336" t="str">
        <f>_xlfn.XLOOKUP($A242,'2026 Approved Budget'!$B:$B,'2026 Approved Budget'!D:D)</f>
        <v>Derrick Liang</v>
      </c>
      <c r="AD242" s="336" t="str">
        <f>_xlfn.XLOOKUP($A242,'2026 Approved Budget'!$B:$B,'2026 Approved Budget'!E:E)</f>
        <v>01. IC / Coordinator</v>
      </c>
      <c r="AE242" s="336" t="str">
        <f>_xlfn.XLOOKUP($A242,'2026 Approved Budget'!$B:$B,'2026 Approved Budget'!F:F)</f>
        <v>Sr P&amp;C Ops Analyst</v>
      </c>
      <c r="AF242" s="338">
        <f>_xlfn.XLOOKUP($A242,'2026 Approved Budget'!$B:$B,'2026 Approved Budget'!H:H)</f>
        <v>45593</v>
      </c>
      <c r="AG242" s="254"/>
    </row>
    <row r="243" spans="1:33" ht="16" hidden="1" x14ac:dyDescent="0.2">
      <c r="A243" s="239">
        <v>1285</v>
      </c>
      <c r="B243" s="248" t="s">
        <v>749</v>
      </c>
      <c r="C243" s="248" t="s">
        <v>750</v>
      </c>
      <c r="D243" s="248" t="s">
        <v>771</v>
      </c>
      <c r="E243" s="250" t="s">
        <v>180</v>
      </c>
      <c r="F243" s="250" t="s">
        <v>98</v>
      </c>
      <c r="G243" s="248" t="s">
        <v>801</v>
      </c>
      <c r="H243" s="251" t="s">
        <v>50</v>
      </c>
      <c r="I243" s="250"/>
      <c r="J243" s="250"/>
      <c r="K243" s="253" t="s">
        <v>51</v>
      </c>
      <c r="L243" s="250" t="s">
        <v>182</v>
      </c>
      <c r="M243" s="250"/>
      <c r="N243" s="248" t="s">
        <v>802</v>
      </c>
      <c r="O243" s="239"/>
      <c r="P243" s="239" t="s">
        <v>41</v>
      </c>
      <c r="Q243" s="248" t="s">
        <v>803</v>
      </c>
      <c r="R243" s="248"/>
      <c r="S243" s="248"/>
      <c r="T243" s="248"/>
      <c r="U243" s="248"/>
      <c r="V243" s="413"/>
      <c r="W243" s="335" t="s">
        <v>184</v>
      </c>
      <c r="X243" s="335" t="s">
        <v>184</v>
      </c>
      <c r="Y243" s="335" t="s">
        <v>185</v>
      </c>
      <c r="Z243" s="335"/>
      <c r="AA243" s="336" t="e">
        <f>_xlfn.XLOOKUP($A243,'2026 Approved Budget'!$B:$B,'2026 Approved Budget'!C:C)</f>
        <v>#N/A</v>
      </c>
      <c r="AB243" s="332" t="s">
        <v>185</v>
      </c>
      <c r="AC243" s="336" t="e">
        <f>_xlfn.XLOOKUP($A243,'2026 Approved Budget'!$B:$B,'2026 Approved Budget'!D:D)</f>
        <v>#N/A</v>
      </c>
      <c r="AD243" s="336" t="e">
        <f>_xlfn.XLOOKUP($A243,'2026 Approved Budget'!$B:$B,'2026 Approved Budget'!E:E)</f>
        <v>#N/A</v>
      </c>
      <c r="AE243" s="336" t="e">
        <f>_xlfn.XLOOKUP($A243,'2026 Approved Budget'!$B:$B,'2026 Approved Budget'!F:F)</f>
        <v>#N/A</v>
      </c>
      <c r="AF243" s="338" t="e">
        <f>_xlfn.XLOOKUP($A243,'2026 Approved Budget'!$B:$B,'2026 Approved Budget'!H:H)</f>
        <v>#N/A</v>
      </c>
      <c r="AG243" s="254"/>
    </row>
    <row r="244" spans="1:33" ht="15" hidden="1" customHeight="1" x14ac:dyDescent="0.2">
      <c r="A244" s="239">
        <v>1286</v>
      </c>
      <c r="B244" s="248" t="s">
        <v>749</v>
      </c>
      <c r="C244" s="248" t="s">
        <v>750</v>
      </c>
      <c r="D244" s="248" t="s">
        <v>771</v>
      </c>
      <c r="E244" s="250" t="s">
        <v>180</v>
      </c>
      <c r="F244" s="251" t="s">
        <v>138</v>
      </c>
      <c r="G244" s="248" t="s">
        <v>791</v>
      </c>
      <c r="H244" s="251" t="s">
        <v>146</v>
      </c>
      <c r="I244" s="250"/>
      <c r="J244" s="250"/>
      <c r="K244" s="253" t="s">
        <v>107</v>
      </c>
      <c r="L244" s="250" t="s">
        <v>182</v>
      </c>
      <c r="M244" s="250"/>
      <c r="N244" s="248" t="s">
        <v>792</v>
      </c>
      <c r="O244" s="239"/>
      <c r="P244" s="239" t="s">
        <v>41</v>
      </c>
      <c r="Q244" s="248" t="s">
        <v>793</v>
      </c>
      <c r="R244" s="248"/>
      <c r="S244" s="248"/>
      <c r="T244" s="248"/>
      <c r="U244" s="248"/>
      <c r="V244" s="248"/>
      <c r="W244" s="335" t="s">
        <v>184</v>
      </c>
      <c r="X244" s="335" t="s">
        <v>184</v>
      </c>
      <c r="Y244" s="335" t="s">
        <v>185</v>
      </c>
      <c r="Z244" s="335"/>
      <c r="AA244" s="336" t="e">
        <f>_xlfn.XLOOKUP($A244,'2026 Approved Budget'!$B:$B,'2026 Approved Budget'!C:C)</f>
        <v>#N/A</v>
      </c>
      <c r="AB244" s="332" t="s">
        <v>185</v>
      </c>
      <c r="AC244" s="336" t="e">
        <f>_xlfn.XLOOKUP($A244,'2026 Approved Budget'!$B:$B,'2026 Approved Budget'!D:D)</f>
        <v>#N/A</v>
      </c>
      <c r="AD244" s="336" t="e">
        <f>_xlfn.XLOOKUP($A244,'2026 Approved Budget'!$B:$B,'2026 Approved Budget'!E:E)</f>
        <v>#N/A</v>
      </c>
      <c r="AE244" s="336" t="e">
        <f>_xlfn.XLOOKUP($A244,'2026 Approved Budget'!$B:$B,'2026 Approved Budget'!F:F)</f>
        <v>#N/A</v>
      </c>
      <c r="AF244" s="338" t="e">
        <f>_xlfn.XLOOKUP($A244,'2026 Approved Budget'!$B:$B,'2026 Approved Budget'!H:H)</f>
        <v>#N/A</v>
      </c>
      <c r="AG244" s="254"/>
    </row>
    <row r="245" spans="1:33" ht="15" hidden="1" customHeight="1" x14ac:dyDescent="0.2">
      <c r="A245" s="239">
        <v>5412</v>
      </c>
      <c r="B245" s="248" t="s">
        <v>749</v>
      </c>
      <c r="C245" s="248" t="s">
        <v>750</v>
      </c>
      <c r="D245" s="248" t="s">
        <v>771</v>
      </c>
      <c r="E245" s="250" t="s">
        <v>180</v>
      </c>
      <c r="F245" s="251" t="s">
        <v>138</v>
      </c>
      <c r="G245" s="248" t="s">
        <v>794</v>
      </c>
      <c r="H245" s="251" t="s">
        <v>146</v>
      </c>
      <c r="I245" s="250"/>
      <c r="J245" s="250"/>
      <c r="K245" s="253" t="s">
        <v>61</v>
      </c>
      <c r="L245" s="250" t="s">
        <v>182</v>
      </c>
      <c r="M245" s="250"/>
      <c r="N245" s="248" t="s">
        <v>795</v>
      </c>
      <c r="O245" s="239"/>
      <c r="P245" s="239" t="s">
        <v>41</v>
      </c>
      <c r="Q245" s="248"/>
      <c r="R245" s="248"/>
      <c r="S245" s="248"/>
      <c r="T245" s="248"/>
      <c r="U245" s="248"/>
      <c r="V245" s="248"/>
      <c r="W245" s="335" t="s">
        <v>184</v>
      </c>
      <c r="X245" s="335" t="s">
        <v>184</v>
      </c>
      <c r="Y245" s="335" t="s">
        <v>185</v>
      </c>
      <c r="Z245" s="335"/>
      <c r="AA245" s="336" t="e">
        <f>_xlfn.XLOOKUP($A246,'2026 Approved Budget'!$B:$B,'2026 Approved Budget'!C:C)</f>
        <v>#N/A</v>
      </c>
      <c r="AB245" s="332" t="s">
        <v>185</v>
      </c>
      <c r="AC245" s="336" t="e">
        <f>_xlfn.XLOOKUP($A246,'2026 Approved Budget'!$B:$B,'2026 Approved Budget'!D:D)</f>
        <v>#N/A</v>
      </c>
      <c r="AD245" s="336" t="e">
        <f>_xlfn.XLOOKUP($A246,'2026 Approved Budget'!$B:$B,'2026 Approved Budget'!E:E)</f>
        <v>#N/A</v>
      </c>
      <c r="AE245" s="336" t="e">
        <f>_xlfn.XLOOKUP($A246,'2026 Approved Budget'!$B:$B,'2026 Approved Budget'!F:F)</f>
        <v>#N/A</v>
      </c>
      <c r="AF245" s="338" t="e">
        <f>_xlfn.XLOOKUP($A246,'2026 Approved Budget'!$B:$B,'2026 Approved Budget'!H:H)</f>
        <v>#N/A</v>
      </c>
      <c r="AG245" s="254"/>
    </row>
    <row r="246" spans="1:33" ht="15" hidden="1" customHeight="1" x14ac:dyDescent="0.2">
      <c r="A246" s="239">
        <v>5413</v>
      </c>
      <c r="B246" s="248" t="s">
        <v>749</v>
      </c>
      <c r="C246" s="248" t="s">
        <v>750</v>
      </c>
      <c r="D246" s="248" t="s">
        <v>771</v>
      </c>
      <c r="E246" s="250" t="s">
        <v>180</v>
      </c>
      <c r="F246" s="251" t="s">
        <v>138</v>
      </c>
      <c r="G246" s="248" t="s">
        <v>796</v>
      </c>
      <c r="H246" s="251" t="s">
        <v>146</v>
      </c>
      <c r="I246" s="250"/>
      <c r="J246" s="250"/>
      <c r="K246" s="253" t="s">
        <v>61</v>
      </c>
      <c r="L246" s="250" t="s">
        <v>182</v>
      </c>
      <c r="M246" s="250"/>
      <c r="N246" s="248" t="s">
        <v>797</v>
      </c>
      <c r="O246" s="239"/>
      <c r="P246" s="239" t="s">
        <v>41</v>
      </c>
      <c r="Q246" s="248"/>
      <c r="R246" s="248"/>
      <c r="S246" s="248"/>
      <c r="T246" s="248"/>
      <c r="U246" s="248"/>
      <c r="V246" s="248"/>
      <c r="W246" s="335" t="s">
        <v>184</v>
      </c>
      <c r="X246" s="335" t="s">
        <v>184</v>
      </c>
      <c r="Y246" s="335" t="s">
        <v>185</v>
      </c>
      <c r="Z246" s="335"/>
      <c r="AA246" s="336" t="e">
        <f>_xlfn.XLOOKUP(#REF!,'2026 Approved Budget'!$B:$B,'2026 Approved Budget'!C:C)</f>
        <v>#REF!</v>
      </c>
      <c r="AB246" s="332" t="s">
        <v>185</v>
      </c>
      <c r="AC246" s="336" t="e">
        <f>_xlfn.XLOOKUP(#REF!,'2026 Approved Budget'!$B:$B,'2026 Approved Budget'!D:D)</f>
        <v>#REF!</v>
      </c>
      <c r="AD246" s="336" t="e">
        <f>_xlfn.XLOOKUP(#REF!,'2026 Approved Budget'!$B:$B,'2026 Approved Budget'!E:E)</f>
        <v>#REF!</v>
      </c>
      <c r="AE246" s="336" t="e">
        <f>_xlfn.XLOOKUP(#REF!,'2026 Approved Budget'!$B:$B,'2026 Approved Budget'!F:F)</f>
        <v>#REF!</v>
      </c>
      <c r="AF246" s="338" t="e">
        <f>_xlfn.XLOOKUP(#REF!,'2026 Approved Budget'!$B:$B,'2026 Approved Budget'!H:H)</f>
        <v>#REF!</v>
      </c>
      <c r="AG246" s="254"/>
    </row>
    <row r="247" spans="1:33" ht="15" hidden="1" customHeight="1" x14ac:dyDescent="0.2">
      <c r="A247" s="239">
        <v>1288</v>
      </c>
      <c r="B247" s="248" t="s">
        <v>749</v>
      </c>
      <c r="C247" s="248" t="s">
        <v>750</v>
      </c>
      <c r="D247" s="248" t="s">
        <v>771</v>
      </c>
      <c r="E247" s="250" t="s">
        <v>180</v>
      </c>
      <c r="F247" s="251" t="s">
        <v>81</v>
      </c>
      <c r="G247" s="248" t="s">
        <v>798</v>
      </c>
      <c r="H247" s="251" t="s">
        <v>146</v>
      </c>
      <c r="I247" s="250"/>
      <c r="J247" s="250"/>
      <c r="K247" s="253" t="s">
        <v>130</v>
      </c>
      <c r="L247" s="250" t="s">
        <v>182</v>
      </c>
      <c r="M247" s="250"/>
      <c r="N247" s="248" t="s">
        <v>799</v>
      </c>
      <c r="O247" s="239"/>
      <c r="P247" s="239" t="s">
        <v>41</v>
      </c>
      <c r="Q247" s="248" t="s">
        <v>800</v>
      </c>
      <c r="R247" s="248"/>
      <c r="S247" s="248"/>
      <c r="T247" s="248"/>
      <c r="U247" s="248"/>
      <c r="V247" s="248"/>
      <c r="W247" s="335" t="s">
        <v>184</v>
      </c>
      <c r="X247" s="335" t="s">
        <v>184</v>
      </c>
      <c r="Y247" s="335" t="s">
        <v>185</v>
      </c>
      <c r="Z247" s="335"/>
      <c r="AA247" s="336" t="e">
        <f>_xlfn.XLOOKUP($A247,'2026 Approved Budget'!$B:$B,'2026 Approved Budget'!C:C)</f>
        <v>#N/A</v>
      </c>
      <c r="AB247" s="332" t="s">
        <v>185</v>
      </c>
      <c r="AC247" s="336" t="e">
        <f>_xlfn.XLOOKUP($A247,'2026 Approved Budget'!$B:$B,'2026 Approved Budget'!D:D)</f>
        <v>#N/A</v>
      </c>
      <c r="AD247" s="336" t="e">
        <f>_xlfn.XLOOKUP($A247,'2026 Approved Budget'!$B:$B,'2026 Approved Budget'!E:E)</f>
        <v>#N/A</v>
      </c>
      <c r="AE247" s="336" t="e">
        <f>_xlfn.XLOOKUP($A247,'2026 Approved Budget'!$B:$B,'2026 Approved Budget'!F:F)</f>
        <v>#N/A</v>
      </c>
      <c r="AF247" s="338" t="e">
        <f>_xlfn.XLOOKUP($A247,'2026 Approved Budget'!$B:$B,'2026 Approved Budget'!H:H)</f>
        <v>#N/A</v>
      </c>
      <c r="AG247" s="254"/>
    </row>
    <row r="248" spans="1:33" ht="15" customHeight="1" x14ac:dyDescent="0.2">
      <c r="A248" s="239">
        <v>1313</v>
      </c>
      <c r="B248" s="248" t="s">
        <v>749</v>
      </c>
      <c r="C248" s="248" t="s">
        <v>750</v>
      </c>
      <c r="D248" s="248" t="s">
        <v>751</v>
      </c>
      <c r="E248" s="250" t="s">
        <v>34</v>
      </c>
      <c r="F248" s="251" t="s">
        <v>58</v>
      </c>
      <c r="G248" s="248" t="s">
        <v>752</v>
      </c>
      <c r="H248" s="251" t="s">
        <v>50</v>
      </c>
      <c r="I248" s="250">
        <v>1</v>
      </c>
      <c r="J248" s="250"/>
      <c r="K248" s="250" t="s">
        <v>61</v>
      </c>
      <c r="L248" s="250"/>
      <c r="M248" s="250" t="s">
        <v>83</v>
      </c>
      <c r="N248" s="248" t="s">
        <v>782</v>
      </c>
      <c r="O248" s="239"/>
      <c r="P248" s="239" t="s">
        <v>41</v>
      </c>
      <c r="Q248" s="248"/>
      <c r="R248" s="248"/>
      <c r="S248" s="248"/>
      <c r="T248" s="248"/>
      <c r="U248" s="248"/>
      <c r="V248" s="248"/>
      <c r="W248" s="103" t="s">
        <v>165</v>
      </c>
      <c r="X248" s="103" t="s">
        <v>43</v>
      </c>
      <c r="Y248" s="275" t="s">
        <v>69</v>
      </c>
      <c r="Z248" s="337" t="s">
        <v>45</v>
      </c>
      <c r="AA248" s="336" t="str">
        <f>_xlfn.XLOOKUP($A248,'2026 Approved Budget'!$B:$B,'2026 Approved Budget'!C:C)</f>
        <v>910 People &amp; Culture</v>
      </c>
      <c r="AB248" s="336" t="s">
        <v>46</v>
      </c>
      <c r="AC248" s="336" t="str">
        <f>_xlfn.XLOOKUP($A248,'2026 Approved Budget'!$B:$B,'2026 Approved Budget'!D:D)</f>
        <v>Backfill: Alison Nowlan</v>
      </c>
      <c r="AD248" s="336" t="str">
        <f>_xlfn.XLOOKUP($A248,'2026 Approved Budget'!$B:$B,'2026 Approved Budget'!E:E)</f>
        <v>07. Exec. Director</v>
      </c>
      <c r="AE248" s="336" t="str">
        <f>_xlfn.XLOOKUP($A248,'2026 Approved Budget'!$B:$B,'2026 Approved Budget'!F:F)</f>
        <v>Executive Director, People &amp; Culture</v>
      </c>
      <c r="AF248" s="338">
        <f>_xlfn.XLOOKUP($A248,'2026 Approved Budget'!$B:$B,'2026 Approved Budget'!H:H)</f>
        <v>46006</v>
      </c>
      <c r="AG248" s="254"/>
    </row>
    <row r="249" spans="1:33" ht="15" customHeight="1" x14ac:dyDescent="0.2">
      <c r="A249" s="8">
        <v>5215</v>
      </c>
      <c r="B249" s="248" t="s">
        <v>749</v>
      </c>
      <c r="C249" s="9" t="s">
        <v>750</v>
      </c>
      <c r="D249" s="9" t="s">
        <v>751</v>
      </c>
      <c r="E249" s="250" t="s">
        <v>80</v>
      </c>
      <c r="F249" s="11" t="s">
        <v>58</v>
      </c>
      <c r="G249" s="9" t="s">
        <v>783</v>
      </c>
      <c r="H249" s="11" t="s">
        <v>37</v>
      </c>
      <c r="I249" s="10">
        <v>2</v>
      </c>
      <c r="J249" s="10"/>
      <c r="K249" s="250" t="s">
        <v>100</v>
      </c>
      <c r="L249" s="10"/>
      <c r="M249" s="10" t="s">
        <v>83</v>
      </c>
      <c r="N249" s="9"/>
      <c r="O249" s="9"/>
      <c r="P249" s="10" t="s">
        <v>41</v>
      </c>
      <c r="Q249" s="9" t="s">
        <v>784</v>
      </c>
      <c r="R249" s="9"/>
      <c r="S249" s="9"/>
      <c r="T249" s="9"/>
      <c r="U249" s="9"/>
      <c r="V249" s="104"/>
      <c r="W249" s="103" t="s">
        <v>86</v>
      </c>
      <c r="X249" s="103" t="s">
        <v>86</v>
      </c>
      <c r="Y249" s="275" t="s">
        <v>69</v>
      </c>
      <c r="Z249" s="337"/>
      <c r="AA249" s="336" t="str">
        <f>_xlfn.XLOOKUP($A249,'2026 Approved Budget'!$B:$B,'2026 Approved Budget'!C:C)</f>
        <v>910 People &amp; Culture</v>
      </c>
      <c r="AB249" s="336" t="s">
        <v>46</v>
      </c>
      <c r="AC249" s="336" t="str">
        <f>_xlfn.XLOOKUP($A249,'2026 Approved Budget'!$B:$B,'2026 Approved Budget'!D:D)</f>
        <v>TBD</v>
      </c>
      <c r="AD249" s="336" t="str">
        <f>_xlfn.XLOOKUP($A249,'2026 Approved Budget'!$B:$B,'2026 Approved Budget'!E:E)</f>
        <v>06. Sr. Director</v>
      </c>
      <c r="AE249" s="336" t="str">
        <f>_xlfn.XLOOKUP($A249,'2026 Approved Budget'!$B:$B,'2026 Approved Budget'!F:F)</f>
        <v>Senior Director, People &amp; Culture Business Partner</v>
      </c>
      <c r="AF249" s="338">
        <f>_xlfn.XLOOKUP($A249,'2026 Approved Budget'!$B:$B,'2026 Approved Budget'!H:H)</f>
        <v>46461</v>
      </c>
      <c r="AG249" s="254"/>
    </row>
    <row r="250" spans="1:33" ht="15" hidden="1" customHeight="1" x14ac:dyDescent="0.2">
      <c r="A250" s="239">
        <v>1153</v>
      </c>
      <c r="B250" s="240" t="s">
        <v>804</v>
      </c>
      <c r="C250" s="240" t="s">
        <v>805</v>
      </c>
      <c r="D250" s="240" t="s">
        <v>33</v>
      </c>
      <c r="E250" s="241" t="s">
        <v>34</v>
      </c>
      <c r="F250" s="241" t="s">
        <v>35</v>
      </c>
      <c r="G250" s="242" t="s">
        <v>806</v>
      </c>
      <c r="H250" s="243" t="s">
        <v>37</v>
      </c>
      <c r="I250" s="241"/>
      <c r="J250" s="241"/>
      <c r="K250" s="247" t="s">
        <v>166</v>
      </c>
      <c r="L250" s="241" t="s">
        <v>39</v>
      </c>
      <c r="M250" s="241"/>
      <c r="N250" s="245" t="s">
        <v>807</v>
      </c>
      <c r="O250" s="246">
        <v>10008</v>
      </c>
      <c r="P250" s="241" t="s">
        <v>41</v>
      </c>
      <c r="Q250" s="240" t="s">
        <v>808</v>
      </c>
      <c r="R250" s="240"/>
      <c r="S250" s="245"/>
      <c r="T250" s="245"/>
      <c r="U250" s="240"/>
      <c r="V250" s="242"/>
      <c r="W250" s="332" t="s">
        <v>43</v>
      </c>
      <c r="X250" s="332" t="s">
        <v>43</v>
      </c>
      <c r="Y250" s="336" t="s">
        <v>44</v>
      </c>
      <c r="Z250" s="337" t="s">
        <v>45</v>
      </c>
      <c r="AA250" s="336" t="str">
        <f>_xlfn.XLOOKUP($A250,'2026 Approved Budget'!$B:$B,'2026 Approved Budget'!C:C)</f>
        <v>305 Quality</v>
      </c>
      <c r="AB250" s="332" t="s">
        <v>46</v>
      </c>
      <c r="AC250" s="336" t="str">
        <f>_xlfn.XLOOKUP($A250,'2026 Approved Budget'!$B:$B,'2026 Approved Budget'!D:D)</f>
        <v>Diane Hagerty</v>
      </c>
      <c r="AD250" s="336" t="str">
        <f>_xlfn.XLOOKUP($A250,'2026 Approved Budget'!$B:$B,'2026 Approved Budget'!E:E)</f>
        <v>10. C-Suite</v>
      </c>
      <c r="AE250" s="336" t="str">
        <f>_xlfn.XLOOKUP($A250,'2026 Approved Budget'!$B:$B,'2026 Approved Budget'!F:F)</f>
        <v>Chief Quality Officer</v>
      </c>
      <c r="AF250" s="338">
        <f>_xlfn.XLOOKUP($A250,'2026 Approved Budget'!$B:$B,'2026 Approved Budget'!H:H)</f>
        <v>45413</v>
      </c>
      <c r="AG250" s="254"/>
    </row>
    <row r="251" spans="1:33" ht="15" hidden="1" customHeight="1" x14ac:dyDescent="0.2">
      <c r="A251" s="239">
        <v>1122</v>
      </c>
      <c r="B251" s="240" t="s">
        <v>804</v>
      </c>
      <c r="C251" s="240" t="s">
        <v>805</v>
      </c>
      <c r="D251" s="240" t="s">
        <v>809</v>
      </c>
      <c r="E251" s="241" t="s">
        <v>34</v>
      </c>
      <c r="F251" s="243" t="s">
        <v>105</v>
      </c>
      <c r="G251" s="242" t="s">
        <v>810</v>
      </c>
      <c r="H251" s="243" t="s">
        <v>37</v>
      </c>
      <c r="I251" s="241"/>
      <c r="J251" s="241"/>
      <c r="K251" s="247" t="s">
        <v>38</v>
      </c>
      <c r="L251" s="241" t="s">
        <v>39</v>
      </c>
      <c r="M251" s="241"/>
      <c r="N251" s="245" t="s">
        <v>811</v>
      </c>
      <c r="O251" s="246">
        <v>10017</v>
      </c>
      <c r="P251" s="241" t="s">
        <v>41</v>
      </c>
      <c r="Q251" s="240" t="s">
        <v>812</v>
      </c>
      <c r="R251" s="240"/>
      <c r="S251" s="245"/>
      <c r="T251" s="240"/>
      <c r="U251" s="240"/>
      <c r="V251" s="242"/>
      <c r="W251" s="332" t="s">
        <v>43</v>
      </c>
      <c r="X251" s="332" t="s">
        <v>43</v>
      </c>
      <c r="Y251" s="336" t="s">
        <v>44</v>
      </c>
      <c r="Z251" s="337" t="s">
        <v>45</v>
      </c>
      <c r="AA251" s="336" t="str">
        <f>_xlfn.XLOOKUP($A251,'2026 Approved Budget'!$B:$B,'2026 Approved Budget'!C:C)</f>
        <v>305 Quality</v>
      </c>
      <c r="AB251" s="332" t="s">
        <v>46</v>
      </c>
      <c r="AC251" s="336" t="str">
        <f>_xlfn.XLOOKUP($A251,'2026 Approved Budget'!$B:$B,'2026 Approved Budget'!D:D)</f>
        <v>Kaoru Nishino</v>
      </c>
      <c r="AD251" s="336" t="str">
        <f>_xlfn.XLOOKUP($A251,'2026 Approved Budget'!$B:$B,'2026 Approved Budget'!E:E)</f>
        <v>08. VP</v>
      </c>
      <c r="AE251" s="336" t="str">
        <f>_xlfn.XLOOKUP($A251,'2026 Approved Budget'!$B:$B,'2026 Approved Budget'!F:F)</f>
        <v>Head of  CMC Quality</v>
      </c>
      <c r="AF251" s="338">
        <f>_xlfn.XLOOKUP($A251,'2026 Approved Budget'!$B:$B,'2026 Approved Budget'!H:H)</f>
        <v>45481</v>
      </c>
      <c r="AG251" s="254"/>
    </row>
    <row r="252" spans="1:33" ht="15" hidden="1" customHeight="1" x14ac:dyDescent="0.2">
      <c r="A252" s="239">
        <v>1121</v>
      </c>
      <c r="B252" s="240" t="s">
        <v>804</v>
      </c>
      <c r="C252" s="240" t="s">
        <v>805</v>
      </c>
      <c r="D252" s="240" t="s">
        <v>809</v>
      </c>
      <c r="E252" s="241" t="s">
        <v>34</v>
      </c>
      <c r="F252" s="243" t="s">
        <v>58</v>
      </c>
      <c r="G252" s="242" t="s">
        <v>813</v>
      </c>
      <c r="H252" s="243" t="s">
        <v>50</v>
      </c>
      <c r="I252" s="241"/>
      <c r="J252" s="241"/>
      <c r="K252" s="247" t="s">
        <v>107</v>
      </c>
      <c r="L252" s="241" t="s">
        <v>39</v>
      </c>
      <c r="M252" s="241"/>
      <c r="N252" s="240" t="s">
        <v>814</v>
      </c>
      <c r="O252" s="246">
        <v>10094</v>
      </c>
      <c r="P252" s="241" t="s">
        <v>371</v>
      </c>
      <c r="Q252" s="240" t="s">
        <v>815</v>
      </c>
      <c r="R252" s="240"/>
      <c r="S252" s="240"/>
      <c r="T252" s="240" t="s">
        <v>142</v>
      </c>
      <c r="U252" s="240"/>
      <c r="V252" s="242"/>
      <c r="W252" s="332" t="s">
        <v>43</v>
      </c>
      <c r="X252" s="332" t="s">
        <v>43</v>
      </c>
      <c r="Y252" s="336" t="s">
        <v>44</v>
      </c>
      <c r="Z252" s="337" t="s">
        <v>45</v>
      </c>
      <c r="AA252" s="336" t="str">
        <f>_xlfn.XLOOKUP($A252,'2026 Approved Budget'!$B:$B,'2026 Approved Budget'!C:C)</f>
        <v>305 Quality</v>
      </c>
      <c r="AB252" s="332" t="s">
        <v>46</v>
      </c>
      <c r="AC252" s="336" t="str">
        <f>_xlfn.XLOOKUP($A252,'2026 Approved Budget'!$B:$B,'2026 Approved Budget'!D:D)</f>
        <v>Donna Walters</v>
      </c>
      <c r="AD252" s="336" t="str">
        <f>_xlfn.XLOOKUP($A252,'2026 Approved Budget'!$B:$B,'2026 Approved Budget'!E:E)</f>
        <v>06. Sr. Director</v>
      </c>
      <c r="AE252" s="336" t="str">
        <f>_xlfn.XLOOKUP($A252,'2026 Approved Budget'!$B:$B,'2026 Approved Budget'!F:F)</f>
        <v>Head of Clinical Quality Assurance (EC)</v>
      </c>
      <c r="AF252" s="338">
        <f>_xlfn.XLOOKUP($A252,'2026 Approved Budget'!$B:$B,'2026 Approved Budget'!H:H)</f>
        <v>45608</v>
      </c>
      <c r="AG252" s="254"/>
    </row>
    <row r="253" spans="1:33" ht="30" hidden="1" customHeight="1" x14ac:dyDescent="0.2">
      <c r="A253" s="239">
        <v>1124</v>
      </c>
      <c r="B253" s="240" t="s">
        <v>804</v>
      </c>
      <c r="C253" s="240" t="s">
        <v>805</v>
      </c>
      <c r="D253" s="240" t="s">
        <v>809</v>
      </c>
      <c r="E253" s="241" t="s">
        <v>34</v>
      </c>
      <c r="F253" s="243" t="s">
        <v>58</v>
      </c>
      <c r="G253" s="242" t="s">
        <v>816</v>
      </c>
      <c r="H253" s="243" t="s">
        <v>37</v>
      </c>
      <c r="I253" s="241"/>
      <c r="J253" s="241"/>
      <c r="K253" s="247" t="s">
        <v>130</v>
      </c>
      <c r="L253" s="241" t="s">
        <v>39</v>
      </c>
      <c r="M253" s="241"/>
      <c r="N253" s="240" t="s">
        <v>817</v>
      </c>
      <c r="O253" s="246">
        <v>10041</v>
      </c>
      <c r="P253" s="241" t="s">
        <v>41</v>
      </c>
      <c r="Q253" s="240" t="s">
        <v>818</v>
      </c>
      <c r="R253" s="240"/>
      <c r="S253" s="240"/>
      <c r="T253" s="240" t="s">
        <v>142</v>
      </c>
      <c r="U253" s="240"/>
      <c r="V253" s="242"/>
      <c r="W253" s="332" t="s">
        <v>43</v>
      </c>
      <c r="X253" s="332" t="s">
        <v>43</v>
      </c>
      <c r="Y253" s="336" t="s">
        <v>44</v>
      </c>
      <c r="Z253" s="337" t="s">
        <v>45</v>
      </c>
      <c r="AA253" s="336" t="str">
        <f>_xlfn.XLOOKUP($A253,'2026 Approved Budget'!$B:$B,'2026 Approved Budget'!C:C)</f>
        <v>305 Quality</v>
      </c>
      <c r="AB253" s="332" t="s">
        <v>46</v>
      </c>
      <c r="AC253" s="336" t="str">
        <f>_xlfn.XLOOKUP($A253,'2026 Approved Budget'!$B:$B,'2026 Approved Budget'!D:D)</f>
        <v>Theresa Friend</v>
      </c>
      <c r="AD253" s="336" t="str">
        <f>_xlfn.XLOOKUP($A253,'2026 Approved Budget'!$B:$B,'2026 Approved Budget'!E:E)</f>
        <v>06. Sr. Director</v>
      </c>
      <c r="AE253" s="336" t="str">
        <f>_xlfn.XLOOKUP($A253,'2026 Approved Budget'!$B:$B,'2026 Approved Budget'!F:F)</f>
        <v>Head of GxP Quality Systems</v>
      </c>
      <c r="AF253" s="338">
        <f>_xlfn.XLOOKUP($A253,'2026 Approved Budget'!$B:$B,'2026 Approved Budget'!H:H)</f>
        <v>45663</v>
      </c>
      <c r="AG253" s="254"/>
    </row>
    <row r="254" spans="1:33" ht="15" hidden="1" customHeight="1" x14ac:dyDescent="0.2">
      <c r="A254" s="239">
        <v>1148</v>
      </c>
      <c r="B254" s="240" t="s">
        <v>804</v>
      </c>
      <c r="C254" s="240" t="s">
        <v>805</v>
      </c>
      <c r="D254" s="240" t="s">
        <v>819</v>
      </c>
      <c r="E254" s="241" t="s">
        <v>34</v>
      </c>
      <c r="F254" s="241" t="s">
        <v>58</v>
      </c>
      <c r="G254" s="242" t="s">
        <v>820</v>
      </c>
      <c r="H254" s="243" t="s">
        <v>37</v>
      </c>
      <c r="I254" s="241"/>
      <c r="J254" s="241"/>
      <c r="K254" s="247" t="s">
        <v>130</v>
      </c>
      <c r="L254" s="241" t="s">
        <v>39</v>
      </c>
      <c r="M254" s="241"/>
      <c r="N254" s="240" t="s">
        <v>821</v>
      </c>
      <c r="O254" s="246">
        <v>10141</v>
      </c>
      <c r="P254" s="241" t="s">
        <v>448</v>
      </c>
      <c r="Q254" s="240" t="s">
        <v>812</v>
      </c>
      <c r="R254" s="240">
        <v>7</v>
      </c>
      <c r="S254" s="240"/>
      <c r="T254" s="240" t="s">
        <v>142</v>
      </c>
      <c r="U254" s="240"/>
      <c r="V254" s="242"/>
      <c r="W254" s="332" t="s">
        <v>43</v>
      </c>
      <c r="X254" s="332" t="s">
        <v>43</v>
      </c>
      <c r="Y254" s="336" t="s">
        <v>44</v>
      </c>
      <c r="Z254" s="337" t="s">
        <v>45</v>
      </c>
      <c r="AA254" s="336" t="str">
        <f>_xlfn.XLOOKUP($A254,'2026 Approved Budget'!$B:$B,'2026 Approved Budget'!C:C)</f>
        <v>305 Quality</v>
      </c>
      <c r="AB254" s="332" t="s">
        <v>46</v>
      </c>
      <c r="AC254" s="336" t="str">
        <f>_xlfn.XLOOKUP($A254,'2026 Approved Budget'!$B:$B,'2026 Approved Budget'!D:D)</f>
        <v>Polly Mak Kwan</v>
      </c>
      <c r="AD254" s="336" t="str">
        <f>_xlfn.XLOOKUP($A254,'2026 Approved Budget'!$B:$B,'2026 Approved Budget'!E:E)</f>
        <v>06. Sr. Director</v>
      </c>
      <c r="AE254" s="336" t="str">
        <f>_xlfn.XLOOKUP($A254,'2026 Approved Budget'!$B:$B,'2026 Approved Budget'!F:F)</f>
        <v>Product Quality Lead TLA</v>
      </c>
      <c r="AF254" s="338">
        <f>_xlfn.XLOOKUP($A254,'2026 Approved Budget'!$B:$B,'2026 Approved Budget'!H:H)</f>
        <v>45740</v>
      </c>
      <c r="AG254" s="254"/>
    </row>
    <row r="255" spans="1:33" ht="15" hidden="1" customHeight="1" x14ac:dyDescent="0.2">
      <c r="A255" s="239">
        <v>1123</v>
      </c>
      <c r="B255" s="240" t="s">
        <v>804</v>
      </c>
      <c r="C255" s="240" t="s">
        <v>805</v>
      </c>
      <c r="D255" s="240" t="s">
        <v>809</v>
      </c>
      <c r="E255" s="241" t="s">
        <v>34</v>
      </c>
      <c r="F255" s="241" t="s">
        <v>58</v>
      </c>
      <c r="G255" s="242" t="s">
        <v>834</v>
      </c>
      <c r="H255" s="243" t="s">
        <v>37</v>
      </c>
      <c r="I255" s="241"/>
      <c r="J255" s="241"/>
      <c r="K255" s="247" t="s">
        <v>114</v>
      </c>
      <c r="L255" s="241" t="s">
        <v>39</v>
      </c>
      <c r="M255" s="241"/>
      <c r="N255" s="245" t="s">
        <v>835</v>
      </c>
      <c r="O255" s="246">
        <v>10225</v>
      </c>
      <c r="P255" s="241" t="s">
        <v>41</v>
      </c>
      <c r="Q255" s="240" t="s">
        <v>836</v>
      </c>
      <c r="R255" s="240"/>
      <c r="S255" s="245"/>
      <c r="T255" s="274" t="s">
        <v>111</v>
      </c>
      <c r="U255" s="240"/>
      <c r="V255" s="242"/>
      <c r="W255" s="332" t="s">
        <v>43</v>
      </c>
      <c r="X255" s="103" t="s">
        <v>43</v>
      </c>
      <c r="Y255" s="336" t="s">
        <v>44</v>
      </c>
      <c r="Z255" s="337" t="s">
        <v>45</v>
      </c>
      <c r="AA255" s="336" t="str">
        <f>_xlfn.XLOOKUP($A255,'2026 Approved Budget'!$B:$B,'2026 Approved Budget'!C:C)</f>
        <v>305 Quality</v>
      </c>
      <c r="AB255" s="332" t="s">
        <v>46</v>
      </c>
      <c r="AC255" s="336" t="str">
        <f>_xlfn.XLOOKUP($A255,'2026 Approved Budget'!$B:$B,'2026 Approved Budget'!D:D)</f>
        <v>Ndidi Rickert</v>
      </c>
      <c r="AD255" s="336" t="str">
        <f>_xlfn.XLOOKUP($A255,'2026 Approved Budget'!$B:$B,'2026 Approved Budget'!E:E)</f>
        <v>06. Sr. Director</v>
      </c>
      <c r="AE255" s="336" t="str">
        <f>_xlfn.XLOOKUP($A255,'2026 Approved Budget'!$B:$B,'2026 Approved Budget'!F:F)</f>
        <v>Head of GxP Compliance</v>
      </c>
      <c r="AF255" s="338">
        <f>_xlfn.XLOOKUP($A255,'2026 Approved Budget'!$B:$B,'2026 Approved Budget'!H:H)</f>
        <v>45824</v>
      </c>
      <c r="AG255" s="254"/>
    </row>
    <row r="256" spans="1:33" ht="15" hidden="1" customHeight="1" x14ac:dyDescent="0.2">
      <c r="A256" s="239">
        <v>1149</v>
      </c>
      <c r="B256" s="240" t="s">
        <v>804</v>
      </c>
      <c r="C256" s="240" t="s">
        <v>805</v>
      </c>
      <c r="D256" s="240" t="s">
        <v>819</v>
      </c>
      <c r="E256" s="241" t="s">
        <v>34</v>
      </c>
      <c r="F256" s="241" t="s">
        <v>98</v>
      </c>
      <c r="G256" s="242" t="s">
        <v>825</v>
      </c>
      <c r="H256" s="243" t="s">
        <v>37</v>
      </c>
      <c r="I256" s="241"/>
      <c r="J256" s="241"/>
      <c r="K256" s="247" t="s">
        <v>130</v>
      </c>
      <c r="L256" s="241" t="s">
        <v>39</v>
      </c>
      <c r="M256" s="241"/>
      <c r="N256" s="240" t="s">
        <v>826</v>
      </c>
      <c r="O256" s="246">
        <v>10161</v>
      </c>
      <c r="P256" s="241" t="s">
        <v>827</v>
      </c>
      <c r="Q256" s="240" t="s">
        <v>812</v>
      </c>
      <c r="R256" s="240">
        <v>6</v>
      </c>
      <c r="S256" s="240"/>
      <c r="T256" s="240" t="s">
        <v>142</v>
      </c>
      <c r="U256" s="240"/>
      <c r="V256" s="242"/>
      <c r="W256" s="332" t="s">
        <v>43</v>
      </c>
      <c r="X256" s="332" t="s">
        <v>43</v>
      </c>
      <c r="Y256" s="336" t="s">
        <v>44</v>
      </c>
      <c r="Z256" s="337" t="s">
        <v>45</v>
      </c>
      <c r="AA256" s="336" t="str">
        <f>_xlfn.XLOOKUP($A256,'2026 Approved Budget'!$B:$B,'2026 Approved Budget'!C:C)</f>
        <v>305 Quality</v>
      </c>
      <c r="AB256" s="332" t="s">
        <v>46</v>
      </c>
      <c r="AC256" s="336" t="str">
        <f>_xlfn.XLOOKUP($A256,'2026 Approved Budget'!$B:$B,'2026 Approved Budget'!D:D)</f>
        <v>Ming Lei</v>
      </c>
      <c r="AD256" s="336" t="str">
        <f>_xlfn.XLOOKUP($A256,'2026 Approved Budget'!$B:$B,'2026 Approved Budget'!E:E)</f>
        <v>05. Director</v>
      </c>
      <c r="AE256" s="336" t="str">
        <f>_xlfn.XLOOKUP($A256,'2026 Approved Budget'!$B:$B,'2026 Approved Budget'!F:F)</f>
        <v>Product Quality Lead ATA</v>
      </c>
      <c r="AF256" s="338">
        <f>_xlfn.XLOOKUP($A256,'2026 Approved Budget'!$B:$B,'2026 Approved Budget'!H:H)</f>
        <v>45733</v>
      </c>
      <c r="AG256" s="254"/>
    </row>
    <row r="257" spans="1:33" ht="15" hidden="1" customHeight="1" x14ac:dyDescent="0.2">
      <c r="A257" s="239">
        <v>1133</v>
      </c>
      <c r="B257" s="240" t="s">
        <v>804</v>
      </c>
      <c r="C257" s="240" t="s">
        <v>805</v>
      </c>
      <c r="D257" s="240" t="s">
        <v>822</v>
      </c>
      <c r="E257" s="241" t="s">
        <v>34</v>
      </c>
      <c r="F257" s="241" t="s">
        <v>98</v>
      </c>
      <c r="G257" s="242" t="s">
        <v>837</v>
      </c>
      <c r="H257" s="243" t="s">
        <v>37</v>
      </c>
      <c r="I257" s="241"/>
      <c r="J257" s="241"/>
      <c r="K257" s="247" t="s">
        <v>51</v>
      </c>
      <c r="L257" s="246" t="s">
        <v>39</v>
      </c>
      <c r="M257" s="246"/>
      <c r="N257" s="245" t="s">
        <v>838</v>
      </c>
      <c r="O257" s="246">
        <v>10253</v>
      </c>
      <c r="P257" s="241" t="s">
        <v>371</v>
      </c>
      <c r="Q257" s="240" t="s">
        <v>815</v>
      </c>
      <c r="R257" s="240" t="s">
        <v>839</v>
      </c>
      <c r="S257" s="240" t="s">
        <v>840</v>
      </c>
      <c r="T257" s="240" t="s">
        <v>841</v>
      </c>
      <c r="U257" s="240"/>
      <c r="V257" s="242"/>
      <c r="W257" s="332" t="s">
        <v>43</v>
      </c>
      <c r="X257" s="332" t="s">
        <v>43</v>
      </c>
      <c r="Y257" s="336" t="s">
        <v>44</v>
      </c>
      <c r="Z257" s="337" t="s">
        <v>45</v>
      </c>
      <c r="AA257" s="336" t="str">
        <f>_xlfn.XLOOKUP($A257,'2026 Approved Budget'!$B:$B,'2026 Approved Budget'!C:C)</f>
        <v>305 Quality</v>
      </c>
      <c r="AB257" s="332" t="s">
        <v>46</v>
      </c>
      <c r="AC257" s="336" t="str">
        <f>_xlfn.XLOOKUP($A257,'2026 Approved Budget'!$B:$B,'2026 Approved Budget'!D:D)</f>
        <v>Christophe Renou-Adamore</v>
      </c>
      <c r="AD257" s="336" t="str">
        <f>_xlfn.XLOOKUP($A257,'2026 Approved Budget'!$B:$B,'2026 Approved Budget'!E:E)</f>
        <v>05. Director</v>
      </c>
      <c r="AE257" s="336" t="str">
        <f>_xlfn.XLOOKUP($A257,'2026 Approved Budget'!$B:$B,'2026 Approved Budget'!F:F)</f>
        <v>DANI Clinical Quality Lead</v>
      </c>
      <c r="AF257" s="338">
        <f>_xlfn.XLOOKUP($A257,'2026 Approved Budget'!$B:$B,'2026 Approved Budget'!H:H)</f>
        <v>45929</v>
      </c>
      <c r="AG257" s="279"/>
    </row>
    <row r="258" spans="1:33" ht="30" hidden="1" customHeight="1" x14ac:dyDescent="0.2">
      <c r="A258" s="239">
        <v>1139</v>
      </c>
      <c r="B258" s="240" t="s">
        <v>804</v>
      </c>
      <c r="C258" s="240" t="s">
        <v>805</v>
      </c>
      <c r="D258" s="240" t="s">
        <v>830</v>
      </c>
      <c r="E258" s="241" t="s">
        <v>34</v>
      </c>
      <c r="F258" s="241" t="s">
        <v>98</v>
      </c>
      <c r="G258" s="242" t="s">
        <v>842</v>
      </c>
      <c r="H258" s="243" t="s">
        <v>37</v>
      </c>
      <c r="I258" s="241"/>
      <c r="J258" s="241"/>
      <c r="K258" s="247" t="s">
        <v>51</v>
      </c>
      <c r="L258" s="246" t="s">
        <v>39</v>
      </c>
      <c r="M258" s="246"/>
      <c r="N258" s="240" t="s">
        <v>843</v>
      </c>
      <c r="O258" s="246">
        <v>10190</v>
      </c>
      <c r="P258" s="241" t="s">
        <v>41</v>
      </c>
      <c r="Q258" s="240" t="s">
        <v>818</v>
      </c>
      <c r="R258" s="240"/>
      <c r="S258" s="240" t="s">
        <v>844</v>
      </c>
      <c r="T258" s="240" t="s">
        <v>833</v>
      </c>
      <c r="U258" s="240"/>
      <c r="V258" s="242"/>
      <c r="W258" s="332" t="s">
        <v>43</v>
      </c>
      <c r="X258" s="332" t="s">
        <v>43</v>
      </c>
      <c r="Y258" s="336" t="s">
        <v>44</v>
      </c>
      <c r="Z258" s="337" t="s">
        <v>45</v>
      </c>
      <c r="AA258" s="336" t="str">
        <f>_xlfn.XLOOKUP($A258,'2026 Approved Budget'!$B:$B,'2026 Approved Budget'!C:C)</f>
        <v>305 Quality</v>
      </c>
      <c r="AB258" s="332" t="s">
        <v>46</v>
      </c>
      <c r="AC258" s="336" t="str">
        <f>_xlfn.XLOOKUP($A258,'2026 Approved Budget'!$B:$B,'2026 Approved Budget'!D:D)</f>
        <v>Karmen Starks</v>
      </c>
      <c r="AD258" s="336" t="str">
        <f>_xlfn.XLOOKUP($A258,'2026 Approved Budget'!$B:$B,'2026 Approved Budget'!E:E)</f>
        <v>05. Director</v>
      </c>
      <c r="AE258" s="336" t="str">
        <f>_xlfn.XLOOKUP($A258,'2026 Approved Budget'!$B:$B,'2026 Approved Budget'!F:F)</f>
        <v>GxP Training</v>
      </c>
      <c r="AF258" s="338">
        <f>_xlfn.XLOOKUP($A258,'2026 Approved Budget'!$B:$B,'2026 Approved Budget'!H:H)</f>
        <v>45902</v>
      </c>
      <c r="AG258" s="254"/>
    </row>
    <row r="259" spans="1:33" ht="30" hidden="1" customHeight="1" x14ac:dyDescent="0.2">
      <c r="A259" s="239">
        <v>1146</v>
      </c>
      <c r="B259" s="240" t="s">
        <v>804</v>
      </c>
      <c r="C259" s="240" t="s">
        <v>805</v>
      </c>
      <c r="D259" s="240" t="s">
        <v>819</v>
      </c>
      <c r="E259" s="241" t="s">
        <v>34</v>
      </c>
      <c r="F259" s="243" t="s">
        <v>138</v>
      </c>
      <c r="G259" s="242" t="s">
        <v>828</v>
      </c>
      <c r="H259" s="243" t="s">
        <v>37</v>
      </c>
      <c r="I259" s="241"/>
      <c r="J259" s="241"/>
      <c r="K259" s="247" t="s">
        <v>130</v>
      </c>
      <c r="L259" s="241" t="s">
        <v>39</v>
      </c>
      <c r="M259" s="241"/>
      <c r="N259" s="240" t="s">
        <v>829</v>
      </c>
      <c r="O259" s="246">
        <v>10132</v>
      </c>
      <c r="P259" s="241" t="s">
        <v>109</v>
      </c>
      <c r="Q259" s="240" t="s">
        <v>812</v>
      </c>
      <c r="R259" s="240">
        <v>10</v>
      </c>
      <c r="S259" s="240"/>
      <c r="T259" s="240" t="s">
        <v>142</v>
      </c>
      <c r="U259" s="240"/>
      <c r="V259" s="242"/>
      <c r="W259" s="332" t="s">
        <v>43</v>
      </c>
      <c r="X259" s="332" t="s">
        <v>43</v>
      </c>
      <c r="Y259" s="336" t="s">
        <v>44</v>
      </c>
      <c r="Z259" s="337" t="s">
        <v>45</v>
      </c>
      <c r="AA259" s="336" t="str">
        <f>_xlfn.XLOOKUP($A259,'2026 Approved Budget'!$B:$B,'2026 Approved Budget'!C:C)</f>
        <v>305 Quality</v>
      </c>
      <c r="AB259" s="332" t="s">
        <v>46</v>
      </c>
      <c r="AC259" s="336" t="str">
        <f>_xlfn.XLOOKUP($A259,'2026 Approved Budget'!$B:$B,'2026 Approved Budget'!D:D)</f>
        <v>Justin Thompson</v>
      </c>
      <c r="AD259" s="336" t="str">
        <f>_xlfn.XLOOKUP($A259,'2026 Approved Budget'!$B:$B,'2026 Approved Budget'!E:E)</f>
        <v>04. AD / Staff Scientist</v>
      </c>
      <c r="AE259" s="336" t="str">
        <f>_xlfn.XLOOKUP($A259,'2026 Approved Budget'!$B:$B,'2026 Approved Budget'!F:F)</f>
        <v>Head of QA/QC Operations</v>
      </c>
      <c r="AF259" s="338">
        <f>_xlfn.XLOOKUP($A259,'2026 Approved Budget'!$B:$B,'2026 Approved Budget'!H:H)</f>
        <v>45670</v>
      </c>
      <c r="AG259" s="254"/>
    </row>
    <row r="260" spans="1:33" ht="15" hidden="1" customHeight="1" x14ac:dyDescent="0.2">
      <c r="A260" s="239">
        <v>1140</v>
      </c>
      <c r="B260" s="240" t="s">
        <v>804</v>
      </c>
      <c r="C260" s="240" t="s">
        <v>805</v>
      </c>
      <c r="D260" s="240" t="s">
        <v>830</v>
      </c>
      <c r="E260" s="241" t="s">
        <v>34</v>
      </c>
      <c r="F260" s="243" t="s">
        <v>117</v>
      </c>
      <c r="G260" s="242" t="s">
        <v>831</v>
      </c>
      <c r="H260" s="243" t="s">
        <v>37</v>
      </c>
      <c r="I260" s="241"/>
      <c r="J260" s="241"/>
      <c r="K260" s="247" t="s">
        <v>130</v>
      </c>
      <c r="L260" s="241" t="s">
        <v>39</v>
      </c>
      <c r="M260" s="241"/>
      <c r="N260" s="240" t="s">
        <v>832</v>
      </c>
      <c r="O260" s="246">
        <v>10166</v>
      </c>
      <c r="P260" s="241" t="s">
        <v>41</v>
      </c>
      <c r="Q260" s="240" t="s">
        <v>818</v>
      </c>
      <c r="R260" s="240"/>
      <c r="S260" s="240"/>
      <c r="T260" s="240" t="s">
        <v>833</v>
      </c>
      <c r="U260" s="240"/>
      <c r="V260" s="242"/>
      <c r="W260" s="332" t="s">
        <v>43</v>
      </c>
      <c r="X260" s="332" t="s">
        <v>43</v>
      </c>
      <c r="Y260" s="336" t="s">
        <v>44</v>
      </c>
      <c r="Z260" s="337" t="s">
        <v>45</v>
      </c>
      <c r="AA260" s="336" t="str">
        <f>_xlfn.XLOOKUP($A260,'2026 Approved Budget'!$B:$B,'2026 Approved Budget'!C:C)</f>
        <v>305 Quality</v>
      </c>
      <c r="AB260" s="332" t="s">
        <v>46</v>
      </c>
      <c r="AC260" s="336" t="str">
        <f>_xlfn.XLOOKUP($A260,'2026 Approved Budget'!$B:$B,'2026 Approved Budget'!D:D)</f>
        <v>Becky Nagel</v>
      </c>
      <c r="AD260" s="336" t="str">
        <f>_xlfn.XLOOKUP($A260,'2026 Approved Budget'!$B:$B,'2026 Approved Budget'!E:E)</f>
        <v>03. Sr. Manager / Sr. Scientist</v>
      </c>
      <c r="AE260" s="336" t="str">
        <f>_xlfn.XLOOKUP($A260,'2026 Approved Budget'!$B:$B,'2026 Approved Budget'!F:F)</f>
        <v>Document and Knowledge Mgmt</v>
      </c>
      <c r="AF260" s="338">
        <f>_xlfn.XLOOKUP($A260,'2026 Approved Budget'!$B:$B,'2026 Approved Budget'!H:H)</f>
        <v>45719</v>
      </c>
      <c r="AG260" s="254"/>
    </row>
    <row r="261" spans="1:33" ht="60" hidden="1" customHeight="1" x14ac:dyDescent="0.2">
      <c r="A261" s="251">
        <v>5225</v>
      </c>
      <c r="B261" s="240" t="s">
        <v>804</v>
      </c>
      <c r="C261" s="240" t="s">
        <v>805</v>
      </c>
      <c r="D261" s="240" t="s">
        <v>845</v>
      </c>
      <c r="E261" s="241" t="s">
        <v>34</v>
      </c>
      <c r="F261" s="243" t="s">
        <v>117</v>
      </c>
      <c r="G261" s="245" t="s">
        <v>846</v>
      </c>
      <c r="H261" s="243" t="s">
        <v>37</v>
      </c>
      <c r="I261" s="243">
        <v>2</v>
      </c>
      <c r="J261" s="243"/>
      <c r="K261" s="247" t="s">
        <v>61</v>
      </c>
      <c r="L261" s="246" t="s">
        <v>39</v>
      </c>
      <c r="M261" s="246"/>
      <c r="N261" s="245" t="s">
        <v>847</v>
      </c>
      <c r="O261" s="243">
        <v>10262</v>
      </c>
      <c r="P261" s="246" t="s">
        <v>41</v>
      </c>
      <c r="Q261" s="240" t="s">
        <v>836</v>
      </c>
      <c r="R261" s="245" t="s">
        <v>848</v>
      </c>
      <c r="S261" s="245" t="s">
        <v>849</v>
      </c>
      <c r="T261" s="245" t="s">
        <v>850</v>
      </c>
      <c r="U261" s="240"/>
      <c r="V261" s="245"/>
      <c r="W261" s="332" t="s">
        <v>43</v>
      </c>
      <c r="X261" s="332" t="s">
        <v>43</v>
      </c>
      <c r="Y261" s="336" t="s">
        <v>44</v>
      </c>
      <c r="Z261" s="337" t="s">
        <v>45</v>
      </c>
      <c r="AA261" s="336" t="str">
        <f>_xlfn.XLOOKUP($A261,'2026 Approved Budget'!$B:$B,'2026 Approved Budget'!C:C)</f>
        <v>305 Quality</v>
      </c>
      <c r="AB261" s="332" t="s">
        <v>46</v>
      </c>
      <c r="AC261" s="336" t="str">
        <f>_xlfn.XLOOKUP($A261,'2026 Approved Budget'!$B:$B,'2026 Approved Budget'!D:D)</f>
        <v>CW: Sabrina Santiago</v>
      </c>
      <c r="AD261" s="336" t="str">
        <f>_xlfn.XLOOKUP($A261,'2026 Approved Budget'!$B:$B,'2026 Approved Budget'!E:E)</f>
        <v>03. Sr. Manager / Sr. Scientist</v>
      </c>
      <c r="AE261" s="336" t="str">
        <f>_xlfn.XLOOKUP($A261,'2026 Approved Budget'!$B:$B,'2026 Approved Budget'!F:F)</f>
        <v>GxP Compliance Operations</v>
      </c>
      <c r="AF261" s="338">
        <f>_xlfn.XLOOKUP($A261,'2026 Approved Budget'!$B:$B,'2026 Approved Budget'!H:H)</f>
        <v>46096</v>
      </c>
      <c r="AG261" s="254" t="s">
        <v>851</v>
      </c>
    </row>
    <row r="262" spans="1:33" ht="30" hidden="1" customHeight="1" x14ac:dyDescent="0.2">
      <c r="A262" s="239">
        <v>1143</v>
      </c>
      <c r="B262" s="248" t="s">
        <v>804</v>
      </c>
      <c r="C262" s="248" t="s">
        <v>805</v>
      </c>
      <c r="D262" s="249" t="s">
        <v>830</v>
      </c>
      <c r="E262" s="250" t="s">
        <v>180</v>
      </c>
      <c r="F262" s="251" t="s">
        <v>138</v>
      </c>
      <c r="G262" s="252" t="s">
        <v>869</v>
      </c>
      <c r="H262" s="251" t="s">
        <v>37</v>
      </c>
      <c r="I262" s="250">
        <v>2</v>
      </c>
      <c r="J262" s="250"/>
      <c r="K262" s="253" t="s">
        <v>61</v>
      </c>
      <c r="L262" s="239" t="s">
        <v>182</v>
      </c>
      <c r="M262" s="239"/>
      <c r="N262" s="248" t="s">
        <v>870</v>
      </c>
      <c r="O262" s="239"/>
      <c r="P262" s="239" t="s">
        <v>41</v>
      </c>
      <c r="Q262" s="248" t="s">
        <v>818</v>
      </c>
      <c r="R262" s="248" t="s">
        <v>871</v>
      </c>
      <c r="S262" s="248" t="s">
        <v>872</v>
      </c>
      <c r="T262" s="248" t="s">
        <v>833</v>
      </c>
      <c r="U262" s="248"/>
      <c r="V262" s="252"/>
      <c r="W262" s="335" t="s">
        <v>184</v>
      </c>
      <c r="X262" s="335" t="s">
        <v>184</v>
      </c>
      <c r="Y262" s="335" t="s">
        <v>873</v>
      </c>
      <c r="Z262" s="335"/>
      <c r="AA262" s="336" t="str">
        <f>_xlfn.XLOOKUP($A262,'2026 Approved Budget'!$B:$B,'2026 Approved Budget'!C:C)</f>
        <v>305 Quality</v>
      </c>
      <c r="AB262" s="332" t="s">
        <v>185</v>
      </c>
      <c r="AC262" s="336" t="str">
        <f>_xlfn.XLOOKUP($A262,'2026 Approved Budget'!$B:$B,'2026 Approved Budget'!D:D)</f>
        <v>11/3: Convert in 2027; CW: Lori Richter (CW with us Q3-Q4)</v>
      </c>
      <c r="AD262" s="336" t="str">
        <f>_xlfn.XLOOKUP($A262,'2026 Approved Budget'!$B:$B,'2026 Approved Budget'!E:E)</f>
        <v>04. AD / Staff Scientist</v>
      </c>
      <c r="AE262" s="336" t="str">
        <f>_xlfn.XLOOKUP($A262,'2026 Approved Budget'!$B:$B,'2026 Approved Budget'!F:F)</f>
        <v>QMS Lead</v>
      </c>
      <c r="AF262" s="338">
        <f>_xlfn.XLOOKUP($A262,'2026 Approved Budget'!$B:$B,'2026 Approved Budget'!H:H)</f>
        <v>46461</v>
      </c>
      <c r="AG262" s="254"/>
    </row>
    <row r="263" spans="1:33" ht="60" hidden="1" customHeight="1" x14ac:dyDescent="0.2">
      <c r="A263" s="239">
        <v>5224</v>
      </c>
      <c r="B263" s="248" t="s">
        <v>804</v>
      </c>
      <c r="C263" s="248" t="s">
        <v>805</v>
      </c>
      <c r="D263" s="248" t="s">
        <v>864</v>
      </c>
      <c r="E263" s="250" t="s">
        <v>464</v>
      </c>
      <c r="F263" s="251" t="s">
        <v>117</v>
      </c>
      <c r="G263" s="252" t="s">
        <v>865</v>
      </c>
      <c r="H263" s="251" t="s">
        <v>37</v>
      </c>
      <c r="I263" s="250">
        <v>2</v>
      </c>
      <c r="J263" s="250"/>
      <c r="K263" s="253" t="s">
        <v>114</v>
      </c>
      <c r="L263" s="239" t="s">
        <v>182</v>
      </c>
      <c r="M263" s="239"/>
      <c r="N263" s="248" t="s">
        <v>866</v>
      </c>
      <c r="O263" s="239"/>
      <c r="P263" s="239" t="s">
        <v>41</v>
      </c>
      <c r="Q263" s="248" t="s">
        <v>818</v>
      </c>
      <c r="R263" s="248" t="s">
        <v>867</v>
      </c>
      <c r="S263" s="248" t="s">
        <v>868</v>
      </c>
      <c r="T263" s="248" t="s">
        <v>833</v>
      </c>
      <c r="U263" s="248"/>
      <c r="V263" s="252"/>
      <c r="W263" s="335" t="s">
        <v>184</v>
      </c>
      <c r="X263" s="335" t="s">
        <v>184</v>
      </c>
      <c r="Y263" s="335" t="s">
        <v>185</v>
      </c>
      <c r="Z263" s="335"/>
      <c r="AA263" s="336" t="e">
        <f>_xlfn.XLOOKUP($A263,'2026 Approved Budget'!$B:$B,'2026 Approved Budget'!C:C)</f>
        <v>#N/A</v>
      </c>
      <c r="AB263" s="332" t="s">
        <v>185</v>
      </c>
      <c r="AC263" s="336" t="e">
        <f>_xlfn.XLOOKUP($A263,'2026 Approved Budget'!$B:$B,'2026 Approved Budget'!D:D)</f>
        <v>#N/A</v>
      </c>
      <c r="AD263" s="336" t="e">
        <f>_xlfn.XLOOKUP($A263,'2026 Approved Budget'!$B:$B,'2026 Approved Budget'!E:E)</f>
        <v>#N/A</v>
      </c>
      <c r="AE263" s="336" t="e">
        <f>_xlfn.XLOOKUP($A263,'2026 Approved Budget'!$B:$B,'2026 Approved Budget'!F:F)</f>
        <v>#N/A</v>
      </c>
      <c r="AF263" s="338" t="e">
        <f>_xlfn.XLOOKUP($A263,'2026 Approved Budget'!$B:$B,'2026 Approved Budget'!H:H)</f>
        <v>#N/A</v>
      </c>
      <c r="AG263" s="254"/>
    </row>
    <row r="264" spans="1:33" ht="45" customHeight="1" x14ac:dyDescent="0.2">
      <c r="A264" s="239">
        <v>1127</v>
      </c>
      <c r="B264" s="248" t="s">
        <v>804</v>
      </c>
      <c r="C264" s="248" t="s">
        <v>805</v>
      </c>
      <c r="D264" s="248" t="s">
        <v>852</v>
      </c>
      <c r="E264" s="250" t="s">
        <v>34</v>
      </c>
      <c r="F264" s="251" t="s">
        <v>117</v>
      </c>
      <c r="G264" s="252" t="s">
        <v>853</v>
      </c>
      <c r="H264" s="251" t="s">
        <v>37</v>
      </c>
      <c r="I264" s="250">
        <v>2</v>
      </c>
      <c r="J264" s="250"/>
      <c r="K264" s="253" t="s">
        <v>71</v>
      </c>
      <c r="L264" s="239" t="s">
        <v>182</v>
      </c>
      <c r="M264" s="239" t="s">
        <v>83</v>
      </c>
      <c r="N264" s="248" t="s">
        <v>854</v>
      </c>
      <c r="O264" s="239"/>
      <c r="P264" s="239" t="s">
        <v>41</v>
      </c>
      <c r="Q264" s="248" t="s">
        <v>853</v>
      </c>
      <c r="R264" s="248" t="s">
        <v>855</v>
      </c>
      <c r="S264" s="248" t="s">
        <v>856</v>
      </c>
      <c r="T264" s="248"/>
      <c r="U264" s="248"/>
      <c r="V264" s="252"/>
      <c r="W264" s="332" t="s">
        <v>43</v>
      </c>
      <c r="X264" s="332" t="s">
        <v>43</v>
      </c>
      <c r="Y264" s="275" t="s">
        <v>69</v>
      </c>
      <c r="Z264" s="337" t="s">
        <v>45</v>
      </c>
      <c r="AA264" s="336" t="str">
        <f>_xlfn.XLOOKUP($A264,'2026 Approved Budget'!$B:$B,'2026 Approved Budget'!C:C)</f>
        <v>305 Quality</v>
      </c>
      <c r="AB264" s="332" t="s">
        <v>46</v>
      </c>
      <c r="AC264" s="336" t="str">
        <f>_xlfn.XLOOKUP($A264,'2026 Approved Budget'!$B:$B,'2026 Approved Budget'!D:D)</f>
        <v>CW: Susan Lin</v>
      </c>
      <c r="AD264" s="336" t="str">
        <f>_xlfn.XLOOKUP($A264,'2026 Approved Budget'!$B:$B,'2026 Approved Budget'!E:E)</f>
        <v>03. Sr. Manager / Sr. Scientist</v>
      </c>
      <c r="AE264" s="336" t="str">
        <f>_xlfn.XLOOKUP($A264,'2026 Approved Budget'!$B:$B,'2026 Approved Budget'!F:F)</f>
        <v>Quality Operations</v>
      </c>
      <c r="AF264" s="338">
        <f>_xlfn.XLOOKUP($A264,'2026 Approved Budget'!$B:$B,'2026 Approved Budget'!H:H)</f>
        <v>46188</v>
      </c>
      <c r="AG264" s="254" t="s">
        <v>857</v>
      </c>
    </row>
    <row r="265" spans="1:33" ht="150" customHeight="1" x14ac:dyDescent="0.2">
      <c r="A265" s="239">
        <v>1141</v>
      </c>
      <c r="B265" s="248" t="s">
        <v>804</v>
      </c>
      <c r="C265" s="248" t="s">
        <v>805</v>
      </c>
      <c r="D265" s="248" t="s">
        <v>830</v>
      </c>
      <c r="E265" s="250" t="s">
        <v>34</v>
      </c>
      <c r="F265" s="251" t="s">
        <v>58</v>
      </c>
      <c r="G265" s="252" t="s">
        <v>858</v>
      </c>
      <c r="H265" s="251" t="s">
        <v>37</v>
      </c>
      <c r="I265" s="250">
        <v>1</v>
      </c>
      <c r="J265" s="250"/>
      <c r="K265" s="253" t="s">
        <v>71</v>
      </c>
      <c r="L265" s="250" t="s">
        <v>62</v>
      </c>
      <c r="M265" s="250" t="s">
        <v>83</v>
      </c>
      <c r="N265" s="248" t="s">
        <v>859</v>
      </c>
      <c r="O265" s="239"/>
      <c r="P265" s="239" t="s">
        <v>41</v>
      </c>
      <c r="Q265" s="248" t="s">
        <v>860</v>
      </c>
      <c r="R265" s="248" t="s">
        <v>861</v>
      </c>
      <c r="S265" s="248" t="s">
        <v>862</v>
      </c>
      <c r="T265" s="248" t="s">
        <v>111</v>
      </c>
      <c r="U265" s="248"/>
      <c r="V265" s="252"/>
      <c r="W265" s="332" t="s">
        <v>43</v>
      </c>
      <c r="X265" s="332" t="s">
        <v>43</v>
      </c>
      <c r="Y265" s="275" t="s">
        <v>69</v>
      </c>
      <c r="Z265" s="337" t="s">
        <v>45</v>
      </c>
      <c r="AA265" s="336" t="str">
        <f>_xlfn.XLOOKUP($A265,'2026 Approved Budget'!$B:$B,'2026 Approved Budget'!C:C)</f>
        <v>305 Quality</v>
      </c>
      <c r="AB265" s="332" t="s">
        <v>46</v>
      </c>
      <c r="AC265" s="336" t="str">
        <f>_xlfn.XLOOKUP($A265,'2026 Approved Budget'!$B:$B,'2026 Approved Budget'!D:D)</f>
        <v>CW: J. Dinh onboard. Partial CW in Q1. Full time CW Q2. If TLA data  +, convert to FTE Q4</v>
      </c>
      <c r="AD265" s="336" t="str">
        <f>_xlfn.XLOOKUP($A265,'2026 Approved Budget'!$B:$B,'2026 Approved Budget'!E:E)</f>
        <v>06. Sr. Director</v>
      </c>
      <c r="AE265" s="336" t="str">
        <f>_xlfn.XLOOKUP($A265,'2026 Approved Budget'!$B:$B,'2026 Approved Budget'!F:F)</f>
        <v>CSA/Data Integrity Head</v>
      </c>
      <c r="AF265" s="338">
        <f>_xlfn.XLOOKUP($A265,'2026 Approved Budget'!$B:$B,'2026 Approved Budget'!H:H)</f>
        <v>46188</v>
      </c>
      <c r="AG265" s="254"/>
    </row>
    <row r="266" spans="1:33" ht="60" hidden="1" customHeight="1" x14ac:dyDescent="0.2">
      <c r="A266" s="239">
        <v>1135</v>
      </c>
      <c r="B266" s="248" t="s">
        <v>804</v>
      </c>
      <c r="C266" s="248" t="s">
        <v>805</v>
      </c>
      <c r="D266" s="248" t="s">
        <v>822</v>
      </c>
      <c r="E266" s="250" t="s">
        <v>180</v>
      </c>
      <c r="F266" s="250" t="s">
        <v>98</v>
      </c>
      <c r="G266" s="280" t="s">
        <v>874</v>
      </c>
      <c r="H266" s="251" t="s">
        <v>50</v>
      </c>
      <c r="I266" s="250">
        <v>2</v>
      </c>
      <c r="J266" s="250"/>
      <c r="K266" s="253" t="s">
        <v>61</v>
      </c>
      <c r="L266" s="239"/>
      <c r="M266" s="239"/>
      <c r="N266" s="248" t="s">
        <v>276</v>
      </c>
      <c r="O266" s="239"/>
      <c r="P266" s="250" t="s">
        <v>128</v>
      </c>
      <c r="Q266" s="248" t="s">
        <v>815</v>
      </c>
      <c r="R266" s="248" t="s">
        <v>839</v>
      </c>
      <c r="S266" s="248" t="s">
        <v>875</v>
      </c>
      <c r="T266" s="248" t="s">
        <v>841</v>
      </c>
      <c r="U266" s="248"/>
      <c r="V266" s="280"/>
      <c r="W266" s="335" t="s">
        <v>184</v>
      </c>
      <c r="X266" s="335" t="s">
        <v>184</v>
      </c>
      <c r="Y266" s="335" t="s">
        <v>873</v>
      </c>
      <c r="Z266" s="335"/>
      <c r="AA266" s="336" t="str">
        <f>_xlfn.XLOOKUP($A266,'2026 Approved Budget'!$B:$B,'2026 Approved Budget'!C:C)</f>
        <v>305 Quality</v>
      </c>
      <c r="AB266" s="332" t="s">
        <v>185</v>
      </c>
      <c r="AC266" s="336" t="str">
        <f>_xlfn.XLOOKUP($A266,'2026 Approved Budget'!$B:$B,'2026 Approved Budget'!D:D)</f>
        <v>11/3: Convert in 2027</v>
      </c>
      <c r="AD266" s="336" t="str">
        <f>_xlfn.XLOOKUP($A266,'2026 Approved Budget'!$B:$B,'2026 Approved Budget'!E:E)</f>
        <v>05. Director</v>
      </c>
      <c r="AE266" s="336" t="str">
        <f>_xlfn.XLOOKUP($A266,'2026 Approved Budget'!$B:$B,'2026 Approved Budget'!F:F)</f>
        <v>TLA Clinical Quality Lead</v>
      </c>
      <c r="AF266" s="338">
        <f>_xlfn.XLOOKUP($A266,'2026 Approved Budget'!$B:$B,'2026 Approved Budget'!H:H)</f>
        <v>46461</v>
      </c>
      <c r="AG266" s="254"/>
    </row>
    <row r="267" spans="1:33" ht="120" hidden="1" customHeight="1" x14ac:dyDescent="0.2">
      <c r="A267" s="239">
        <v>1150</v>
      </c>
      <c r="B267" s="248" t="s">
        <v>804</v>
      </c>
      <c r="C267" s="248" t="s">
        <v>805</v>
      </c>
      <c r="D267" s="248" t="s">
        <v>819</v>
      </c>
      <c r="E267" s="250" t="s">
        <v>180</v>
      </c>
      <c r="F267" s="250" t="s">
        <v>98</v>
      </c>
      <c r="G267" s="252" t="s">
        <v>876</v>
      </c>
      <c r="H267" s="251" t="s">
        <v>37</v>
      </c>
      <c r="I267" s="250">
        <v>2</v>
      </c>
      <c r="J267" s="250"/>
      <c r="K267" s="253" t="s">
        <v>61</v>
      </c>
      <c r="L267" s="250"/>
      <c r="M267" s="250"/>
      <c r="N267" s="248" t="s">
        <v>276</v>
      </c>
      <c r="O267" s="239"/>
      <c r="P267" s="250" t="s">
        <v>128</v>
      </c>
      <c r="Q267" s="248" t="s">
        <v>812</v>
      </c>
      <c r="R267" s="248" t="s">
        <v>877</v>
      </c>
      <c r="S267" s="248" t="s">
        <v>878</v>
      </c>
      <c r="T267" s="248" t="s">
        <v>142</v>
      </c>
      <c r="U267" s="248"/>
      <c r="V267" s="252"/>
      <c r="W267" s="335" t="s">
        <v>184</v>
      </c>
      <c r="X267" s="335" t="s">
        <v>184</v>
      </c>
      <c r="Y267" s="335" t="s">
        <v>873</v>
      </c>
      <c r="Z267" s="335"/>
      <c r="AA267" s="336" t="str">
        <f>_xlfn.XLOOKUP($A267,'2026 Approved Budget'!$B:$B,'2026 Approved Budget'!C:C)</f>
        <v>305 Quality</v>
      </c>
      <c r="AB267" s="332" t="s">
        <v>185</v>
      </c>
      <c r="AC267" s="336" t="str">
        <f>_xlfn.XLOOKUP($A267,'2026 Approved Budget'!$B:$B,'2026 Approved Budget'!D:D)</f>
        <v>11/3: Convert in 2027</v>
      </c>
      <c r="AD267" s="336" t="str">
        <f>_xlfn.XLOOKUP($A267,'2026 Approved Budget'!$B:$B,'2026 Approved Budget'!E:E)</f>
        <v>05. Director</v>
      </c>
      <c r="AE267" s="336" t="str">
        <f>_xlfn.XLOOKUP($A267,'2026 Approved Budget'!$B:$B,'2026 Approved Budget'!F:F)</f>
        <v>Product Quality Lead Dani</v>
      </c>
      <c r="AF267" s="338">
        <f>_xlfn.XLOOKUP($A267,'2026 Approved Budget'!$B:$B,'2026 Approved Budget'!H:H)</f>
        <v>46461</v>
      </c>
      <c r="AG267" s="254"/>
    </row>
    <row r="268" spans="1:33" ht="45" hidden="1" customHeight="1" x14ac:dyDescent="0.2">
      <c r="A268" s="251">
        <v>5244</v>
      </c>
      <c r="B268" s="248" t="s">
        <v>804</v>
      </c>
      <c r="C268" s="248" t="s">
        <v>805</v>
      </c>
      <c r="D268" s="248" t="s">
        <v>845</v>
      </c>
      <c r="E268" s="250" t="s">
        <v>180</v>
      </c>
      <c r="F268" s="250" t="s">
        <v>98</v>
      </c>
      <c r="G268" s="249" t="s">
        <v>879</v>
      </c>
      <c r="H268" s="251" t="s">
        <v>50</v>
      </c>
      <c r="I268" s="251">
        <v>2</v>
      </c>
      <c r="J268" s="251"/>
      <c r="K268" s="253" t="s">
        <v>61</v>
      </c>
      <c r="L268" s="251"/>
      <c r="M268" s="251"/>
      <c r="N268" s="248" t="s">
        <v>276</v>
      </c>
      <c r="O268" s="251"/>
      <c r="P268" s="239" t="s">
        <v>41</v>
      </c>
      <c r="Q268" s="248" t="s">
        <v>836</v>
      </c>
      <c r="R268" s="249" t="s">
        <v>848</v>
      </c>
      <c r="S268" s="249" t="s">
        <v>880</v>
      </c>
      <c r="T268" s="248" t="s">
        <v>111</v>
      </c>
      <c r="U268" s="248"/>
      <c r="V268" s="249"/>
      <c r="W268" s="335" t="s">
        <v>184</v>
      </c>
      <c r="X268" s="335" t="s">
        <v>184</v>
      </c>
      <c r="Y268" s="335" t="s">
        <v>873</v>
      </c>
      <c r="Z268" s="335"/>
      <c r="AA268" s="336" t="str">
        <f>_xlfn.XLOOKUP($A268,'2026 Approved Budget'!$B:$B,'2026 Approved Budget'!C:C)</f>
        <v>305 Quality</v>
      </c>
      <c r="AB268" s="332" t="s">
        <v>185</v>
      </c>
      <c r="AC268" s="336" t="str">
        <f>_xlfn.XLOOKUP($A268,'2026 Approved Budget'!$B:$B,'2026 Approved Budget'!D:D)</f>
        <v>11/3: Convert in 2027</v>
      </c>
      <c r="AD268" s="336" t="str">
        <f>_xlfn.XLOOKUP($A268,'2026 Approved Budget'!$B:$B,'2026 Approved Budget'!E:E)</f>
        <v>05. Director</v>
      </c>
      <c r="AE268" s="336" t="str">
        <f>_xlfn.XLOOKUP($A268,'2026 Approved Budget'!$B:$B,'2026 Approved Budget'!F:F)</f>
        <v>GCP Audit Lead</v>
      </c>
      <c r="AF268" s="338">
        <f>_xlfn.XLOOKUP($A268,'2026 Approved Budget'!$B:$B,'2026 Approved Budget'!H:H)</f>
        <v>46461</v>
      </c>
      <c r="AG268" s="254"/>
    </row>
    <row r="269" spans="1:33" ht="60" hidden="1" customHeight="1" x14ac:dyDescent="0.2">
      <c r="A269" s="239">
        <v>1138</v>
      </c>
      <c r="B269" s="248" t="s">
        <v>804</v>
      </c>
      <c r="C269" s="248" t="s">
        <v>805</v>
      </c>
      <c r="D269" s="248" t="s">
        <v>845</v>
      </c>
      <c r="E269" s="250" t="s">
        <v>180</v>
      </c>
      <c r="F269" s="250" t="s">
        <v>98</v>
      </c>
      <c r="G269" s="252" t="s">
        <v>890</v>
      </c>
      <c r="H269" s="251" t="s">
        <v>37</v>
      </c>
      <c r="I269" s="250">
        <v>2</v>
      </c>
      <c r="J269" s="250"/>
      <c r="K269" s="253" t="s">
        <v>100</v>
      </c>
      <c r="L269" s="239"/>
      <c r="M269" s="239"/>
      <c r="N269" s="248" t="s">
        <v>276</v>
      </c>
      <c r="O269" s="239"/>
      <c r="P269" s="239" t="s">
        <v>41</v>
      </c>
      <c r="Q269" s="248" t="s">
        <v>836</v>
      </c>
      <c r="R269" s="248" t="s">
        <v>891</v>
      </c>
      <c r="S269" s="248" t="s">
        <v>892</v>
      </c>
      <c r="T269" s="248" t="s">
        <v>111</v>
      </c>
      <c r="U269" s="248"/>
      <c r="V269" s="252"/>
      <c r="W269" s="335" t="s">
        <v>184</v>
      </c>
      <c r="X269" s="335" t="s">
        <v>184</v>
      </c>
      <c r="Y269" s="335" t="s">
        <v>873</v>
      </c>
      <c r="Z269" s="335"/>
      <c r="AA269" s="336" t="str">
        <f>_xlfn.XLOOKUP($A269,'2026 Approved Budget'!$B:$B,'2026 Approved Budget'!C:C)</f>
        <v>305 Quality</v>
      </c>
      <c r="AB269" s="332" t="s">
        <v>185</v>
      </c>
      <c r="AC269" s="336" t="str">
        <f>_xlfn.XLOOKUP($A269,'2026 Approved Budget'!$B:$B,'2026 Approved Budget'!D:D)</f>
        <v>11/3: Convert in 2027</v>
      </c>
      <c r="AD269" s="336" t="str">
        <f>_xlfn.XLOOKUP($A269,'2026 Approved Budget'!$B:$B,'2026 Approved Budget'!E:E)</f>
        <v>05. Director</v>
      </c>
      <c r="AE269" s="336" t="str">
        <f>_xlfn.XLOOKUP($A269,'2026 Approved Budget'!$B:$B,'2026 Approved Budget'!F:F)</f>
        <v>Inspection readiness GCP Lead</v>
      </c>
      <c r="AF269" s="338">
        <f>_xlfn.XLOOKUP($A269,'2026 Approved Budget'!$B:$B,'2026 Approved Budget'!H:H)</f>
        <v>46461</v>
      </c>
      <c r="AG269" s="254"/>
    </row>
    <row r="270" spans="1:33" ht="30" customHeight="1" x14ac:dyDescent="0.2">
      <c r="A270" s="239">
        <v>1132</v>
      </c>
      <c r="B270" s="248" t="s">
        <v>804</v>
      </c>
      <c r="C270" s="248" t="s">
        <v>805</v>
      </c>
      <c r="D270" s="248" t="s">
        <v>822</v>
      </c>
      <c r="E270" s="250" t="s">
        <v>34</v>
      </c>
      <c r="F270" s="250" t="s">
        <v>98</v>
      </c>
      <c r="G270" s="256" t="s">
        <v>823</v>
      </c>
      <c r="H270" s="251" t="s">
        <v>50</v>
      </c>
      <c r="I270" s="250">
        <v>3</v>
      </c>
      <c r="J270" s="250"/>
      <c r="K270" s="253" t="s">
        <v>71</v>
      </c>
      <c r="L270" s="250"/>
      <c r="M270" s="250" t="s">
        <v>83</v>
      </c>
      <c r="N270" s="248" t="s">
        <v>824</v>
      </c>
      <c r="O270" s="239">
        <v>10182</v>
      </c>
      <c r="P270" s="250" t="s">
        <v>159</v>
      </c>
      <c r="Q270" s="248" t="s">
        <v>815</v>
      </c>
      <c r="R270" s="248"/>
      <c r="S270" s="248"/>
      <c r="T270" s="248"/>
      <c r="U270" s="248"/>
      <c r="V270" s="256"/>
      <c r="W270" s="332" t="s">
        <v>43</v>
      </c>
      <c r="X270" s="332" t="s">
        <v>43</v>
      </c>
      <c r="Y270" s="336" t="s">
        <v>44</v>
      </c>
      <c r="Z270" s="337" t="s">
        <v>45</v>
      </c>
      <c r="AA270" s="336" t="str">
        <f>_xlfn.XLOOKUP($A270,'2026 Approved Budget'!$B:$B,'2026 Approved Budget'!C:C)</f>
        <v>305 Quality</v>
      </c>
      <c r="AB270" s="332" t="s">
        <v>46</v>
      </c>
      <c r="AC270" s="336" t="str">
        <f>_xlfn.XLOOKUP($A270,'2026 Approved Budget'!$B:$B,'2026 Approved Budget'!D:D)</f>
        <v>Shaun Gordon</v>
      </c>
      <c r="AD270" s="336" t="str">
        <f>_xlfn.XLOOKUP($A270,'2026 Approved Budget'!$B:$B,'2026 Approved Budget'!E:E)</f>
        <v>05. Director</v>
      </c>
      <c r="AE270" s="336" t="str">
        <f>_xlfn.XLOOKUP($A270,'2026 Approved Budget'!$B:$B,'2026 Approved Budget'!F:F)</f>
        <v>ATA/KAR 141 Clinical Quality Lead</v>
      </c>
      <c r="AF270" s="338">
        <f>_xlfn.XLOOKUP($A270,'2026 Approved Budget'!$B:$B,'2026 Approved Budget'!H:H)</f>
        <v>45740</v>
      </c>
      <c r="AG270" s="254"/>
    </row>
    <row r="271" spans="1:33" ht="60" customHeight="1" x14ac:dyDescent="0.2">
      <c r="A271" s="251">
        <v>5247</v>
      </c>
      <c r="B271" s="248" t="s">
        <v>804</v>
      </c>
      <c r="C271" s="248" t="s">
        <v>805</v>
      </c>
      <c r="D271" s="248" t="s">
        <v>845</v>
      </c>
      <c r="E271" s="250" t="s">
        <v>34</v>
      </c>
      <c r="F271" s="250" t="s">
        <v>98</v>
      </c>
      <c r="G271" s="249" t="s">
        <v>863</v>
      </c>
      <c r="H271" s="251" t="s">
        <v>37</v>
      </c>
      <c r="I271" s="251">
        <v>4</v>
      </c>
      <c r="J271" s="251"/>
      <c r="K271" s="253" t="s">
        <v>100</v>
      </c>
      <c r="L271" s="251"/>
      <c r="M271" s="251" t="s">
        <v>83</v>
      </c>
      <c r="N271" s="249"/>
      <c r="O271" s="251"/>
      <c r="P271" s="239" t="s">
        <v>41</v>
      </c>
      <c r="Q271" s="248" t="s">
        <v>836</v>
      </c>
      <c r="R271" s="249" t="s">
        <v>848</v>
      </c>
      <c r="S271" s="249"/>
      <c r="T271" s="248" t="s">
        <v>111</v>
      </c>
      <c r="U271" s="248"/>
      <c r="V271" s="249"/>
      <c r="W271" s="332" t="s">
        <v>43</v>
      </c>
      <c r="X271" s="332" t="s">
        <v>43</v>
      </c>
      <c r="Y271" s="275" t="s">
        <v>69</v>
      </c>
      <c r="Z271" s="337" t="s">
        <v>45</v>
      </c>
      <c r="AA271" s="336" t="str">
        <f>_xlfn.XLOOKUP($A271,'2026 Approved Budget'!$B:$B,'2026 Approved Budget'!C:C)</f>
        <v>305 Quality</v>
      </c>
      <c r="AB271" s="332" t="s">
        <v>46</v>
      </c>
      <c r="AC271" s="336" t="str">
        <f>_xlfn.XLOOKUP($A271,'2026 Approved Budget'!$B:$B,'2026 Approved Budget'!D:D)</f>
        <v>TBD</v>
      </c>
      <c r="AD271" s="336" t="str">
        <f>_xlfn.XLOOKUP($A271,'2026 Approved Budget'!$B:$B,'2026 Approved Budget'!E:E)</f>
        <v>05. Director</v>
      </c>
      <c r="AE271" s="336" t="str">
        <f>_xlfn.XLOOKUP($A271,'2026 Approved Budget'!$B:$B,'2026 Approved Budget'!F:F)</f>
        <v>Inspection Readiness GMP Lead</v>
      </c>
      <c r="AF271" s="338">
        <f>_xlfn.XLOOKUP($A271,'2026 Approved Budget'!$B:$B,'2026 Approved Budget'!H:H)</f>
        <v>46280</v>
      </c>
      <c r="AG271" s="254"/>
    </row>
    <row r="272" spans="1:33" ht="60" hidden="1" customHeight="1" x14ac:dyDescent="0.2">
      <c r="A272" s="251">
        <v>5234</v>
      </c>
      <c r="B272" s="248" t="s">
        <v>804</v>
      </c>
      <c r="C272" s="248" t="s">
        <v>805</v>
      </c>
      <c r="D272" s="249" t="s">
        <v>830</v>
      </c>
      <c r="E272" s="250" t="s">
        <v>180</v>
      </c>
      <c r="F272" s="251" t="s">
        <v>138</v>
      </c>
      <c r="G272" s="249" t="s">
        <v>888</v>
      </c>
      <c r="H272" s="251" t="s">
        <v>50</v>
      </c>
      <c r="I272" s="251">
        <v>2</v>
      </c>
      <c r="J272" s="251"/>
      <c r="K272" s="253" t="s">
        <v>71</v>
      </c>
      <c r="L272" s="251"/>
      <c r="M272" s="251"/>
      <c r="N272" s="248" t="s">
        <v>276</v>
      </c>
      <c r="O272" s="251"/>
      <c r="P272" s="239" t="s">
        <v>41</v>
      </c>
      <c r="Q272" s="248" t="s">
        <v>818</v>
      </c>
      <c r="R272" s="249" t="s">
        <v>889</v>
      </c>
      <c r="S272" s="249" t="s">
        <v>872</v>
      </c>
      <c r="T272" s="249" t="s">
        <v>111</v>
      </c>
      <c r="U272" s="248"/>
      <c r="V272" s="249"/>
      <c r="W272" s="335" t="s">
        <v>184</v>
      </c>
      <c r="X272" s="335" t="s">
        <v>184</v>
      </c>
      <c r="Y272" s="335" t="s">
        <v>873</v>
      </c>
      <c r="Z272" s="335"/>
      <c r="AA272" s="336" t="str">
        <f>_xlfn.XLOOKUP($A272,'2026 Approved Budget'!$B:$B,'2026 Approved Budget'!C:C)</f>
        <v>305 Quality</v>
      </c>
      <c r="AB272" s="332" t="s">
        <v>185</v>
      </c>
      <c r="AC272" s="336" t="str">
        <f>_xlfn.XLOOKUP($A272,'2026 Approved Budget'!$B:$B,'2026 Approved Budget'!D:D)</f>
        <v>11/3: Convert in 2027</v>
      </c>
      <c r="AD272" s="336" t="str">
        <f>_xlfn.XLOOKUP($A272,'2026 Approved Budget'!$B:$B,'2026 Approved Budget'!E:E)</f>
        <v>04. AD / Staff Scientist</v>
      </c>
      <c r="AE272" s="336" t="str">
        <f>_xlfn.XLOOKUP($A272,'2026 Approved Budget'!$B:$B,'2026 Approved Budget'!F:F)</f>
        <v>QRM Lead</v>
      </c>
      <c r="AF272" s="338">
        <f>_xlfn.XLOOKUP($A272,'2026 Approved Budget'!$B:$B,'2026 Approved Budget'!H:H)</f>
        <v>46461</v>
      </c>
      <c r="AG272" s="254"/>
    </row>
    <row r="273" spans="1:33" ht="90" hidden="1" customHeight="1" x14ac:dyDescent="0.2">
      <c r="A273" s="251">
        <v>5226</v>
      </c>
      <c r="B273" s="248" t="s">
        <v>804</v>
      </c>
      <c r="C273" s="248" t="s">
        <v>805</v>
      </c>
      <c r="D273" s="252" t="s">
        <v>830</v>
      </c>
      <c r="E273" s="250" t="s">
        <v>180</v>
      </c>
      <c r="F273" s="251" t="s">
        <v>117</v>
      </c>
      <c r="G273" s="249" t="s">
        <v>881</v>
      </c>
      <c r="H273" s="251" t="s">
        <v>37</v>
      </c>
      <c r="I273" s="251">
        <v>2</v>
      </c>
      <c r="J273" s="251"/>
      <c r="K273" s="253" t="s">
        <v>61</v>
      </c>
      <c r="L273" s="251"/>
      <c r="M273" s="251"/>
      <c r="N273" s="249"/>
      <c r="O273" s="251"/>
      <c r="P273" s="239" t="s">
        <v>41</v>
      </c>
      <c r="Q273" s="248" t="s">
        <v>818</v>
      </c>
      <c r="R273" s="249" t="s">
        <v>882</v>
      </c>
      <c r="S273" s="249" t="s">
        <v>883</v>
      </c>
      <c r="T273" s="248" t="s">
        <v>833</v>
      </c>
      <c r="U273" s="248"/>
      <c r="V273" s="249"/>
      <c r="W273" s="335" t="s">
        <v>184</v>
      </c>
      <c r="X273" s="335" t="s">
        <v>184</v>
      </c>
      <c r="Y273" s="335" t="s">
        <v>185</v>
      </c>
      <c r="Z273" s="335"/>
      <c r="AA273" s="336" t="e">
        <f>_xlfn.XLOOKUP($A273,'2026 Approved Budget'!$B:$B,'2026 Approved Budget'!C:C)</f>
        <v>#N/A</v>
      </c>
      <c r="AB273" s="332" t="s">
        <v>185</v>
      </c>
      <c r="AC273" s="336" t="e">
        <f>_xlfn.XLOOKUP($A273,'2026 Approved Budget'!$B:$B,'2026 Approved Budget'!D:D)</f>
        <v>#N/A</v>
      </c>
      <c r="AD273" s="336" t="e">
        <f>_xlfn.XLOOKUP($A273,'2026 Approved Budget'!$B:$B,'2026 Approved Budget'!E:E)</f>
        <v>#N/A</v>
      </c>
      <c r="AE273" s="336" t="e">
        <f>_xlfn.XLOOKUP($A273,'2026 Approved Budget'!$B:$B,'2026 Approved Budget'!F:F)</f>
        <v>#N/A</v>
      </c>
      <c r="AF273" s="338" t="e">
        <f>_xlfn.XLOOKUP($A273,'2026 Approved Budget'!$B:$B,'2026 Approved Budget'!H:H)</f>
        <v>#N/A</v>
      </c>
      <c r="AG273" s="254"/>
    </row>
    <row r="274" spans="1:33" ht="75" hidden="1" customHeight="1" x14ac:dyDescent="0.2">
      <c r="A274" s="251">
        <v>5230</v>
      </c>
      <c r="B274" s="248" t="s">
        <v>804</v>
      </c>
      <c r="C274" s="248" t="s">
        <v>805</v>
      </c>
      <c r="D274" s="249" t="s">
        <v>884</v>
      </c>
      <c r="E274" s="250" t="s">
        <v>180</v>
      </c>
      <c r="F274" s="251" t="s">
        <v>117</v>
      </c>
      <c r="G274" s="249" t="s">
        <v>885</v>
      </c>
      <c r="H274" s="251" t="s">
        <v>50</v>
      </c>
      <c r="I274" s="251">
        <v>2</v>
      </c>
      <c r="J274" s="251"/>
      <c r="K274" s="253" t="s">
        <v>61</v>
      </c>
      <c r="L274" s="251"/>
      <c r="M274" s="251"/>
      <c r="N274" s="248" t="s">
        <v>276</v>
      </c>
      <c r="O274" s="251"/>
      <c r="P274" s="239" t="s">
        <v>41</v>
      </c>
      <c r="Q274" s="248" t="s">
        <v>818</v>
      </c>
      <c r="R274" s="249" t="s">
        <v>886</v>
      </c>
      <c r="S274" s="249" t="s">
        <v>887</v>
      </c>
      <c r="T274" s="248" t="s">
        <v>833</v>
      </c>
      <c r="U274" s="248"/>
      <c r="V274" s="249"/>
      <c r="W274" s="335" t="s">
        <v>184</v>
      </c>
      <c r="X274" s="335" t="s">
        <v>184</v>
      </c>
      <c r="Y274" s="335" t="s">
        <v>873</v>
      </c>
      <c r="Z274" s="335"/>
      <c r="AA274" s="336" t="str">
        <f>_xlfn.XLOOKUP($A274,'2026 Approved Budget'!$B:$B,'2026 Approved Budget'!C:C)</f>
        <v>305 Quality</v>
      </c>
      <c r="AB274" s="332" t="s">
        <v>185</v>
      </c>
      <c r="AC274" s="336" t="str">
        <f>_xlfn.XLOOKUP($A274,'2026 Approved Budget'!$B:$B,'2026 Approved Budget'!D:D)</f>
        <v>11/3: Convert in 2027</v>
      </c>
      <c r="AD274" s="336" t="str">
        <f>_xlfn.XLOOKUP($A274,'2026 Approved Budget'!$B:$B,'2026 Approved Budget'!E:E)</f>
        <v>03. Sr. Manager / Sr. Scientist</v>
      </c>
      <c r="AE274" s="336" t="str">
        <f>_xlfn.XLOOKUP($A274,'2026 Approved Budget'!$B:$B,'2026 Approved Budget'!F:F)</f>
        <v>Training Coordinator</v>
      </c>
      <c r="AF274" s="338">
        <f>_xlfn.XLOOKUP($A274,'2026 Approved Budget'!$B:$B,'2026 Approved Budget'!H:H)</f>
        <v>46461</v>
      </c>
      <c r="AG274" s="254"/>
    </row>
    <row r="275" spans="1:33" ht="90" hidden="1" customHeight="1" x14ac:dyDescent="0.2">
      <c r="A275" s="239">
        <v>1168</v>
      </c>
      <c r="B275" s="240" t="s">
        <v>893</v>
      </c>
      <c r="C275" s="240" t="s">
        <v>894</v>
      </c>
      <c r="D275" s="240" t="s">
        <v>33</v>
      </c>
      <c r="E275" s="241" t="s">
        <v>34</v>
      </c>
      <c r="F275" s="243" t="s">
        <v>105</v>
      </c>
      <c r="G275" s="242" t="s">
        <v>895</v>
      </c>
      <c r="H275" s="241" t="s">
        <v>37</v>
      </c>
      <c r="I275" s="241"/>
      <c r="J275" s="241"/>
      <c r="K275" s="244" t="s">
        <v>38</v>
      </c>
      <c r="L275" s="241" t="s">
        <v>39</v>
      </c>
      <c r="M275" s="241"/>
      <c r="N275" s="245" t="s">
        <v>896</v>
      </c>
      <c r="O275" s="246">
        <v>10023</v>
      </c>
      <c r="P275" s="241" t="s">
        <v>41</v>
      </c>
      <c r="Q275" s="240" t="s">
        <v>897</v>
      </c>
      <c r="R275" s="240"/>
      <c r="S275" s="245"/>
      <c r="T275" s="240"/>
      <c r="U275" s="240"/>
      <c r="V275" s="242"/>
      <c r="W275" s="332" t="s">
        <v>43</v>
      </c>
      <c r="X275" s="332" t="s">
        <v>43</v>
      </c>
      <c r="Y275" s="336" t="s">
        <v>44</v>
      </c>
      <c r="Z275" s="337" t="s">
        <v>45</v>
      </c>
      <c r="AA275" s="336" t="str">
        <f>_xlfn.XLOOKUP($A275,'2026 Approved Budget'!$B:$B,'2026 Approved Budget'!C:C)</f>
        <v>110 Discovery</v>
      </c>
      <c r="AB275" s="332" t="s">
        <v>46</v>
      </c>
      <c r="AC275" s="336" t="str">
        <f>_xlfn.XLOOKUP($A275,'2026 Approved Budget'!$B:$B,'2026 Approved Budget'!D:D)</f>
        <v>Johan Oslob</v>
      </c>
      <c r="AD275" s="336" t="str">
        <f>_xlfn.XLOOKUP($A275,'2026 Approved Budget'!$B:$B,'2026 Approved Budget'!E:E)</f>
        <v>08. VP</v>
      </c>
      <c r="AE275" s="336" t="str">
        <f>_xlfn.XLOOKUP($A275,'2026 Approved Budget'!$B:$B,'2026 Approved Budget'!F:F)</f>
        <v>Vice President, Discovery Research</v>
      </c>
      <c r="AF275" s="338">
        <f>_xlfn.XLOOKUP($A275,'2026 Approved Budget'!$B:$B,'2026 Approved Budget'!H:H)</f>
        <v>45516</v>
      </c>
      <c r="AG275" s="254"/>
    </row>
    <row r="276" spans="1:33" ht="30" hidden="1" customHeight="1" x14ac:dyDescent="0.2">
      <c r="A276" s="239">
        <v>1165</v>
      </c>
      <c r="B276" s="240" t="s">
        <v>893</v>
      </c>
      <c r="C276" s="240" t="s">
        <v>894</v>
      </c>
      <c r="D276" s="240" t="s">
        <v>898</v>
      </c>
      <c r="E276" s="241" t="s">
        <v>34</v>
      </c>
      <c r="F276" s="241" t="s">
        <v>98</v>
      </c>
      <c r="G276" s="242" t="s">
        <v>902</v>
      </c>
      <c r="H276" s="241" t="s">
        <v>37</v>
      </c>
      <c r="I276" s="241"/>
      <c r="J276" s="241"/>
      <c r="K276" s="247" t="s">
        <v>130</v>
      </c>
      <c r="L276" s="241" t="s">
        <v>39</v>
      </c>
      <c r="M276" s="246" t="s">
        <v>52</v>
      </c>
      <c r="N276" s="240" t="s">
        <v>903</v>
      </c>
      <c r="O276" s="246">
        <v>10160</v>
      </c>
      <c r="P276" s="241" t="s">
        <v>41</v>
      </c>
      <c r="Q276" s="240" t="s">
        <v>904</v>
      </c>
      <c r="R276" s="240"/>
      <c r="S276" s="240"/>
      <c r="T276" s="240" t="s">
        <v>142</v>
      </c>
      <c r="U276" s="240"/>
      <c r="V276" s="242"/>
      <c r="W276" s="332" t="s">
        <v>43</v>
      </c>
      <c r="X276" s="332" t="s">
        <v>43</v>
      </c>
      <c r="Y276" s="336" t="s">
        <v>44</v>
      </c>
      <c r="Z276" s="337" t="s">
        <v>45</v>
      </c>
      <c r="AA276" s="336" t="str">
        <f>_xlfn.XLOOKUP($A276,'2026 Approved Budget'!$B:$B,'2026 Approved Budget'!C:C)</f>
        <v>110 Discovery</v>
      </c>
      <c r="AB276" s="332" t="s">
        <v>46</v>
      </c>
      <c r="AC276" s="336" t="str">
        <f>_xlfn.XLOOKUP($A276,'2026 Approved Budget'!$B:$B,'2026 Approved Budget'!D:D)</f>
        <v>Ron Aoyama</v>
      </c>
      <c r="AD276" s="336" t="str">
        <f>_xlfn.XLOOKUP($A276,'2026 Approved Budget'!$B:$B,'2026 Approved Budget'!E:E)</f>
        <v>05. Director</v>
      </c>
      <c r="AE276" s="336" t="str">
        <f>_xlfn.XLOOKUP($A276,'2026 Approved Budget'!$B:$B,'2026 Approved Budget'!F:F)</f>
        <v>Director, DMPK</v>
      </c>
      <c r="AF276" s="338">
        <f>_xlfn.XLOOKUP($A276,'2026 Approved Budget'!$B:$B,'2026 Approved Budget'!H:H)</f>
        <v>45719</v>
      </c>
      <c r="AG276" s="254"/>
    </row>
    <row r="277" spans="1:33" ht="30" hidden="1" customHeight="1" x14ac:dyDescent="0.2">
      <c r="A277" s="239">
        <v>1166</v>
      </c>
      <c r="B277" s="240" t="s">
        <v>893</v>
      </c>
      <c r="C277" s="240" t="s">
        <v>894</v>
      </c>
      <c r="D277" s="240" t="s">
        <v>898</v>
      </c>
      <c r="E277" s="241" t="s">
        <v>34</v>
      </c>
      <c r="F277" s="241" t="s">
        <v>98</v>
      </c>
      <c r="G277" s="242" t="s">
        <v>905</v>
      </c>
      <c r="H277" s="241" t="s">
        <v>37</v>
      </c>
      <c r="I277" s="241"/>
      <c r="J277" s="241"/>
      <c r="K277" s="247" t="s">
        <v>130</v>
      </c>
      <c r="L277" s="241" t="s">
        <v>39</v>
      </c>
      <c r="M277" s="246" t="s">
        <v>52</v>
      </c>
      <c r="N277" s="240" t="s">
        <v>906</v>
      </c>
      <c r="O277" s="246">
        <v>10183</v>
      </c>
      <c r="P277" s="241" t="s">
        <v>41</v>
      </c>
      <c r="Q277" s="240" t="s">
        <v>907</v>
      </c>
      <c r="R277" s="240"/>
      <c r="S277" s="240"/>
      <c r="T277" s="240" t="s">
        <v>142</v>
      </c>
      <c r="U277" s="240"/>
      <c r="V277" s="242"/>
      <c r="W277" s="332" t="s">
        <v>43</v>
      </c>
      <c r="X277" s="332" t="s">
        <v>43</v>
      </c>
      <c r="Y277" s="336" t="s">
        <v>44</v>
      </c>
      <c r="Z277" s="337" t="s">
        <v>45</v>
      </c>
      <c r="AA277" s="336" t="str">
        <f>_xlfn.XLOOKUP($A277,'2026 Approved Budget'!$B:$B,'2026 Approved Budget'!C:C)</f>
        <v>110 Discovery</v>
      </c>
      <c r="AB277" s="332" t="s">
        <v>46</v>
      </c>
      <c r="AC277" s="336" t="str">
        <f>_xlfn.XLOOKUP($A277,'2026 Approved Budget'!$B:$B,'2026 Approved Budget'!D:D)</f>
        <v>Steve McKerrall</v>
      </c>
      <c r="AD277" s="336" t="str">
        <f>_xlfn.XLOOKUP($A277,'2026 Approved Budget'!$B:$B,'2026 Approved Budget'!E:E)</f>
        <v>05. Director</v>
      </c>
      <c r="AE277" s="336" t="str">
        <f>_xlfn.XLOOKUP($A277,'2026 Approved Budget'!$B:$B,'2026 Approved Budget'!F:F)</f>
        <v>Director, Medicinal Chemistry</v>
      </c>
      <c r="AF277" s="338">
        <f>_xlfn.XLOOKUP($A277,'2026 Approved Budget'!$B:$B,'2026 Approved Budget'!H:H)</f>
        <v>45747</v>
      </c>
      <c r="AG277" s="254"/>
    </row>
    <row r="278" spans="1:33" ht="15" hidden="1" customHeight="1" x14ac:dyDescent="0.2">
      <c r="A278" s="239">
        <v>1157</v>
      </c>
      <c r="B278" s="240" t="s">
        <v>893</v>
      </c>
      <c r="C278" s="240" t="s">
        <v>894</v>
      </c>
      <c r="D278" s="240" t="s">
        <v>911</v>
      </c>
      <c r="E278" s="241" t="s">
        <v>34</v>
      </c>
      <c r="F278" s="243" t="s">
        <v>138</v>
      </c>
      <c r="G278" s="242" t="s">
        <v>912</v>
      </c>
      <c r="H278" s="241" t="s">
        <v>37</v>
      </c>
      <c r="I278" s="241"/>
      <c r="J278" s="241"/>
      <c r="K278" s="247" t="s">
        <v>114</v>
      </c>
      <c r="L278" s="241" t="s">
        <v>39</v>
      </c>
      <c r="M278" s="246" t="s">
        <v>52</v>
      </c>
      <c r="N278" s="245" t="s">
        <v>913</v>
      </c>
      <c r="O278" s="246">
        <v>10236</v>
      </c>
      <c r="P278" s="241" t="s">
        <v>128</v>
      </c>
      <c r="Q278" s="240" t="s">
        <v>904</v>
      </c>
      <c r="R278" s="240"/>
      <c r="S278" s="245"/>
      <c r="T278" s="240"/>
      <c r="U278" s="240"/>
      <c r="V278" s="242"/>
      <c r="W278" s="103" t="s">
        <v>75</v>
      </c>
      <c r="X278" s="103" t="s">
        <v>43</v>
      </c>
      <c r="Y278" s="336" t="s">
        <v>44</v>
      </c>
      <c r="Z278" s="337" t="s">
        <v>45</v>
      </c>
      <c r="AA278" s="336" t="str">
        <f>_xlfn.XLOOKUP($A278,'2026 Approved Budget'!$B:$B,'2026 Approved Budget'!C:C)</f>
        <v>110 Discovery</v>
      </c>
      <c r="AB278" s="332" t="s">
        <v>46</v>
      </c>
      <c r="AC278" s="336" t="str">
        <f>_xlfn.XLOOKUP($A278,'2026 Approved Budget'!$B:$B,'2026 Approved Budget'!D:D)</f>
        <v>Jim Driscoll</v>
      </c>
      <c r="AD278" s="336" t="str">
        <f>_xlfn.XLOOKUP($A278,'2026 Approved Budget'!$B:$B,'2026 Approved Budget'!E:E)</f>
        <v>03. Sr. Manager / Sr. Scientist</v>
      </c>
      <c r="AE278" s="336" t="str">
        <f>_xlfn.XLOOKUP($A278,'2026 Approved Budget'!$B:$B,'2026 Approved Budget'!F:F)</f>
        <v>Principal Scientist, DMPK</v>
      </c>
      <c r="AF278" s="338">
        <f>_xlfn.XLOOKUP($A278,'2026 Approved Budget'!$B:$B,'2026 Approved Budget'!H:H)</f>
        <v>45824</v>
      </c>
      <c r="AG278" s="254"/>
    </row>
    <row r="279" spans="1:33" ht="15" hidden="1" customHeight="1" x14ac:dyDescent="0.2">
      <c r="A279" s="239">
        <v>1167</v>
      </c>
      <c r="B279" s="240" t="s">
        <v>893</v>
      </c>
      <c r="C279" s="240" t="s">
        <v>894</v>
      </c>
      <c r="D279" s="240" t="s">
        <v>898</v>
      </c>
      <c r="E279" s="241" t="s">
        <v>34</v>
      </c>
      <c r="F279" s="243" t="s">
        <v>117</v>
      </c>
      <c r="G279" s="242" t="s">
        <v>899</v>
      </c>
      <c r="H279" s="241" t="s">
        <v>37</v>
      </c>
      <c r="I279" s="241"/>
      <c r="J279" s="241"/>
      <c r="K279" s="244" t="s">
        <v>107</v>
      </c>
      <c r="L279" s="241" t="s">
        <v>39</v>
      </c>
      <c r="M279" s="241"/>
      <c r="N279" s="240" t="s">
        <v>900</v>
      </c>
      <c r="O279" s="246">
        <v>10092</v>
      </c>
      <c r="P279" s="241" t="s">
        <v>109</v>
      </c>
      <c r="Q279" s="240" t="s">
        <v>901</v>
      </c>
      <c r="R279" s="240"/>
      <c r="S279" s="240"/>
      <c r="T279" s="240"/>
      <c r="U279" s="240"/>
      <c r="V279" s="242"/>
      <c r="W279" s="332" t="s">
        <v>43</v>
      </c>
      <c r="X279" s="332" t="s">
        <v>43</v>
      </c>
      <c r="Y279" s="336" t="s">
        <v>44</v>
      </c>
      <c r="Z279" s="337" t="s">
        <v>45</v>
      </c>
      <c r="AA279" s="336" t="str">
        <f>_xlfn.XLOOKUP($A279,'2026 Approved Budget'!$B:$B,'2026 Approved Budget'!C:C)</f>
        <v>110 Discovery</v>
      </c>
      <c r="AB279" s="332" t="s">
        <v>46</v>
      </c>
      <c r="AC279" s="336" t="str">
        <f>_xlfn.XLOOKUP($A279,'2026 Approved Budget'!$B:$B,'2026 Approved Budget'!D:D)</f>
        <v>Peipei Li</v>
      </c>
      <c r="AD279" s="336" t="str">
        <f>_xlfn.XLOOKUP($A279,'2026 Approved Budget'!$B:$B,'2026 Approved Budget'!E:E)</f>
        <v>03. Sr. Manager / Sr. Scientist</v>
      </c>
      <c r="AE279" s="336" t="str">
        <f>_xlfn.XLOOKUP($A279,'2026 Approved Budget'!$B:$B,'2026 Approved Budget'!F:F)</f>
        <v>Principal Scientist, Research Informatics</v>
      </c>
      <c r="AF279" s="338">
        <f>_xlfn.XLOOKUP($A279,'2026 Approved Budget'!$B:$B,'2026 Approved Budget'!H:H)</f>
        <v>45593</v>
      </c>
      <c r="AG279" s="254"/>
    </row>
    <row r="280" spans="1:33" ht="15" hidden="1" customHeight="1" x14ac:dyDescent="0.2">
      <c r="A280" s="239">
        <v>1162</v>
      </c>
      <c r="B280" s="240" t="s">
        <v>893</v>
      </c>
      <c r="C280" s="240" t="s">
        <v>894</v>
      </c>
      <c r="D280" s="240" t="s">
        <v>898</v>
      </c>
      <c r="E280" s="241" t="s">
        <v>34</v>
      </c>
      <c r="F280" s="243" t="s">
        <v>197</v>
      </c>
      <c r="G280" s="242" t="s">
        <v>908</v>
      </c>
      <c r="H280" s="241" t="s">
        <v>37</v>
      </c>
      <c r="I280" s="241"/>
      <c r="J280" s="241"/>
      <c r="K280" s="247" t="s">
        <v>130</v>
      </c>
      <c r="L280" s="241" t="s">
        <v>39</v>
      </c>
      <c r="M280" s="246" t="s">
        <v>52</v>
      </c>
      <c r="N280" s="240" t="s">
        <v>909</v>
      </c>
      <c r="O280" s="246">
        <v>10163</v>
      </c>
      <c r="P280" s="241" t="s">
        <v>41</v>
      </c>
      <c r="Q280" s="240" t="s">
        <v>910</v>
      </c>
      <c r="R280" s="240"/>
      <c r="S280" s="240"/>
      <c r="T280" s="240"/>
      <c r="U280" s="240"/>
      <c r="V280" s="242"/>
      <c r="W280" s="332" t="s">
        <v>43</v>
      </c>
      <c r="X280" s="332" t="s">
        <v>43</v>
      </c>
      <c r="Y280" s="336" t="s">
        <v>44</v>
      </c>
      <c r="Z280" s="337" t="s">
        <v>45</v>
      </c>
      <c r="AA280" s="336" t="str">
        <f>_xlfn.XLOOKUP($A280,'2026 Approved Budget'!$B:$B,'2026 Approved Budget'!C:C)</f>
        <v>110 Discovery</v>
      </c>
      <c r="AB280" s="332" t="s">
        <v>46</v>
      </c>
      <c r="AC280" s="336" t="str">
        <f>_xlfn.XLOOKUP($A280,'2026 Approved Budget'!$B:$B,'2026 Approved Budget'!D:D)</f>
        <v>Daniel Paul Geddes Gross</v>
      </c>
      <c r="AD280" s="336" t="str">
        <f>_xlfn.XLOOKUP($A280,'2026 Approved Budget'!$B:$B,'2026 Approved Budget'!E:E)</f>
        <v>02. Manager / Scientist</v>
      </c>
      <c r="AE280" s="336" t="str">
        <f>_xlfn.XLOOKUP($A280,'2026 Approved Budget'!$B:$B,'2026 Approved Budget'!F:F)</f>
        <v>Manager, Compound Management</v>
      </c>
      <c r="AF280" s="338">
        <f>_xlfn.XLOOKUP($A280,'2026 Approved Budget'!$B:$B,'2026 Approved Budget'!H:H)</f>
        <v>45733</v>
      </c>
      <c r="AG280" s="254"/>
    </row>
    <row r="281" spans="1:33" ht="15" hidden="1" customHeight="1" x14ac:dyDescent="0.2">
      <c r="A281" s="239">
        <v>1158</v>
      </c>
      <c r="B281" s="240" t="s">
        <v>893</v>
      </c>
      <c r="C281" s="240" t="s">
        <v>894</v>
      </c>
      <c r="D281" s="240" t="s">
        <v>911</v>
      </c>
      <c r="E281" s="241" t="s">
        <v>34</v>
      </c>
      <c r="F281" s="243" t="s">
        <v>197</v>
      </c>
      <c r="G281" s="242" t="s">
        <v>914</v>
      </c>
      <c r="H281" s="241" t="s">
        <v>37</v>
      </c>
      <c r="I281" s="241"/>
      <c r="J281" s="241"/>
      <c r="K281" s="247" t="s">
        <v>114</v>
      </c>
      <c r="L281" s="241" t="s">
        <v>39</v>
      </c>
      <c r="M281" s="246" t="s">
        <v>52</v>
      </c>
      <c r="N281" s="245" t="s">
        <v>915</v>
      </c>
      <c r="O281" s="246">
        <v>10227</v>
      </c>
      <c r="P281" s="241" t="s">
        <v>41</v>
      </c>
      <c r="Q281" s="240" t="s">
        <v>904</v>
      </c>
      <c r="R281" s="240"/>
      <c r="S281" s="245"/>
      <c r="T281" s="240"/>
      <c r="U281" s="240"/>
      <c r="V281" s="242"/>
      <c r="W281" s="332" t="s">
        <v>43</v>
      </c>
      <c r="X281" s="103" t="s">
        <v>43</v>
      </c>
      <c r="Y281" s="336" t="s">
        <v>44</v>
      </c>
      <c r="Z281" s="337" t="s">
        <v>45</v>
      </c>
      <c r="AA281" s="336" t="str">
        <f>_xlfn.XLOOKUP($A281,'2026 Approved Budget'!$B:$B,'2026 Approved Budget'!C:C)</f>
        <v>110 Discovery</v>
      </c>
      <c r="AB281" s="332" t="s">
        <v>46</v>
      </c>
      <c r="AC281" s="336" t="str">
        <f>_xlfn.XLOOKUP($A281,'2026 Approved Budget'!$B:$B,'2026 Approved Budget'!D:D)</f>
        <v>Srija Ramisetty</v>
      </c>
      <c r="AD281" s="336" t="str">
        <f>_xlfn.XLOOKUP($A281,'2026 Approved Budget'!$B:$B,'2026 Approved Budget'!E:E)</f>
        <v>02. Manager / Scientist</v>
      </c>
      <c r="AE281" s="336" t="str">
        <f>_xlfn.XLOOKUP($A281,'2026 Approved Budget'!$B:$B,'2026 Approved Budget'!F:F)</f>
        <v>Scientist, DMPK</v>
      </c>
      <c r="AF281" s="338">
        <f>_xlfn.XLOOKUP($A281,'2026 Approved Budget'!$B:$B,'2026 Approved Budget'!H:H)</f>
        <v>45824</v>
      </c>
      <c r="AG281" s="254"/>
    </row>
    <row r="282" spans="1:33" ht="30" customHeight="1" x14ac:dyDescent="0.2">
      <c r="A282" s="239">
        <v>1159</v>
      </c>
      <c r="B282" s="248" t="s">
        <v>893</v>
      </c>
      <c r="C282" s="248" t="s">
        <v>894</v>
      </c>
      <c r="D282" s="248" t="s">
        <v>916</v>
      </c>
      <c r="E282" s="250" t="s">
        <v>34</v>
      </c>
      <c r="F282" s="251" t="s">
        <v>138</v>
      </c>
      <c r="G282" s="252" t="s">
        <v>917</v>
      </c>
      <c r="H282" s="250" t="s">
        <v>37</v>
      </c>
      <c r="I282" s="250">
        <v>2</v>
      </c>
      <c r="J282" s="250"/>
      <c r="K282" s="239" t="s">
        <v>71</v>
      </c>
      <c r="L282" s="239"/>
      <c r="M282" s="239" t="s">
        <v>240</v>
      </c>
      <c r="N282" s="248"/>
      <c r="O282" s="239"/>
      <c r="P282" s="239" t="s">
        <v>41</v>
      </c>
      <c r="Q282" s="248" t="s">
        <v>907</v>
      </c>
      <c r="R282" s="248"/>
      <c r="S282" s="248" t="s">
        <v>918</v>
      </c>
      <c r="T282" s="248"/>
      <c r="U282" s="248" t="s">
        <v>919</v>
      </c>
      <c r="V282" s="252"/>
      <c r="W282" s="332" t="s">
        <v>43</v>
      </c>
      <c r="X282" s="332" t="s">
        <v>76</v>
      </c>
      <c r="Y282" s="275" t="s">
        <v>69</v>
      </c>
      <c r="Z282" s="337" t="s">
        <v>45</v>
      </c>
      <c r="AA282" s="336" t="str">
        <f>_xlfn.XLOOKUP($A282,'2026 Approved Budget'!$B:$B,'2026 Approved Budget'!C:C)</f>
        <v>110 Discovery</v>
      </c>
      <c r="AB282" s="332" t="s">
        <v>46</v>
      </c>
      <c r="AC282" s="336" t="str">
        <f>_xlfn.XLOOKUP($A282,'2026 Approved Budget'!$B:$B,'2026 Approved Budget'!D:D)</f>
        <v>TBD</v>
      </c>
      <c r="AD282" s="336" t="str">
        <f>_xlfn.XLOOKUP($A282,'2026 Approved Budget'!$B:$B,'2026 Approved Budget'!E:E)</f>
        <v>04. AD / Staff Scientist</v>
      </c>
      <c r="AE282" s="336" t="str">
        <f>_xlfn.XLOOKUP($A282,'2026 Approved Budget'!$B:$B,'2026 Approved Budget'!F:F)</f>
        <v>Principal Sci./Assoc.Dir., MedChem</v>
      </c>
      <c r="AF282" s="338">
        <f>_xlfn.XLOOKUP($A282,'2026 Approved Budget'!$B:$B,'2026 Approved Budget'!H:H)</f>
        <v>46096</v>
      </c>
      <c r="AG282" s="254" t="s">
        <v>920</v>
      </c>
    </row>
    <row r="283" spans="1:33" ht="60" customHeight="1" x14ac:dyDescent="0.2">
      <c r="A283" s="239">
        <v>5261</v>
      </c>
      <c r="B283" s="248" t="s">
        <v>893</v>
      </c>
      <c r="C283" s="248" t="s">
        <v>894</v>
      </c>
      <c r="D283" s="248" t="s">
        <v>921</v>
      </c>
      <c r="E283" s="250" t="s">
        <v>34</v>
      </c>
      <c r="F283" s="251" t="s">
        <v>81</v>
      </c>
      <c r="G283" s="252" t="s">
        <v>922</v>
      </c>
      <c r="H283" s="250" t="s">
        <v>37</v>
      </c>
      <c r="I283" s="250">
        <v>3</v>
      </c>
      <c r="J283" s="250"/>
      <c r="K283" s="239" t="s">
        <v>71</v>
      </c>
      <c r="L283" s="239"/>
      <c r="M283" s="239" t="s">
        <v>240</v>
      </c>
      <c r="N283" s="248"/>
      <c r="O283" s="239"/>
      <c r="P283" s="239" t="s">
        <v>41</v>
      </c>
      <c r="Q283" s="248" t="s">
        <v>904</v>
      </c>
      <c r="R283" s="248"/>
      <c r="S283" s="248" t="s">
        <v>918</v>
      </c>
      <c r="T283" s="248"/>
      <c r="U283" s="248" t="s">
        <v>919</v>
      </c>
      <c r="V283" s="252"/>
      <c r="W283" s="332" t="s">
        <v>43</v>
      </c>
      <c r="X283" s="332" t="s">
        <v>76</v>
      </c>
      <c r="Y283" s="275" t="s">
        <v>69</v>
      </c>
      <c r="Z283" s="337" t="s">
        <v>45</v>
      </c>
      <c r="AA283" s="336" t="str">
        <f>_xlfn.XLOOKUP($A283,'2026 Approved Budget'!$B:$B,'2026 Approved Budget'!C:C)</f>
        <v>110 Discovery</v>
      </c>
      <c r="AB283" s="332" t="s">
        <v>46</v>
      </c>
      <c r="AC283" s="336" t="str">
        <f>_xlfn.XLOOKUP($A283,'2026 Approved Budget'!$B:$B,'2026 Approved Budget'!D:D)</f>
        <v>TBD</v>
      </c>
      <c r="AD283" s="336" t="str">
        <f>_xlfn.XLOOKUP($A283,'2026 Approved Budget'!$B:$B,'2026 Approved Budget'!E:E)</f>
        <v>01. IC / Coordinator</v>
      </c>
      <c r="AE283" s="336" t="str">
        <f>_xlfn.XLOOKUP($A283,'2026 Approved Budget'!$B:$B,'2026 Approved Budget'!F:F)</f>
        <v>Senior Scientist, DMPK</v>
      </c>
      <c r="AF283" s="338">
        <f>_xlfn.XLOOKUP($A283,'2026 Approved Budget'!$B:$B,'2026 Approved Budget'!H:H)</f>
        <v>46096</v>
      </c>
      <c r="AG283" s="254" t="s">
        <v>920</v>
      </c>
    </row>
    <row r="284" spans="1:33" ht="60" hidden="1" customHeight="1" x14ac:dyDescent="0.2">
      <c r="A284" s="239">
        <v>1195</v>
      </c>
      <c r="B284" s="240" t="s">
        <v>678</v>
      </c>
      <c r="C284" s="240" t="s">
        <v>679</v>
      </c>
      <c r="D284" s="240" t="s">
        <v>898</v>
      </c>
      <c r="E284" s="241" t="s">
        <v>34</v>
      </c>
      <c r="F284" s="243" t="s">
        <v>105</v>
      </c>
      <c r="G284" s="242" t="s">
        <v>961</v>
      </c>
      <c r="H284" s="241" t="s">
        <v>37</v>
      </c>
      <c r="I284" s="241"/>
      <c r="J284" s="241"/>
      <c r="K284" s="244" t="s">
        <v>91</v>
      </c>
      <c r="L284" s="241" t="s">
        <v>39</v>
      </c>
      <c r="M284" s="241"/>
      <c r="N284" s="245" t="s">
        <v>962</v>
      </c>
      <c r="O284" s="246">
        <v>10003</v>
      </c>
      <c r="P284" s="241" t="s">
        <v>41</v>
      </c>
      <c r="Q284" s="240" t="s">
        <v>963</v>
      </c>
      <c r="R284" s="240"/>
      <c r="S284" s="245"/>
      <c r="T284" s="240"/>
      <c r="U284" s="240"/>
      <c r="V284" s="242"/>
      <c r="W284" s="332" t="s">
        <v>43</v>
      </c>
      <c r="X284" s="332" t="s">
        <v>43</v>
      </c>
      <c r="Y284" s="336" t="s">
        <v>44</v>
      </c>
      <c r="Z284" s="337" t="s">
        <v>45</v>
      </c>
      <c r="AA284" s="336" t="str">
        <f>_xlfn.XLOOKUP($A284,'2026 Approved Budget'!$B:$B,'2026 Approved Budget'!C:C)</f>
        <v>105 Research and Translational Science</v>
      </c>
      <c r="AB284" s="332" t="s">
        <v>46</v>
      </c>
      <c r="AC284" s="336" t="str">
        <f>_xlfn.XLOOKUP($A284,'2026 Approved Budget'!$B:$B,'2026 Approved Budget'!D:D)</f>
        <v>Carlos del Rio</v>
      </c>
      <c r="AD284" s="336" t="str">
        <f>_xlfn.XLOOKUP($A284,'2026 Approved Budget'!$B:$B,'2026 Approved Budget'!E:E)</f>
        <v>08. VP</v>
      </c>
      <c r="AE284" s="336" t="str">
        <f>_xlfn.XLOOKUP($A284,'2026 Approved Budget'!$B:$B,'2026 Approved Budget'!F:F)</f>
        <v>Vice President, Research and Translational Sciences</v>
      </c>
      <c r="AF284" s="338">
        <f>_xlfn.XLOOKUP($A284,'2026 Approved Budget'!$B:$B,'2026 Approved Budget'!H:H)</f>
        <v>45292</v>
      </c>
      <c r="AG284" s="252"/>
    </row>
    <row r="285" spans="1:33" ht="45" hidden="1" customHeight="1" x14ac:dyDescent="0.2">
      <c r="A285" s="239">
        <v>1154</v>
      </c>
      <c r="B285" s="240" t="s">
        <v>678</v>
      </c>
      <c r="C285" s="240" t="s">
        <v>679</v>
      </c>
      <c r="D285" s="240" t="s">
        <v>898</v>
      </c>
      <c r="E285" s="241" t="s">
        <v>34</v>
      </c>
      <c r="F285" s="243" t="s">
        <v>105</v>
      </c>
      <c r="G285" s="242" t="s">
        <v>982</v>
      </c>
      <c r="H285" s="241" t="s">
        <v>37</v>
      </c>
      <c r="I285" s="241"/>
      <c r="J285" s="241"/>
      <c r="K285" s="247" t="s">
        <v>130</v>
      </c>
      <c r="L285" s="241" t="s">
        <v>39</v>
      </c>
      <c r="M285" s="241"/>
      <c r="N285" s="240" t="s">
        <v>983</v>
      </c>
      <c r="O285" s="246">
        <v>10143</v>
      </c>
      <c r="P285" s="241" t="s">
        <v>41</v>
      </c>
      <c r="Q285" s="240" t="s">
        <v>984</v>
      </c>
      <c r="R285" s="240"/>
      <c r="S285" s="240"/>
      <c r="T285" s="274" t="s">
        <v>111</v>
      </c>
      <c r="U285" s="274"/>
      <c r="V285" s="242"/>
      <c r="W285" s="332" t="s">
        <v>43</v>
      </c>
      <c r="X285" s="332" t="s">
        <v>43</v>
      </c>
      <c r="Y285" s="336" t="s">
        <v>44</v>
      </c>
      <c r="Z285" s="337" t="s">
        <v>45</v>
      </c>
      <c r="AA285" s="336" t="str">
        <f>_xlfn.XLOOKUP($A285,'2026 Approved Budget'!$B:$B,'2026 Approved Budget'!C:C)</f>
        <v>105 Research and Translational Science</v>
      </c>
      <c r="AB285" s="332" t="s">
        <v>46</v>
      </c>
      <c r="AC285" s="336" t="str">
        <f>_xlfn.XLOOKUP($A285,'2026 Approved Budget'!$B:$B,'2026 Approved Budget'!D:D)</f>
        <v>Hector Manuel Rodriguez</v>
      </c>
      <c r="AD285" s="336" t="str">
        <f>_xlfn.XLOOKUP($A285,'2026 Approved Budget'!$B:$B,'2026 Approved Budget'!E:E)</f>
        <v>08. VP</v>
      </c>
      <c r="AE285" s="336" t="str">
        <f>_xlfn.XLOOKUP($A285,'2026 Approved Budget'!$B:$B,'2026 Approved Budget'!F:F)</f>
        <v>Vice President, New Targets</v>
      </c>
      <c r="AF285" s="338">
        <f>_xlfn.XLOOKUP($A285,'2026 Approved Budget'!$B:$B,'2026 Approved Budget'!H:H)</f>
        <v>45706</v>
      </c>
      <c r="AG285" s="254"/>
    </row>
    <row r="286" spans="1:33" s="147" customFormat="1" ht="30" hidden="1" customHeight="1" x14ac:dyDescent="0.2">
      <c r="A286" s="239">
        <v>1169</v>
      </c>
      <c r="B286" s="240" t="s">
        <v>678</v>
      </c>
      <c r="C286" s="240" t="s">
        <v>679</v>
      </c>
      <c r="D286" s="240" t="s">
        <v>952</v>
      </c>
      <c r="E286" s="241" t="s">
        <v>34</v>
      </c>
      <c r="F286" s="241" t="s">
        <v>138</v>
      </c>
      <c r="G286" s="242" t="s">
        <v>964</v>
      </c>
      <c r="H286" s="241" t="s">
        <v>37</v>
      </c>
      <c r="I286" s="241"/>
      <c r="J286" s="241"/>
      <c r="K286" s="244" t="s">
        <v>38</v>
      </c>
      <c r="L286" s="241" t="s">
        <v>39</v>
      </c>
      <c r="M286" s="241"/>
      <c r="N286" s="245" t="s">
        <v>965</v>
      </c>
      <c r="O286" s="246">
        <v>10027</v>
      </c>
      <c r="P286" s="241" t="s">
        <v>827</v>
      </c>
      <c r="Q286" s="240" t="s">
        <v>966</v>
      </c>
      <c r="R286" s="240"/>
      <c r="S286" s="245"/>
      <c r="T286" s="245"/>
      <c r="U286" s="245"/>
      <c r="V286" s="242"/>
      <c r="W286" s="332" t="s">
        <v>43</v>
      </c>
      <c r="X286" s="332" t="s">
        <v>43</v>
      </c>
      <c r="Y286" s="336" t="s">
        <v>44</v>
      </c>
      <c r="Z286" s="337" t="s">
        <v>45</v>
      </c>
      <c r="AA286" s="336" t="str">
        <f>_xlfn.XLOOKUP($A286,'2026 Approved Budget'!$B:$B,'2026 Approved Budget'!C:C)</f>
        <v>105 Research and Translational Science</v>
      </c>
      <c r="AB286" s="332" t="s">
        <v>46</v>
      </c>
      <c r="AC286" s="336" t="str">
        <f>_xlfn.XLOOKUP($A286,'2026 Approved Budget'!$B:$B,'2026 Approved Budget'!D:D)</f>
        <v>Na Sa</v>
      </c>
      <c r="AD286" s="336" t="str">
        <f>_xlfn.XLOOKUP($A286,'2026 Approved Budget'!$B:$B,'2026 Approved Budget'!E:E)</f>
        <v>04. AD / Staff Scientist</v>
      </c>
      <c r="AE286" s="336" t="str">
        <f>_xlfn.XLOOKUP($A286,'2026 Approved Budget'!$B:$B,'2026 Approved Budget'!F:F)</f>
        <v>Staff Scientist, Director, Sarcomere Biology</v>
      </c>
      <c r="AF286" s="338">
        <f>_xlfn.XLOOKUP($A286,'2026 Approved Budget'!$B:$B,'2026 Approved Budget'!H:H)</f>
        <v>45523</v>
      </c>
      <c r="AG286" s="254"/>
    </row>
    <row r="287" spans="1:33" ht="30" hidden="1" customHeight="1" x14ac:dyDescent="0.2">
      <c r="A287" s="239">
        <v>1155</v>
      </c>
      <c r="B287" s="240" t="s">
        <v>678</v>
      </c>
      <c r="C287" s="240" t="s">
        <v>679</v>
      </c>
      <c r="D287" s="240" t="s">
        <v>680</v>
      </c>
      <c r="E287" s="241" t="s">
        <v>34</v>
      </c>
      <c r="F287" s="243" t="s">
        <v>138</v>
      </c>
      <c r="G287" s="242" t="s">
        <v>988</v>
      </c>
      <c r="H287" s="241" t="s">
        <v>37</v>
      </c>
      <c r="I287" s="246"/>
      <c r="J287" s="246"/>
      <c r="K287" s="246" t="s">
        <v>61</v>
      </c>
      <c r="L287" s="246" t="s">
        <v>39</v>
      </c>
      <c r="M287" s="246" t="s">
        <v>52</v>
      </c>
      <c r="N287" s="240" t="s">
        <v>989</v>
      </c>
      <c r="O287" s="246">
        <v>10334</v>
      </c>
      <c r="P287" s="246" t="s">
        <v>41</v>
      </c>
      <c r="Q287" s="240" t="s">
        <v>984</v>
      </c>
      <c r="R287" s="240"/>
      <c r="S287" s="240" t="s">
        <v>990</v>
      </c>
      <c r="T287" s="240"/>
      <c r="U287" s="240"/>
      <c r="V287" s="242"/>
      <c r="W287" s="103" t="s">
        <v>75</v>
      </c>
      <c r="X287" s="332" t="s">
        <v>43</v>
      </c>
      <c r="Y287" s="336" t="s">
        <v>44</v>
      </c>
      <c r="Z287" s="337" t="s">
        <v>45</v>
      </c>
      <c r="AA287" s="336" t="str">
        <f>_xlfn.XLOOKUP($A287,'2026 Approved Budget'!$B:$B,'2026 Approved Budget'!C:C)</f>
        <v>105 Research and Translational Science</v>
      </c>
      <c r="AB287" s="332" t="s">
        <v>46</v>
      </c>
      <c r="AC287" s="336" t="str">
        <f>_xlfn.XLOOKUP($A287,'2026 Approved Budget'!$B:$B,'2026 Approved Budget'!D:D)</f>
        <v>TBD</v>
      </c>
      <c r="AD287" s="336" t="str">
        <f>_xlfn.XLOOKUP($A287,'2026 Approved Budget'!$B:$B,'2026 Approved Budget'!E:E)</f>
        <v>02. Manager / Scientist</v>
      </c>
      <c r="AE287" s="336" t="str">
        <f>_xlfn.XLOOKUP($A287,'2026 Approved Budget'!$B:$B,'2026 Approved Budget'!F:F)</f>
        <v>Scientist, Biology</v>
      </c>
      <c r="AF287" s="338">
        <f>_xlfn.XLOOKUP($A287,'2026 Approved Budget'!$B:$B,'2026 Approved Budget'!H:H)</f>
        <v>46096</v>
      </c>
      <c r="AG287" s="254" t="s">
        <v>991</v>
      </c>
    </row>
    <row r="288" spans="1:33" ht="30" hidden="1" customHeight="1" x14ac:dyDescent="0.2">
      <c r="A288" s="239">
        <v>1192</v>
      </c>
      <c r="B288" s="240" t="s">
        <v>678</v>
      </c>
      <c r="C288" s="240" t="s">
        <v>679</v>
      </c>
      <c r="D288" s="240" t="s">
        <v>952</v>
      </c>
      <c r="E288" s="241" t="s">
        <v>34</v>
      </c>
      <c r="F288" s="243" t="s">
        <v>117</v>
      </c>
      <c r="G288" s="242" t="s">
        <v>967</v>
      </c>
      <c r="H288" s="241" t="s">
        <v>37</v>
      </c>
      <c r="I288" s="241"/>
      <c r="J288" s="241"/>
      <c r="K288" s="244" t="s">
        <v>38</v>
      </c>
      <c r="L288" s="241" t="s">
        <v>39</v>
      </c>
      <c r="M288" s="241"/>
      <c r="N288" s="245" t="s">
        <v>968</v>
      </c>
      <c r="O288" s="246">
        <v>10021</v>
      </c>
      <c r="P288" s="241" t="s">
        <v>109</v>
      </c>
      <c r="Q288" s="240" t="s">
        <v>969</v>
      </c>
      <c r="R288" s="240"/>
      <c r="S288" s="245"/>
      <c r="T288" s="245"/>
      <c r="U288" s="245"/>
      <c r="V288" s="242"/>
      <c r="W288" s="332" t="s">
        <v>43</v>
      </c>
      <c r="X288" s="332" t="s">
        <v>43</v>
      </c>
      <c r="Y288" s="336" t="s">
        <v>44</v>
      </c>
      <c r="Z288" s="337" t="s">
        <v>45</v>
      </c>
      <c r="AA288" s="336" t="str">
        <f>_xlfn.XLOOKUP($A288,'2026 Approved Budget'!$B:$B,'2026 Approved Budget'!C:C)</f>
        <v>105 Research and Translational Science</v>
      </c>
      <c r="AB288" s="332" t="s">
        <v>46</v>
      </c>
      <c r="AC288" s="336" t="str">
        <f>_xlfn.XLOOKUP($A288,'2026 Approved Budget'!$B:$B,'2026 Approved Budget'!D:D)</f>
        <v>Rafael Shimkunas</v>
      </c>
      <c r="AD288" s="336" t="str">
        <f>_xlfn.XLOOKUP($A288,'2026 Approved Budget'!$B:$B,'2026 Approved Budget'!E:E)</f>
        <v>03. Sr. Manager / Sr. Scientist</v>
      </c>
      <c r="AE288" s="336" t="str">
        <f>_xlfn.XLOOKUP($A288,'2026 Approved Budget'!$B:$B,'2026 Approved Budget'!F:F)</f>
        <v>Principal Scientist, Biology</v>
      </c>
      <c r="AF288" s="338">
        <f>_xlfn.XLOOKUP($A288,'2026 Approved Budget'!$B:$B,'2026 Approved Budget'!H:H)</f>
        <v>45488</v>
      </c>
      <c r="AG288" s="254"/>
    </row>
    <row r="289" spans="1:33" ht="30" hidden="1" customHeight="1" x14ac:dyDescent="0.2">
      <c r="A289" s="239">
        <v>1182</v>
      </c>
      <c r="B289" s="240" t="s">
        <v>678</v>
      </c>
      <c r="C289" s="240" t="s">
        <v>679</v>
      </c>
      <c r="D289" s="240" t="s">
        <v>952</v>
      </c>
      <c r="E289" s="241" t="s">
        <v>34</v>
      </c>
      <c r="F289" s="243" t="s">
        <v>117</v>
      </c>
      <c r="G289" s="242" t="s">
        <v>970</v>
      </c>
      <c r="H289" s="241" t="s">
        <v>37</v>
      </c>
      <c r="I289" s="241"/>
      <c r="J289" s="241"/>
      <c r="K289" s="244" t="s">
        <v>38</v>
      </c>
      <c r="L289" s="241" t="s">
        <v>39</v>
      </c>
      <c r="M289" s="241"/>
      <c r="N289" s="245" t="s">
        <v>971</v>
      </c>
      <c r="O289" s="246">
        <v>10057</v>
      </c>
      <c r="P289" s="241" t="s">
        <v>827</v>
      </c>
      <c r="Q289" s="240" t="s">
        <v>972</v>
      </c>
      <c r="R289" s="240"/>
      <c r="S289" s="245"/>
      <c r="T289" s="245"/>
      <c r="U289" s="245"/>
      <c r="V289" s="242"/>
      <c r="W289" s="332" t="s">
        <v>43</v>
      </c>
      <c r="X289" s="332" t="s">
        <v>43</v>
      </c>
      <c r="Y289" s="336" t="s">
        <v>44</v>
      </c>
      <c r="Z289" s="337" t="s">
        <v>45</v>
      </c>
      <c r="AA289" s="336" t="str">
        <f>_xlfn.XLOOKUP($A289,'2026 Approved Budget'!$B:$B,'2026 Approved Budget'!C:C)</f>
        <v>105 Research and Translational Science</v>
      </c>
      <c r="AB289" s="332" t="s">
        <v>46</v>
      </c>
      <c r="AC289" s="336" t="str">
        <f>_xlfn.XLOOKUP($A289,'2026 Approved Budget'!$B:$B,'2026 Approved Budget'!D:D)</f>
        <v>Mary Papadaki</v>
      </c>
      <c r="AD289" s="336" t="str">
        <f>_xlfn.XLOOKUP($A289,'2026 Approved Budget'!$B:$B,'2026 Approved Budget'!E:E)</f>
        <v>03. Sr. Manager / Sr. Scientist</v>
      </c>
      <c r="AE289" s="336" t="str">
        <f>_xlfn.XLOOKUP($A289,'2026 Approved Budget'!$B:$B,'2026 Approved Budget'!F:F)</f>
        <v>Principal Scientist, In Vitro Pharmacology</v>
      </c>
      <c r="AF289" s="338">
        <f>_xlfn.XLOOKUP($A289,'2026 Approved Budget'!$B:$B,'2026 Approved Budget'!H:H)</f>
        <v>45551</v>
      </c>
      <c r="AG289" s="254"/>
    </row>
    <row r="290" spans="1:33" ht="30" hidden="1" customHeight="1" x14ac:dyDescent="0.2">
      <c r="A290" s="239">
        <v>1172</v>
      </c>
      <c r="B290" s="240" t="s">
        <v>678</v>
      </c>
      <c r="C290" s="240" t="s">
        <v>679</v>
      </c>
      <c r="D290" s="240" t="s">
        <v>952</v>
      </c>
      <c r="E290" s="241" t="s">
        <v>34</v>
      </c>
      <c r="F290" s="243" t="s">
        <v>117</v>
      </c>
      <c r="G290" s="242" t="s">
        <v>973</v>
      </c>
      <c r="H290" s="241" t="s">
        <v>37</v>
      </c>
      <c r="I290" s="241"/>
      <c r="J290" s="241"/>
      <c r="K290" s="244" t="s">
        <v>38</v>
      </c>
      <c r="L290" s="241" t="s">
        <v>39</v>
      </c>
      <c r="M290" s="241"/>
      <c r="N290" s="245" t="s">
        <v>974</v>
      </c>
      <c r="O290" s="246">
        <v>10028</v>
      </c>
      <c r="P290" s="241" t="s">
        <v>109</v>
      </c>
      <c r="Q290" s="240" t="s">
        <v>966</v>
      </c>
      <c r="R290" s="240"/>
      <c r="S290" s="245"/>
      <c r="T290" s="245"/>
      <c r="U290" s="245"/>
      <c r="V290" s="242"/>
      <c r="W290" s="332" t="s">
        <v>43</v>
      </c>
      <c r="X290" s="332" t="s">
        <v>43</v>
      </c>
      <c r="Y290" s="336" t="s">
        <v>44</v>
      </c>
      <c r="Z290" s="337" t="s">
        <v>45</v>
      </c>
      <c r="AA290" s="336" t="str">
        <f>_xlfn.XLOOKUP($A290,'2026 Approved Budget'!$B:$B,'2026 Approved Budget'!C:C)</f>
        <v>105 Research and Translational Science</v>
      </c>
      <c r="AB290" s="332" t="s">
        <v>46</v>
      </c>
      <c r="AC290" s="336" t="str">
        <f>_xlfn.XLOOKUP($A290,'2026 Approved Budget'!$B:$B,'2026 Approved Budget'!D:D)</f>
        <v>Jani Saksi</v>
      </c>
      <c r="AD290" s="336" t="str">
        <f>_xlfn.XLOOKUP($A290,'2026 Approved Budget'!$B:$B,'2026 Approved Budget'!E:E)</f>
        <v>03. Sr. Manager / Sr. Scientist</v>
      </c>
      <c r="AE290" s="336" t="str">
        <f>_xlfn.XLOOKUP($A290,'2026 Approved Budget'!$B:$B,'2026 Approved Budget'!F:F)</f>
        <v>Senior Scientist, Biology</v>
      </c>
      <c r="AF290" s="338">
        <f>_xlfn.XLOOKUP($A290,'2026 Approved Budget'!$B:$B,'2026 Approved Budget'!H:H)</f>
        <v>45551</v>
      </c>
      <c r="AG290" s="254"/>
    </row>
    <row r="291" spans="1:33" ht="30" hidden="1" customHeight="1" x14ac:dyDescent="0.2">
      <c r="A291" s="239">
        <v>1114</v>
      </c>
      <c r="B291" s="240" t="s">
        <v>678</v>
      </c>
      <c r="C291" s="240" t="s">
        <v>679</v>
      </c>
      <c r="D291" s="245" t="s">
        <v>680</v>
      </c>
      <c r="E291" s="241" t="s">
        <v>34</v>
      </c>
      <c r="F291" s="243" t="s">
        <v>117</v>
      </c>
      <c r="G291" s="242" t="s">
        <v>681</v>
      </c>
      <c r="H291" s="243" t="s">
        <v>37</v>
      </c>
      <c r="I291" s="241"/>
      <c r="J291" s="241"/>
      <c r="K291" s="247" t="s">
        <v>130</v>
      </c>
      <c r="L291" s="241" t="s">
        <v>39</v>
      </c>
      <c r="M291" s="246" t="s">
        <v>52</v>
      </c>
      <c r="N291" s="245" t="s">
        <v>682</v>
      </c>
      <c r="O291" s="246">
        <v>10137</v>
      </c>
      <c r="P291" s="241" t="s">
        <v>41</v>
      </c>
      <c r="Q291" s="240" t="s">
        <v>683</v>
      </c>
      <c r="R291" s="240"/>
      <c r="S291" s="245"/>
      <c r="T291" s="245"/>
      <c r="U291" s="245"/>
      <c r="V291" s="242"/>
      <c r="W291" s="332" t="s">
        <v>43</v>
      </c>
      <c r="X291" s="332" t="s">
        <v>43</v>
      </c>
      <c r="Y291" s="336" t="s">
        <v>44</v>
      </c>
      <c r="Z291" s="337" t="s">
        <v>45</v>
      </c>
      <c r="AA291" s="336" t="str">
        <f>_xlfn.XLOOKUP($A291,'2026 Approved Budget'!$B:$B,'2026 Approved Budget'!C:C)</f>
        <v>240 Portfolio Management</v>
      </c>
      <c r="AB291" s="332" t="s">
        <v>46</v>
      </c>
      <c r="AC291" s="336" t="str">
        <f>_xlfn.XLOOKUP($A291,'2026 Approved Budget'!$B:$B,'2026 Approved Budget'!D:D)</f>
        <v>Chris Willits</v>
      </c>
      <c r="AD291" s="336" t="str">
        <f>_xlfn.XLOOKUP($A291,'2026 Approved Budget'!$B:$B,'2026 Approved Budget'!E:E)</f>
        <v>03. Sr. Manager / Sr. Scientist</v>
      </c>
      <c r="AE291" s="336" t="str">
        <f>_xlfn.XLOOKUP($A291,'2026 Approved Budget'!$B:$B,'2026 Approved Budget'!F:F)</f>
        <v>Research Program Manager</v>
      </c>
      <c r="AF291" s="338">
        <f>_xlfn.XLOOKUP($A291,'2026 Approved Budget'!$B:$B,'2026 Approved Budget'!H:H)</f>
        <v>45684</v>
      </c>
      <c r="AG291" s="254"/>
    </row>
    <row r="292" spans="1:33" s="27" customFormat="1" ht="45" hidden="1" customHeight="1" x14ac:dyDescent="0.2">
      <c r="A292" s="239">
        <v>1176</v>
      </c>
      <c r="B292" s="240" t="s">
        <v>678</v>
      </c>
      <c r="C292" s="240" t="s">
        <v>679</v>
      </c>
      <c r="D292" s="240" t="s">
        <v>975</v>
      </c>
      <c r="E292" s="241" t="s">
        <v>34</v>
      </c>
      <c r="F292" s="243" t="s">
        <v>197</v>
      </c>
      <c r="G292" s="242" t="s">
        <v>976</v>
      </c>
      <c r="H292" s="241" t="s">
        <v>37</v>
      </c>
      <c r="I292" s="241"/>
      <c r="J292" s="241"/>
      <c r="K292" s="244" t="s">
        <v>38</v>
      </c>
      <c r="L292" s="241" t="s">
        <v>39</v>
      </c>
      <c r="M292" s="241"/>
      <c r="N292" s="245" t="s">
        <v>977</v>
      </c>
      <c r="O292" s="246">
        <v>10022</v>
      </c>
      <c r="P292" s="241" t="s">
        <v>159</v>
      </c>
      <c r="Q292" s="240" t="s">
        <v>925</v>
      </c>
      <c r="R292" s="240"/>
      <c r="S292" s="245"/>
      <c r="T292" s="245"/>
      <c r="U292" s="245"/>
      <c r="V292" s="242"/>
      <c r="W292" s="332" t="s">
        <v>43</v>
      </c>
      <c r="X292" s="332" t="s">
        <v>43</v>
      </c>
      <c r="Y292" s="336" t="s">
        <v>44</v>
      </c>
      <c r="Z292" s="337" t="s">
        <v>45</v>
      </c>
      <c r="AA292" s="336" t="str">
        <f>_xlfn.XLOOKUP($A292,'2026 Approved Budget'!$B:$B,'2026 Approved Budget'!C:C)</f>
        <v>105 Research and Translational Science</v>
      </c>
      <c r="AB292" s="332" t="s">
        <v>46</v>
      </c>
      <c r="AC292" s="336" t="str">
        <f>_xlfn.XLOOKUP($A292,'2026 Approved Budget'!$B:$B,'2026 Approved Budget'!D:D)</f>
        <v>Dilara Batan</v>
      </c>
      <c r="AD292" s="336" t="str">
        <f>_xlfn.XLOOKUP($A292,'2026 Approved Budget'!$B:$B,'2026 Approved Budget'!E:E)</f>
        <v>02. Manager / Scientist</v>
      </c>
      <c r="AE292" s="336" t="str">
        <f>_xlfn.XLOOKUP($A292,'2026 Approved Budget'!$B:$B,'2026 Approved Budget'!F:F)</f>
        <v>Scientist, Biology</v>
      </c>
      <c r="AF292" s="338">
        <f>_xlfn.XLOOKUP($A292,'2026 Approved Budget'!$B:$B,'2026 Approved Budget'!H:H)</f>
        <v>45509</v>
      </c>
      <c r="AG292" s="254"/>
    </row>
    <row r="293" spans="1:33" s="27" customFormat="1" ht="30" hidden="1" customHeight="1" x14ac:dyDescent="0.2">
      <c r="A293" s="239">
        <v>1174</v>
      </c>
      <c r="B293" s="240" t="s">
        <v>678</v>
      </c>
      <c r="C293" s="240" t="s">
        <v>679</v>
      </c>
      <c r="D293" s="240" t="s">
        <v>975</v>
      </c>
      <c r="E293" s="241" t="s">
        <v>34</v>
      </c>
      <c r="F293" s="243" t="s">
        <v>197</v>
      </c>
      <c r="G293" s="242" t="s">
        <v>976</v>
      </c>
      <c r="H293" s="241" t="s">
        <v>37</v>
      </c>
      <c r="I293" s="241"/>
      <c r="J293" s="241"/>
      <c r="K293" s="247" t="s">
        <v>38</v>
      </c>
      <c r="L293" s="241" t="s">
        <v>39</v>
      </c>
      <c r="M293" s="241"/>
      <c r="N293" s="245" t="s">
        <v>978</v>
      </c>
      <c r="O293" s="246">
        <v>10024</v>
      </c>
      <c r="P293" s="241" t="s">
        <v>827</v>
      </c>
      <c r="Q293" s="240" t="s">
        <v>979</v>
      </c>
      <c r="R293" s="240"/>
      <c r="S293" s="245"/>
      <c r="T293" s="245"/>
      <c r="U293" s="245"/>
      <c r="V293" s="242"/>
      <c r="W293" s="332" t="s">
        <v>43</v>
      </c>
      <c r="X293" s="332" t="s">
        <v>43</v>
      </c>
      <c r="Y293" s="336" t="s">
        <v>44</v>
      </c>
      <c r="Z293" s="337" t="s">
        <v>45</v>
      </c>
      <c r="AA293" s="336" t="str">
        <f>_xlfn.XLOOKUP($A293,'2026 Approved Budget'!$B:$B,'2026 Approved Budget'!C:C)</f>
        <v>105 Research and Translational Science</v>
      </c>
      <c r="AB293" s="332" t="s">
        <v>46</v>
      </c>
      <c r="AC293" s="336" t="str">
        <f>_xlfn.XLOOKUP($A293,'2026 Approved Budget'!$B:$B,'2026 Approved Budget'!D:D)</f>
        <v>Anu Anto</v>
      </c>
      <c r="AD293" s="336" t="str">
        <f>_xlfn.XLOOKUP($A293,'2026 Approved Budget'!$B:$B,'2026 Approved Budget'!E:E)</f>
        <v>02. Manager / Scientist</v>
      </c>
      <c r="AE293" s="336" t="str">
        <f>_xlfn.XLOOKUP($A293,'2026 Approved Budget'!$B:$B,'2026 Approved Budget'!F:F)</f>
        <v>Scientist, Biology</v>
      </c>
      <c r="AF293" s="338">
        <f>_xlfn.XLOOKUP($A293,'2026 Approved Budget'!$B:$B,'2026 Approved Budget'!H:H)</f>
        <v>45523</v>
      </c>
      <c r="AG293" s="254"/>
    </row>
    <row r="294" spans="1:33" s="27" customFormat="1" ht="30" hidden="1" customHeight="1" x14ac:dyDescent="0.2">
      <c r="A294" s="239">
        <v>1187</v>
      </c>
      <c r="B294" s="240" t="s">
        <v>678</v>
      </c>
      <c r="C294" s="240" t="s">
        <v>679</v>
      </c>
      <c r="D294" s="240" t="s">
        <v>952</v>
      </c>
      <c r="E294" s="241" t="s">
        <v>34</v>
      </c>
      <c r="F294" s="243" t="s">
        <v>197</v>
      </c>
      <c r="G294" s="242" t="s">
        <v>980</v>
      </c>
      <c r="H294" s="241" t="s">
        <v>37</v>
      </c>
      <c r="I294" s="241"/>
      <c r="J294" s="241"/>
      <c r="K294" s="244" t="s">
        <v>38</v>
      </c>
      <c r="L294" s="241" t="s">
        <v>39</v>
      </c>
      <c r="M294" s="241"/>
      <c r="N294" s="245" t="s">
        <v>981</v>
      </c>
      <c r="O294" s="246">
        <v>10053</v>
      </c>
      <c r="P294" s="241" t="s">
        <v>128</v>
      </c>
      <c r="Q294" s="240" t="s">
        <v>972</v>
      </c>
      <c r="R294" s="240"/>
      <c r="S294" s="245"/>
      <c r="T294" s="245"/>
      <c r="U294" s="245"/>
      <c r="V294" s="242"/>
      <c r="W294" s="332" t="s">
        <v>43</v>
      </c>
      <c r="X294" s="332" t="s">
        <v>43</v>
      </c>
      <c r="Y294" s="336" t="s">
        <v>44</v>
      </c>
      <c r="Z294" s="337" t="s">
        <v>45</v>
      </c>
      <c r="AA294" s="336" t="str">
        <f>_xlfn.XLOOKUP($A294,'2026 Approved Budget'!$B:$B,'2026 Approved Budget'!C:C)</f>
        <v>105 Research and Translational Science</v>
      </c>
      <c r="AB294" s="332" t="s">
        <v>46</v>
      </c>
      <c r="AC294" s="336" t="str">
        <f>_xlfn.XLOOKUP($A294,'2026 Approved Budget'!$B:$B,'2026 Approved Budget'!D:D)</f>
        <v>Saffie Mohran</v>
      </c>
      <c r="AD294" s="336" t="str">
        <f>_xlfn.XLOOKUP($A294,'2026 Approved Budget'!$B:$B,'2026 Approved Budget'!E:E)</f>
        <v>02. Manager / Scientist</v>
      </c>
      <c r="AE294" s="336" t="str">
        <f>_xlfn.XLOOKUP($A294,'2026 Approved Budget'!$B:$B,'2026 Approved Budget'!F:F)</f>
        <v>Scientist, In Vitro Pharmacology</v>
      </c>
      <c r="AF294" s="338">
        <f>_xlfn.XLOOKUP($A294,'2026 Approved Budget'!$B:$B,'2026 Approved Budget'!H:H)</f>
        <v>45551</v>
      </c>
      <c r="AG294" s="254"/>
    </row>
    <row r="295" spans="1:33" s="27" customFormat="1" ht="30" hidden="1" customHeight="1" x14ac:dyDescent="0.2">
      <c r="A295" s="239">
        <v>1177</v>
      </c>
      <c r="B295" s="240" t="s">
        <v>678</v>
      </c>
      <c r="C295" s="240" t="s">
        <v>679</v>
      </c>
      <c r="D295" s="240" t="s">
        <v>928</v>
      </c>
      <c r="E295" s="241" t="s">
        <v>34</v>
      </c>
      <c r="F295" s="243" t="s">
        <v>197</v>
      </c>
      <c r="G295" s="270" t="s">
        <v>929</v>
      </c>
      <c r="H295" s="241" t="s">
        <v>37</v>
      </c>
      <c r="I295" s="241"/>
      <c r="J295" s="241"/>
      <c r="K295" s="241" t="s">
        <v>61</v>
      </c>
      <c r="L295" s="241" t="s">
        <v>39</v>
      </c>
      <c r="M295" s="246" t="s">
        <v>52</v>
      </c>
      <c r="N295" s="240" t="s">
        <v>930</v>
      </c>
      <c r="O295" s="246"/>
      <c r="P295" s="246" t="s">
        <v>41</v>
      </c>
      <c r="Q295" s="240" t="s">
        <v>931</v>
      </c>
      <c r="R295" s="240" t="s">
        <v>932</v>
      </c>
      <c r="S295" s="240" t="s">
        <v>933</v>
      </c>
      <c r="T295" s="240"/>
      <c r="U295" s="240"/>
      <c r="V295" s="270"/>
      <c r="W295" s="332" t="s">
        <v>43</v>
      </c>
      <c r="X295" s="332" t="s">
        <v>43</v>
      </c>
      <c r="Y295" s="275" t="s">
        <v>69</v>
      </c>
      <c r="Z295" s="337" t="s">
        <v>45</v>
      </c>
      <c r="AA295" s="336" t="str">
        <f>_xlfn.XLOOKUP($A295,'2026 Approved Budget'!$B:$B,'2026 Approved Budget'!C:C)</f>
        <v>105 Research and Translational Science</v>
      </c>
      <c r="AB295" s="332" t="s">
        <v>46</v>
      </c>
      <c r="AC295" s="336" t="str">
        <f>_xlfn.XLOOKUP($A295,'2026 Approved Budget'!$B:$B,'2026 Approved Budget'!D:D)</f>
        <v>TBD</v>
      </c>
      <c r="AD295" s="336" t="str">
        <f>_xlfn.XLOOKUP($A295,'2026 Approved Budget'!$B:$B,'2026 Approved Budget'!E:E)</f>
        <v>02. Manager / Scientist</v>
      </c>
      <c r="AE295" s="336" t="str">
        <f>_xlfn.XLOOKUP($A295,'2026 Approved Budget'!$B:$B,'2026 Approved Budget'!F:F)</f>
        <v>Scientist, TM (Computational Biologist) - Omics (transcriptomics)</v>
      </c>
      <c r="AF295" s="338">
        <f>_xlfn.XLOOKUP($A295,'2026 Approved Budget'!$B:$B,'2026 Approved Budget'!H:H)</f>
        <v>46096</v>
      </c>
      <c r="AG295" s="254" t="s">
        <v>934</v>
      </c>
    </row>
    <row r="296" spans="1:33" s="27" customFormat="1" ht="30" hidden="1" customHeight="1" x14ac:dyDescent="0.2">
      <c r="A296" s="239">
        <v>1173</v>
      </c>
      <c r="B296" s="240" t="s">
        <v>678</v>
      </c>
      <c r="C296" s="240" t="s">
        <v>679</v>
      </c>
      <c r="D296" s="240" t="s">
        <v>985</v>
      </c>
      <c r="E296" s="241" t="s">
        <v>34</v>
      </c>
      <c r="F296" s="243" t="s">
        <v>81</v>
      </c>
      <c r="G296" s="242" t="s">
        <v>986</v>
      </c>
      <c r="H296" s="241" t="s">
        <v>37</v>
      </c>
      <c r="I296" s="241"/>
      <c r="J296" s="241"/>
      <c r="K296" s="247" t="s">
        <v>51</v>
      </c>
      <c r="L296" s="241" t="s">
        <v>39</v>
      </c>
      <c r="M296" s="246" t="s">
        <v>52</v>
      </c>
      <c r="N296" s="240" t="s">
        <v>987</v>
      </c>
      <c r="O296" s="246">
        <v>10259</v>
      </c>
      <c r="P296" s="241" t="s">
        <v>128</v>
      </c>
      <c r="Q296" s="240" t="s">
        <v>979</v>
      </c>
      <c r="R296" s="240"/>
      <c r="S296" s="240"/>
      <c r="T296" s="240"/>
      <c r="U296" s="240"/>
      <c r="V296" s="242"/>
      <c r="W296" s="103" t="s">
        <v>165</v>
      </c>
      <c r="X296" s="332" t="s">
        <v>43</v>
      </c>
      <c r="Y296" s="336" t="s">
        <v>44</v>
      </c>
      <c r="Z296" s="337" t="s">
        <v>45</v>
      </c>
      <c r="AA296" s="336" t="str">
        <f>_xlfn.XLOOKUP($A296,'2026 Approved Budget'!$B:$B,'2026 Approved Budget'!C:C)</f>
        <v>105 Research and Translational Science</v>
      </c>
      <c r="AB296" s="332" t="s">
        <v>46</v>
      </c>
      <c r="AC296" s="336" t="str">
        <f>_xlfn.XLOOKUP($A296,'2026 Approved Budget'!$B:$B,'2026 Approved Budget'!D:D)</f>
        <v>Christine Rivera</v>
      </c>
      <c r="AD296" s="336" t="str">
        <f>_xlfn.XLOOKUP($A296,'2026 Approved Budget'!$B:$B,'2026 Approved Budget'!E:E)</f>
        <v>02. Manager / Scientist</v>
      </c>
      <c r="AE296" s="336" t="str">
        <f>_xlfn.XLOOKUP($A296,'2026 Approved Budget'!$B:$B,'2026 Approved Budget'!F:F)</f>
        <v>Associate Scientist, Biochemistry</v>
      </c>
      <c r="AF296" s="338">
        <f>_xlfn.XLOOKUP($A296,'2026 Approved Budget'!$B:$B,'2026 Approved Budget'!H:H)</f>
        <v>45880</v>
      </c>
      <c r="AG296" s="254"/>
    </row>
    <row r="297" spans="1:33" s="27" customFormat="1" ht="30" hidden="1" customHeight="1" x14ac:dyDescent="0.2">
      <c r="A297" s="239">
        <v>1170</v>
      </c>
      <c r="B297" s="240" t="s">
        <v>678</v>
      </c>
      <c r="C297" s="240" t="s">
        <v>679</v>
      </c>
      <c r="D297" s="240" t="s">
        <v>992</v>
      </c>
      <c r="E297" s="241" t="s">
        <v>34</v>
      </c>
      <c r="F297" s="243" t="s">
        <v>81</v>
      </c>
      <c r="G297" s="242" t="s">
        <v>993</v>
      </c>
      <c r="H297" s="241" t="s">
        <v>37</v>
      </c>
      <c r="I297" s="243"/>
      <c r="J297" s="243"/>
      <c r="K297" s="247" t="s">
        <v>61</v>
      </c>
      <c r="L297" s="246" t="s">
        <v>39</v>
      </c>
      <c r="M297" s="246" t="s">
        <v>52</v>
      </c>
      <c r="N297" s="240" t="s">
        <v>994</v>
      </c>
      <c r="O297" s="246">
        <v>10255</v>
      </c>
      <c r="P297" s="276" t="s">
        <v>448</v>
      </c>
      <c r="Q297" s="240" t="s">
        <v>995</v>
      </c>
      <c r="R297" s="240" t="s">
        <v>996</v>
      </c>
      <c r="S297" s="240" t="s">
        <v>997</v>
      </c>
      <c r="T297" s="240"/>
      <c r="U297" s="240"/>
      <c r="V297" s="242"/>
      <c r="W297" s="332" t="s">
        <v>43</v>
      </c>
      <c r="X297" s="332" t="s">
        <v>43</v>
      </c>
      <c r="Y297" s="336" t="s">
        <v>44</v>
      </c>
      <c r="Z297" s="337" t="s">
        <v>45</v>
      </c>
      <c r="AA297" s="336" t="str">
        <f>_xlfn.XLOOKUP($A297,'2026 Approved Budget'!$B:$B,'2026 Approved Budget'!C:C)</f>
        <v>105 Research and Translational Science</v>
      </c>
      <c r="AB297" s="332" t="s">
        <v>46</v>
      </c>
      <c r="AC297" s="336" t="str">
        <f>_xlfn.XLOOKUP($A297,'2026 Approved Budget'!$B:$B,'2026 Approved Budget'!D:D)</f>
        <v>CW: Hannah Kleppe</v>
      </c>
      <c r="AD297" s="336" t="str">
        <f>_xlfn.XLOOKUP($A297,'2026 Approved Budget'!$B:$B,'2026 Approved Budget'!E:E)</f>
        <v>01. IC / Coordinator</v>
      </c>
      <c r="AE297" s="336" t="str">
        <f>_xlfn.XLOOKUP($A297,'2026 Approved Budget'!$B:$B,'2026 Approved Budget'!F:F)</f>
        <v>SRA, Biology</v>
      </c>
      <c r="AF297" s="338">
        <f>_xlfn.XLOOKUP($A297,'2026 Approved Budget'!$B:$B,'2026 Approved Budget'!H:H)</f>
        <v>46096</v>
      </c>
      <c r="AG297" s="254" t="s">
        <v>851</v>
      </c>
    </row>
    <row r="298" spans="1:33" s="27" customFormat="1" ht="30" hidden="1" customHeight="1" x14ac:dyDescent="0.2">
      <c r="A298" s="239">
        <v>1356</v>
      </c>
      <c r="B298" s="240" t="s">
        <v>678</v>
      </c>
      <c r="C298" s="240" t="s">
        <v>679</v>
      </c>
      <c r="D298" s="240" t="s">
        <v>928</v>
      </c>
      <c r="E298" s="241" t="s">
        <v>936</v>
      </c>
      <c r="F298" s="241" t="s">
        <v>81</v>
      </c>
      <c r="G298" s="270" t="s">
        <v>937</v>
      </c>
      <c r="H298" s="241" t="s">
        <v>37</v>
      </c>
      <c r="I298" s="241" t="s">
        <v>949</v>
      </c>
      <c r="J298" s="241"/>
      <c r="K298" s="246" t="s">
        <v>61</v>
      </c>
      <c r="L298" s="241" t="s">
        <v>39</v>
      </c>
      <c r="M298" s="246" t="s">
        <v>52</v>
      </c>
      <c r="N298" s="240" t="s">
        <v>950</v>
      </c>
      <c r="O298" s="246"/>
      <c r="P298" s="246" t="s">
        <v>41</v>
      </c>
      <c r="Q298" s="240" t="s">
        <v>951</v>
      </c>
      <c r="R298" s="240"/>
      <c r="S298" s="240"/>
      <c r="T298" s="240"/>
      <c r="U298" s="240"/>
      <c r="V298" s="270"/>
      <c r="W298" s="332" t="s">
        <v>86</v>
      </c>
      <c r="X298" s="332" t="s">
        <v>86</v>
      </c>
      <c r="Y298" s="275" t="s">
        <v>88</v>
      </c>
      <c r="Z298" s="275"/>
      <c r="AA298" s="336" t="e">
        <f>_xlfn.XLOOKUP($A298,'2026 Approved Budget'!$B:$B,'2026 Approved Budget'!C:C)</f>
        <v>#N/A</v>
      </c>
      <c r="AB298" s="275" t="s">
        <v>88</v>
      </c>
      <c r="AC298" s="336" t="e">
        <f>_xlfn.XLOOKUP($A298,'2026 Approved Budget'!$B:$B,'2026 Approved Budget'!D:D)</f>
        <v>#N/A</v>
      </c>
      <c r="AD298" s="336" t="e">
        <f>_xlfn.XLOOKUP($A298,'2026 Approved Budget'!$B:$B,'2026 Approved Budget'!E:E)</f>
        <v>#N/A</v>
      </c>
      <c r="AE298" s="336" t="e">
        <f>_xlfn.XLOOKUP($A298,'2026 Approved Budget'!$B:$B,'2026 Approved Budget'!F:F)</f>
        <v>#N/A</v>
      </c>
      <c r="AF298" s="338" t="e">
        <f>_xlfn.XLOOKUP($A298,'2026 Approved Budget'!$B:$B,'2026 Approved Budget'!H:H)</f>
        <v>#N/A</v>
      </c>
      <c r="AG298" s="254"/>
    </row>
    <row r="299" spans="1:33" s="27" customFormat="1" ht="30" hidden="1" customHeight="1" x14ac:dyDescent="0.2">
      <c r="A299" s="239">
        <v>1183</v>
      </c>
      <c r="B299" s="248" t="s">
        <v>678</v>
      </c>
      <c r="C299" s="248" t="s">
        <v>679</v>
      </c>
      <c r="D299" s="248" t="s">
        <v>935</v>
      </c>
      <c r="E299" s="250" t="s">
        <v>936</v>
      </c>
      <c r="F299" s="250" t="s">
        <v>81</v>
      </c>
      <c r="G299" s="252" t="s">
        <v>937</v>
      </c>
      <c r="H299" s="250" t="s">
        <v>37</v>
      </c>
      <c r="I299" s="250"/>
      <c r="J299" s="250"/>
      <c r="K299" s="250" t="s">
        <v>61</v>
      </c>
      <c r="L299" s="239" t="s">
        <v>62</v>
      </c>
      <c r="M299" s="239" t="s">
        <v>52</v>
      </c>
      <c r="N299" s="248"/>
      <c r="O299" s="239"/>
      <c r="P299" s="239" t="s">
        <v>41</v>
      </c>
      <c r="Q299" s="248" t="s">
        <v>938</v>
      </c>
      <c r="R299" s="248"/>
      <c r="S299" s="248"/>
      <c r="T299" s="248"/>
      <c r="U299" s="248"/>
      <c r="V299" s="252"/>
      <c r="W299" s="332" t="s">
        <v>86</v>
      </c>
      <c r="X299" s="332" t="s">
        <v>86</v>
      </c>
      <c r="Y299" s="275" t="s">
        <v>88</v>
      </c>
      <c r="Z299" s="275"/>
      <c r="AA299" s="336" t="e">
        <f>_xlfn.XLOOKUP($A299,'2026 Approved Budget'!$B:$B,'2026 Approved Budget'!C:C)</f>
        <v>#N/A</v>
      </c>
      <c r="AB299" s="275" t="s">
        <v>88</v>
      </c>
      <c r="AC299" s="336" t="e">
        <f>_xlfn.XLOOKUP($A299,'2026 Approved Budget'!$B:$B,'2026 Approved Budget'!D:D)</f>
        <v>#N/A</v>
      </c>
      <c r="AD299" s="336" t="e">
        <f>_xlfn.XLOOKUP($A299,'2026 Approved Budget'!$B:$B,'2026 Approved Budget'!E:E)</f>
        <v>#N/A</v>
      </c>
      <c r="AE299" s="336" t="e">
        <f>_xlfn.XLOOKUP($A299,'2026 Approved Budget'!$B:$B,'2026 Approved Budget'!F:F)</f>
        <v>#N/A</v>
      </c>
      <c r="AF299" s="338" t="e">
        <f>_xlfn.XLOOKUP($A299,'2026 Approved Budget'!$B:$B,'2026 Approved Budget'!H:H)</f>
        <v>#N/A</v>
      </c>
      <c r="AG299" s="254" t="s">
        <v>934</v>
      </c>
    </row>
    <row r="300" spans="1:33" s="27" customFormat="1" ht="30" hidden="1" customHeight="1" x14ac:dyDescent="0.2">
      <c r="A300" s="239">
        <v>5271</v>
      </c>
      <c r="B300" s="248" t="s">
        <v>678</v>
      </c>
      <c r="C300" s="248" t="s">
        <v>679</v>
      </c>
      <c r="D300" s="248" t="s">
        <v>939</v>
      </c>
      <c r="E300" s="250" t="s">
        <v>936</v>
      </c>
      <c r="F300" s="250" t="s">
        <v>81</v>
      </c>
      <c r="G300" s="252" t="s">
        <v>940</v>
      </c>
      <c r="H300" s="250" t="s">
        <v>37</v>
      </c>
      <c r="I300" s="250"/>
      <c r="J300" s="250"/>
      <c r="K300" s="239" t="s">
        <v>71</v>
      </c>
      <c r="L300" s="250" t="s">
        <v>62</v>
      </c>
      <c r="M300" s="239" t="s">
        <v>52</v>
      </c>
      <c r="N300" s="248"/>
      <c r="O300" s="239"/>
      <c r="P300" s="239" t="s">
        <v>41</v>
      </c>
      <c r="Q300" s="248" t="s">
        <v>941</v>
      </c>
      <c r="R300" s="248" t="s">
        <v>942</v>
      </c>
      <c r="S300" s="248" t="s">
        <v>943</v>
      </c>
      <c r="T300" s="248" t="s">
        <v>944</v>
      </c>
      <c r="U300" s="248"/>
      <c r="V300" s="252"/>
      <c r="W300" s="332" t="s">
        <v>86</v>
      </c>
      <c r="X300" s="332" t="s">
        <v>86</v>
      </c>
      <c r="Y300" s="275" t="s">
        <v>88</v>
      </c>
      <c r="Z300" s="337"/>
      <c r="AA300" s="336" t="str">
        <f>_xlfn.XLOOKUP($A300,'2026 Approved Budget'!$B:$B,'2026 Approved Budget'!C:C)</f>
        <v>105 Research and Translational Science</v>
      </c>
      <c r="AB300" s="332" t="s">
        <v>46</v>
      </c>
      <c r="AC300" s="336" t="str">
        <f>_xlfn.XLOOKUP($A300,'2026 Approved Budget'!$B:$B,'2026 Approved Budget'!D:D)</f>
        <v>TBD</v>
      </c>
      <c r="AD300" s="336" t="str">
        <f>_xlfn.XLOOKUP($A300,'2026 Approved Budget'!$B:$B,'2026 Approved Budget'!E:E)</f>
        <v>01. IC / Coordinator</v>
      </c>
      <c r="AE300" s="336" t="str">
        <f>_xlfn.XLOOKUP($A300,'2026 Approved Budget'!$B:$B,'2026 Approved Budget'!F:F)</f>
        <v>Postdoctoral Fellow / Visiting Scholar (veterinarian)</v>
      </c>
      <c r="AF300" s="338">
        <f>_xlfn.XLOOKUP($A300,'2026 Approved Budget'!$B:$B,'2026 Approved Budget'!H:H)</f>
        <v>46461</v>
      </c>
      <c r="AG300" s="254" t="s">
        <v>934</v>
      </c>
    </row>
    <row r="301" spans="1:33" s="27" customFormat="1" ht="30" customHeight="1" x14ac:dyDescent="0.2">
      <c r="A301" s="239">
        <v>5284</v>
      </c>
      <c r="B301" s="248" t="s">
        <v>678</v>
      </c>
      <c r="C301" s="248" t="s">
        <v>679</v>
      </c>
      <c r="D301" s="248" t="s">
        <v>952</v>
      </c>
      <c r="E301" s="250" t="s">
        <v>34</v>
      </c>
      <c r="F301" s="251" t="s">
        <v>138</v>
      </c>
      <c r="G301" s="252" t="s">
        <v>998</v>
      </c>
      <c r="H301" s="250" t="s">
        <v>37</v>
      </c>
      <c r="I301" s="250">
        <v>1</v>
      </c>
      <c r="J301" s="250"/>
      <c r="K301" s="253" t="s">
        <v>71</v>
      </c>
      <c r="L301" s="239"/>
      <c r="M301" s="239"/>
      <c r="N301" s="248"/>
      <c r="O301" s="239"/>
      <c r="P301" s="250" t="s">
        <v>41</v>
      </c>
      <c r="Q301" s="248" t="s">
        <v>999</v>
      </c>
      <c r="R301" s="248" t="s">
        <v>1000</v>
      </c>
      <c r="S301" s="248"/>
      <c r="T301" s="248"/>
      <c r="U301" s="248"/>
      <c r="V301" s="252"/>
      <c r="W301" s="332" t="s">
        <v>43</v>
      </c>
      <c r="X301" s="332" t="s">
        <v>103</v>
      </c>
      <c r="Y301" s="275" t="s">
        <v>69</v>
      </c>
      <c r="Z301" s="337" t="s">
        <v>45</v>
      </c>
      <c r="AA301" s="336" t="str">
        <f>_xlfn.XLOOKUP($A301,'2026 Approved Budget'!$B:$B,'2026 Approved Budget'!C:C)</f>
        <v>105 Research and Translational Science</v>
      </c>
      <c r="AB301" s="332" t="s">
        <v>46</v>
      </c>
      <c r="AC301" s="336" t="str">
        <f>_xlfn.XLOOKUP($A301,'2026 Approved Budget'!$B:$B,'2026 Approved Budget'!D:D)</f>
        <v>TBD</v>
      </c>
      <c r="AD301" s="336" t="str">
        <f>_xlfn.XLOOKUP($A301,'2026 Approved Budget'!$B:$B,'2026 Approved Budget'!E:E)</f>
        <v>04. AD / Staff Scientist</v>
      </c>
      <c r="AE301" s="336" t="str">
        <f>_xlfn.XLOOKUP($A301,'2026 Approved Budget'!$B:$B,'2026 Approved Budget'!F:F)</f>
        <v>Staff Scientist, Associate Director, Comp. Biology</v>
      </c>
      <c r="AF301" s="338">
        <f>_xlfn.XLOOKUP($A301,'2026 Approved Budget'!$B:$B,'2026 Approved Budget'!H:H)</f>
        <v>46371</v>
      </c>
      <c r="AG301" s="254"/>
    </row>
    <row r="302" spans="1:33" s="27" customFormat="1" ht="30" hidden="1" customHeight="1" x14ac:dyDescent="0.2">
      <c r="A302" s="239">
        <v>5274</v>
      </c>
      <c r="B302" s="248" t="s">
        <v>678</v>
      </c>
      <c r="C302" s="248" t="s">
        <v>679</v>
      </c>
      <c r="D302" s="248" t="s">
        <v>952</v>
      </c>
      <c r="E302" s="250" t="s">
        <v>180</v>
      </c>
      <c r="F302" s="251" t="s">
        <v>117</v>
      </c>
      <c r="G302" s="252" t="s">
        <v>953</v>
      </c>
      <c r="H302" s="250" t="s">
        <v>37</v>
      </c>
      <c r="I302" s="251"/>
      <c r="J302" s="251"/>
      <c r="K302" s="250" t="s">
        <v>100</v>
      </c>
      <c r="L302" s="250"/>
      <c r="M302" s="250"/>
      <c r="N302" s="248" t="s">
        <v>954</v>
      </c>
      <c r="O302" s="239"/>
      <c r="P302" s="239" t="s">
        <v>41</v>
      </c>
      <c r="Q302" s="248" t="s">
        <v>955</v>
      </c>
      <c r="R302" s="248" t="s">
        <v>956</v>
      </c>
      <c r="S302" s="254" t="s">
        <v>957</v>
      </c>
      <c r="T302" s="248" t="s">
        <v>958</v>
      </c>
      <c r="U302" s="248"/>
      <c r="V302" s="252"/>
      <c r="W302" s="335" t="s">
        <v>184</v>
      </c>
      <c r="X302" s="335" t="s">
        <v>184</v>
      </c>
      <c r="Y302" s="335" t="s">
        <v>873</v>
      </c>
      <c r="Z302" s="335"/>
      <c r="AA302" s="336" t="str">
        <f>_xlfn.XLOOKUP($A302,'2026 Approved Budget'!$B:$B,'2026 Approved Budget'!C:C)</f>
        <v>105 Research and Translational Science</v>
      </c>
      <c r="AB302" s="332" t="s">
        <v>185</v>
      </c>
      <c r="AC302" s="336" t="str">
        <f>_xlfn.XLOOKUP($A302,'2026 Approved Budget'!$B:$B,'2026 Approved Budget'!D:D)</f>
        <v>TBD</v>
      </c>
      <c r="AD302" s="336" t="str">
        <f>_xlfn.XLOOKUP($A302,'2026 Approved Budget'!$B:$B,'2026 Approved Budget'!E:E)</f>
        <v>03. Sr. Manager / Sr. Scientist</v>
      </c>
      <c r="AE302" s="336" t="str">
        <f>_xlfn.XLOOKUP($A302,'2026 Approved Budget'!$B:$B,'2026 Approved Budget'!F:F)</f>
        <v>Senior/PI, Tox</v>
      </c>
      <c r="AF302" s="338">
        <f>_xlfn.XLOOKUP($A302,'2026 Approved Budget'!$B:$B,'2026 Approved Budget'!H:H)</f>
        <v>46645</v>
      </c>
      <c r="AG302" s="254" t="s">
        <v>934</v>
      </c>
    </row>
    <row r="303" spans="1:33" s="27" customFormat="1" ht="30" hidden="1" customHeight="1" x14ac:dyDescent="0.2">
      <c r="A303" s="239">
        <v>1189</v>
      </c>
      <c r="B303" s="248" t="s">
        <v>678</v>
      </c>
      <c r="C303" s="248" t="s">
        <v>679</v>
      </c>
      <c r="D303" s="248" t="s">
        <v>945</v>
      </c>
      <c r="E303" s="250" t="s">
        <v>180</v>
      </c>
      <c r="F303" s="251" t="s">
        <v>81</v>
      </c>
      <c r="G303" s="252" t="s">
        <v>946</v>
      </c>
      <c r="H303" s="250" t="s">
        <v>37</v>
      </c>
      <c r="I303" s="251"/>
      <c r="J303" s="251"/>
      <c r="K303" s="250" t="s">
        <v>71</v>
      </c>
      <c r="L303" s="239"/>
      <c r="M303" s="239"/>
      <c r="N303" s="248"/>
      <c r="O303" s="239"/>
      <c r="P303" s="239" t="s">
        <v>41</v>
      </c>
      <c r="Q303" s="248" t="s">
        <v>947</v>
      </c>
      <c r="R303" s="248"/>
      <c r="S303" s="248" t="s">
        <v>948</v>
      </c>
      <c r="T303" s="248"/>
      <c r="U303" s="248"/>
      <c r="V303" s="252"/>
      <c r="W303" s="335" t="s">
        <v>184</v>
      </c>
      <c r="X303" s="335" t="s">
        <v>184</v>
      </c>
      <c r="Y303" s="335" t="s">
        <v>873</v>
      </c>
      <c r="Z303" s="335"/>
      <c r="AA303" s="336" t="str">
        <f>_xlfn.XLOOKUP($A303,'2026 Approved Budget'!$B:$B,'2026 Approved Budget'!C:C)</f>
        <v>105 Research and Translational Science</v>
      </c>
      <c r="AB303" s="332" t="s">
        <v>185</v>
      </c>
      <c r="AC303" s="336" t="str">
        <f>_xlfn.XLOOKUP($A303,'2026 Approved Budget'!$B:$B,'2026 Approved Budget'!D:D)</f>
        <v>TBD</v>
      </c>
      <c r="AD303" s="336" t="str">
        <f>_xlfn.XLOOKUP($A303,'2026 Approved Budget'!$B:$B,'2026 Approved Budget'!E:E)</f>
        <v>01. IC / Coordinator</v>
      </c>
      <c r="AE303" s="336" t="str">
        <f>_xlfn.XLOOKUP($A303,'2026 Approved Budget'!$B:$B,'2026 Approved Budget'!F:F)</f>
        <v>Animal Care, vivarium</v>
      </c>
      <c r="AF303" s="338">
        <f>_xlfn.XLOOKUP($A303,'2026 Approved Budget'!$B:$B,'2026 Approved Budget'!H:H)</f>
        <v>46461</v>
      </c>
      <c r="AG303" s="254" t="s">
        <v>934</v>
      </c>
    </row>
    <row r="304" spans="1:33" s="146" customFormat="1" ht="75" hidden="1" customHeight="1" x14ac:dyDescent="0.2">
      <c r="A304" s="239">
        <v>1382</v>
      </c>
      <c r="B304" s="248" t="s">
        <v>678</v>
      </c>
      <c r="C304" s="248" t="s">
        <v>679</v>
      </c>
      <c r="D304" s="249" t="s">
        <v>952</v>
      </c>
      <c r="E304" s="250" t="s">
        <v>180</v>
      </c>
      <c r="F304" s="251" t="s">
        <v>81</v>
      </c>
      <c r="G304" s="256" t="s">
        <v>959</v>
      </c>
      <c r="H304" s="251" t="s">
        <v>37</v>
      </c>
      <c r="I304" s="250"/>
      <c r="J304" s="250"/>
      <c r="K304" s="253" t="s">
        <v>71</v>
      </c>
      <c r="L304" s="239"/>
      <c r="M304" s="239"/>
      <c r="N304" s="249"/>
      <c r="O304" s="239"/>
      <c r="P304" s="239" t="s">
        <v>41</v>
      </c>
      <c r="Q304" s="248"/>
      <c r="R304" s="248"/>
      <c r="S304" s="249" t="s">
        <v>960</v>
      </c>
      <c r="T304" s="249"/>
      <c r="U304" s="249"/>
      <c r="V304" s="256"/>
      <c r="W304" s="335" t="s">
        <v>184</v>
      </c>
      <c r="X304" s="335" t="s">
        <v>184</v>
      </c>
      <c r="Y304" s="335" t="s">
        <v>873</v>
      </c>
      <c r="Z304" s="335"/>
      <c r="AA304" s="336" t="str">
        <f>_xlfn.XLOOKUP($A304,'2026 Approved Budget'!$B:$B,'2026 Approved Budget'!C:C)</f>
        <v>105 Research and Translational Science</v>
      </c>
      <c r="AB304" s="332" t="s">
        <v>185</v>
      </c>
      <c r="AC304" s="336" t="str">
        <f>_xlfn.XLOOKUP($A304,'2026 Approved Budget'!$B:$B,'2026 Approved Budget'!D:D)</f>
        <v>TBD</v>
      </c>
      <c r="AD304" s="336" t="str">
        <f>_xlfn.XLOOKUP($A304,'2026 Approved Budget'!$B:$B,'2026 Approved Budget'!E:E)</f>
        <v>01. IC / Coordinator</v>
      </c>
      <c r="AE304" s="336" t="str">
        <f>_xlfn.XLOOKUP($A304,'2026 Approved Budget'!$B:$B,'2026 Approved Budget'!F:F)</f>
        <v>Lab Manager / Research Admin for legal and procurement (repurpose for lab manager)</v>
      </c>
      <c r="AF304" s="338">
        <f>_xlfn.XLOOKUP($A304,'2026 Approved Budget'!$B:$B,'2026 Approved Budget'!H:H)</f>
        <v>46461</v>
      </c>
      <c r="AG304" s="254" t="s">
        <v>934</v>
      </c>
    </row>
    <row r="305" spans="1:33" s="146" customFormat="1" ht="30" customHeight="1" x14ac:dyDescent="0.2">
      <c r="A305" s="239">
        <v>1175</v>
      </c>
      <c r="B305" s="248" t="s">
        <v>678</v>
      </c>
      <c r="C305" s="248" t="s">
        <v>679</v>
      </c>
      <c r="D305" s="248" t="s">
        <v>923</v>
      </c>
      <c r="E305" s="250" t="s">
        <v>34</v>
      </c>
      <c r="F305" s="251" t="s">
        <v>81</v>
      </c>
      <c r="G305" s="252" t="s">
        <v>924</v>
      </c>
      <c r="H305" s="250" t="s">
        <v>37</v>
      </c>
      <c r="I305" s="251">
        <v>4</v>
      </c>
      <c r="J305" s="251"/>
      <c r="K305" s="253" t="s">
        <v>100</v>
      </c>
      <c r="L305" s="239"/>
      <c r="M305" s="239"/>
      <c r="N305" s="248"/>
      <c r="O305" s="239"/>
      <c r="P305" s="239" t="s">
        <v>41</v>
      </c>
      <c r="Q305" s="248" t="s">
        <v>925</v>
      </c>
      <c r="R305" s="248" t="s">
        <v>926</v>
      </c>
      <c r="S305" s="248" t="s">
        <v>927</v>
      </c>
      <c r="T305" s="248"/>
      <c r="U305" s="248"/>
      <c r="V305" s="252" t="s">
        <v>102</v>
      </c>
      <c r="W305" s="332" t="s">
        <v>43</v>
      </c>
      <c r="X305" s="332" t="s">
        <v>43</v>
      </c>
      <c r="Y305" s="275" t="s">
        <v>69</v>
      </c>
      <c r="Z305" s="337" t="s">
        <v>45</v>
      </c>
      <c r="AA305" s="336" t="str">
        <f>_xlfn.XLOOKUP($A305,'2026 Approved Budget'!$B:$B,'2026 Approved Budget'!C:C)</f>
        <v>105 Research and Translational Science</v>
      </c>
      <c r="AB305" s="332" t="s">
        <v>46</v>
      </c>
      <c r="AC305" s="336" t="str">
        <f>_xlfn.XLOOKUP($A305,'2026 Approved Budget'!$B:$B,'2026 Approved Budget'!D:D)</f>
        <v>TBD</v>
      </c>
      <c r="AD305" s="336" t="str">
        <f>_xlfn.XLOOKUP($A305,'2026 Approved Budget'!$B:$B,'2026 Approved Budget'!E:E)</f>
        <v>01. IC / Coordinator</v>
      </c>
      <c r="AE305" s="336" t="str">
        <f>_xlfn.XLOOKUP($A305,'2026 Approved Budget'!$B:$B,'2026 Approved Budget'!F:F)</f>
        <v>RA, Biology</v>
      </c>
      <c r="AF305" s="338">
        <f>_xlfn.XLOOKUP($A305,'2026 Approved Budget'!$B:$B,'2026 Approved Budget'!H:H)</f>
        <v>46280</v>
      </c>
      <c r="AG305" s="254"/>
    </row>
    <row r="306" spans="1:33" s="146" customFormat="1" ht="30" hidden="1" customHeight="1" x14ac:dyDescent="0.2">
      <c r="A306" s="239">
        <v>1194</v>
      </c>
      <c r="B306" s="240" t="s">
        <v>678</v>
      </c>
      <c r="C306" s="242" t="s">
        <v>1001</v>
      </c>
      <c r="D306" s="240" t="s">
        <v>809</v>
      </c>
      <c r="E306" s="241" t="s">
        <v>34</v>
      </c>
      <c r="F306" s="243" t="s">
        <v>138</v>
      </c>
      <c r="G306" s="242" t="s">
        <v>1002</v>
      </c>
      <c r="H306" s="241" t="s">
        <v>37</v>
      </c>
      <c r="I306" s="241"/>
      <c r="J306" s="241"/>
      <c r="K306" s="247" t="s">
        <v>38</v>
      </c>
      <c r="L306" s="241" t="s">
        <v>39</v>
      </c>
      <c r="M306" s="241"/>
      <c r="N306" s="245" t="s">
        <v>1003</v>
      </c>
      <c r="O306" s="246">
        <v>10025</v>
      </c>
      <c r="P306" s="241" t="s">
        <v>109</v>
      </c>
      <c r="Q306" s="240" t="s">
        <v>1004</v>
      </c>
      <c r="R306" s="240"/>
      <c r="S306" s="245"/>
      <c r="T306" s="245"/>
      <c r="U306" s="245"/>
      <c r="V306" s="242"/>
      <c r="W306" s="332" t="s">
        <v>43</v>
      </c>
      <c r="X306" s="332" t="s">
        <v>43</v>
      </c>
      <c r="Y306" s="336" t="s">
        <v>44</v>
      </c>
      <c r="Z306" s="337" t="s">
        <v>45</v>
      </c>
      <c r="AA306" s="336" t="str">
        <f>_xlfn.XLOOKUP($A306,'2026 Approved Budget'!$B:$B,'2026 Approved Budget'!C:C)</f>
        <v>115 In Vivo Research</v>
      </c>
      <c r="AB306" s="332" t="s">
        <v>46</v>
      </c>
      <c r="AC306" s="336" t="str">
        <f>_xlfn.XLOOKUP($A306,'2026 Approved Budget'!$B:$B,'2026 Approved Budget'!D:D)</f>
        <v>Beth Geist</v>
      </c>
      <c r="AD306" s="336" t="str">
        <f>_xlfn.XLOOKUP($A306,'2026 Approved Budget'!$B:$B,'2026 Approved Budget'!E:E)</f>
        <v>04. AD / Staff Scientist</v>
      </c>
      <c r="AE306" s="336" t="str">
        <f>_xlfn.XLOOKUP($A306,'2026 Approved Budget'!$B:$B,'2026 Approved Budget'!F:F)</f>
        <v>Staff Scientist, Director, In Vivo Pharmacology &amp; Attending Vet</v>
      </c>
      <c r="AF306" s="338">
        <f>_xlfn.XLOOKUP($A306,'2026 Approved Budget'!$B:$B,'2026 Approved Budget'!H:H)</f>
        <v>45516</v>
      </c>
      <c r="AG306" s="254"/>
    </row>
    <row r="307" spans="1:33" s="146" customFormat="1" ht="30" hidden="1" customHeight="1" x14ac:dyDescent="0.2">
      <c r="A307" s="239">
        <v>1191</v>
      </c>
      <c r="B307" s="240" t="s">
        <v>678</v>
      </c>
      <c r="C307" s="242" t="s">
        <v>1001</v>
      </c>
      <c r="D307" s="240" t="s">
        <v>939</v>
      </c>
      <c r="E307" s="241" t="s">
        <v>34</v>
      </c>
      <c r="F307" s="243" t="s">
        <v>117</v>
      </c>
      <c r="G307" s="242" t="s">
        <v>1005</v>
      </c>
      <c r="H307" s="241" t="s">
        <v>37</v>
      </c>
      <c r="I307" s="241"/>
      <c r="J307" s="241"/>
      <c r="K307" s="247" t="s">
        <v>38</v>
      </c>
      <c r="L307" s="241" t="s">
        <v>39</v>
      </c>
      <c r="M307" s="241"/>
      <c r="N307" s="245" t="s">
        <v>1006</v>
      </c>
      <c r="O307" s="246">
        <v>10026</v>
      </c>
      <c r="P307" s="241" t="s">
        <v>109</v>
      </c>
      <c r="Q307" s="240" t="s">
        <v>1004</v>
      </c>
      <c r="R307" s="240"/>
      <c r="S307" s="245"/>
      <c r="T307" s="245"/>
      <c r="U307" s="245"/>
      <c r="V307" s="242"/>
      <c r="W307" s="332" t="s">
        <v>43</v>
      </c>
      <c r="X307" s="332" t="s">
        <v>43</v>
      </c>
      <c r="Y307" s="336" t="s">
        <v>44</v>
      </c>
      <c r="Z307" s="337" t="s">
        <v>45</v>
      </c>
      <c r="AA307" s="336" t="str">
        <f>_xlfn.XLOOKUP($A307,'2026 Approved Budget'!$B:$B,'2026 Approved Budget'!C:C)</f>
        <v>115 In Vivo Research</v>
      </c>
      <c r="AB307" s="332" t="s">
        <v>46</v>
      </c>
      <c r="AC307" s="336" t="str">
        <f>_xlfn.XLOOKUP($A307,'2026 Approved Budget'!$B:$B,'2026 Approved Budget'!D:D)</f>
        <v>Chris Zambataro</v>
      </c>
      <c r="AD307" s="336" t="str">
        <f>_xlfn.XLOOKUP($A307,'2026 Approved Budget'!$B:$B,'2026 Approved Budget'!E:E)</f>
        <v>03. Sr. Manager / Sr. Scientist</v>
      </c>
      <c r="AE307" s="336" t="str">
        <f>_xlfn.XLOOKUP($A307,'2026 Approved Budget'!$B:$B,'2026 Approved Budget'!F:F)</f>
        <v>Senior Scientist, In Vivo Pharmacology</v>
      </c>
      <c r="AF307" s="338">
        <f>_xlfn.XLOOKUP($A307,'2026 Approved Budget'!$B:$B,'2026 Approved Budget'!H:H)</f>
        <v>45516</v>
      </c>
      <c r="AG307" s="254"/>
    </row>
    <row r="308" spans="1:33" s="147" customFormat="1" ht="30" hidden="1" customHeight="1" x14ac:dyDescent="0.2">
      <c r="A308" s="239">
        <v>1193</v>
      </c>
      <c r="B308" s="240" t="s">
        <v>678</v>
      </c>
      <c r="C308" s="242" t="s">
        <v>1001</v>
      </c>
      <c r="D308" s="240" t="s">
        <v>939</v>
      </c>
      <c r="E308" s="241" t="s">
        <v>34</v>
      </c>
      <c r="F308" s="243" t="s">
        <v>197</v>
      </c>
      <c r="G308" s="242" t="s">
        <v>1007</v>
      </c>
      <c r="H308" s="241" t="s">
        <v>37</v>
      </c>
      <c r="I308" s="241"/>
      <c r="J308" s="241"/>
      <c r="K308" s="247" t="s">
        <v>130</v>
      </c>
      <c r="L308" s="241" t="s">
        <v>39</v>
      </c>
      <c r="M308" s="246" t="s">
        <v>52</v>
      </c>
      <c r="N308" s="240" t="s">
        <v>1008</v>
      </c>
      <c r="O308" s="246">
        <v>10189</v>
      </c>
      <c r="P308" s="241" t="s">
        <v>41</v>
      </c>
      <c r="Q308" s="240" t="s">
        <v>1007</v>
      </c>
      <c r="R308" s="240"/>
      <c r="S308" s="240"/>
      <c r="T308" s="240"/>
      <c r="U308" s="240"/>
      <c r="V308" s="242"/>
      <c r="W308" s="332" t="s">
        <v>43</v>
      </c>
      <c r="X308" s="332" t="s">
        <v>43</v>
      </c>
      <c r="Y308" s="336" t="s">
        <v>44</v>
      </c>
      <c r="Z308" s="337" t="s">
        <v>45</v>
      </c>
      <c r="AA308" s="336" t="str">
        <f>_xlfn.XLOOKUP($A308,'2026 Approved Budget'!$B:$B,'2026 Approved Budget'!C:C)</f>
        <v>115 In Vivo Research</v>
      </c>
      <c r="AB308" s="332" t="s">
        <v>46</v>
      </c>
      <c r="AC308" s="336" t="str">
        <f>_xlfn.XLOOKUP($A308,'2026 Approved Budget'!$B:$B,'2026 Approved Budget'!D:D)</f>
        <v>Brooke Cobb</v>
      </c>
      <c r="AD308" s="336" t="str">
        <f>_xlfn.XLOOKUP($A308,'2026 Approved Budget'!$B:$B,'2026 Approved Budget'!E:E)</f>
        <v>02. Manager / Scientist</v>
      </c>
      <c r="AE308" s="336" t="str">
        <f>_xlfn.XLOOKUP($A308,'2026 Approved Budget'!$B:$B,'2026 Approved Budget'!F:F)</f>
        <v>Vivarium Manager</v>
      </c>
      <c r="AF308" s="338">
        <f>_xlfn.XLOOKUP($A308,'2026 Approved Budget'!$B:$B,'2026 Approved Budget'!H:H)</f>
        <v>45747</v>
      </c>
      <c r="AG308" s="254"/>
    </row>
    <row r="309" spans="1:33" s="147" customFormat="1" ht="32" hidden="1" x14ac:dyDescent="0.2">
      <c r="A309" s="239">
        <v>1178</v>
      </c>
      <c r="B309" s="240" t="s">
        <v>678</v>
      </c>
      <c r="C309" s="242" t="s">
        <v>1001</v>
      </c>
      <c r="D309" s="240" t="s">
        <v>952</v>
      </c>
      <c r="E309" s="241" t="s">
        <v>34</v>
      </c>
      <c r="F309" s="243" t="s">
        <v>197</v>
      </c>
      <c r="G309" s="242" t="s">
        <v>1013</v>
      </c>
      <c r="H309" s="241" t="s">
        <v>50</v>
      </c>
      <c r="I309" s="243"/>
      <c r="J309" s="243"/>
      <c r="K309" s="247" t="s">
        <v>61</v>
      </c>
      <c r="L309" s="246" t="s">
        <v>39</v>
      </c>
      <c r="M309" s="246" t="s">
        <v>52</v>
      </c>
      <c r="N309" s="240" t="s">
        <v>1014</v>
      </c>
      <c r="O309" s="246">
        <v>10176</v>
      </c>
      <c r="P309" s="246" t="s">
        <v>41</v>
      </c>
      <c r="Q309" s="240" t="s">
        <v>1015</v>
      </c>
      <c r="R309" s="240" t="s">
        <v>1016</v>
      </c>
      <c r="S309" s="240" t="s">
        <v>1017</v>
      </c>
      <c r="T309" s="240"/>
      <c r="U309" s="240"/>
      <c r="V309" s="242"/>
      <c r="W309" s="332" t="s">
        <v>43</v>
      </c>
      <c r="X309" s="332" t="s">
        <v>43</v>
      </c>
      <c r="Y309" s="336" t="s">
        <v>44</v>
      </c>
      <c r="Z309" s="337" t="s">
        <v>45</v>
      </c>
      <c r="AA309" s="336" t="str">
        <f>_xlfn.XLOOKUP($A309,'2026 Approved Budget'!$B:$B,'2026 Approved Budget'!C:C)</f>
        <v>105 Research and Translational Science</v>
      </c>
      <c r="AB309" s="336" t="s">
        <v>88</v>
      </c>
      <c r="AC309" s="336" t="str">
        <f>_xlfn.XLOOKUP($A309,'2026 Approved Budget'!$B:$B,'2026 Approved Budget'!D:D)</f>
        <v>Daniel Edelberg</v>
      </c>
      <c r="AD309" s="336" t="str">
        <f>_xlfn.XLOOKUP($A309,'2026 Approved Budget'!$B:$B,'2026 Approved Budget'!E:E)</f>
        <v>02. Manager / Scientist</v>
      </c>
      <c r="AE309" s="336" t="str">
        <f>_xlfn.XLOOKUP($A309,'2026 Approved Budget'!$B:$B,'2026 Approved Budget'!F:F)</f>
        <v>Scientist, TM</v>
      </c>
      <c r="AF309" s="338">
        <f>_xlfn.XLOOKUP($A309,'2026 Approved Budget'!$B:$B,'2026 Approved Budget'!H:H)</f>
        <v>46096</v>
      </c>
      <c r="AG309" s="254" t="s">
        <v>851</v>
      </c>
    </row>
    <row r="310" spans="1:33" s="147" customFormat="1" ht="45" hidden="1" customHeight="1" x14ac:dyDescent="0.2">
      <c r="A310" s="239">
        <v>1179</v>
      </c>
      <c r="B310" s="240" t="s">
        <v>678</v>
      </c>
      <c r="C310" s="242" t="s">
        <v>1001</v>
      </c>
      <c r="D310" s="240" t="s">
        <v>1009</v>
      </c>
      <c r="E310" s="241" t="s">
        <v>34</v>
      </c>
      <c r="F310" s="243" t="s">
        <v>81</v>
      </c>
      <c r="G310" s="242" t="s">
        <v>1010</v>
      </c>
      <c r="H310" s="241" t="s">
        <v>37</v>
      </c>
      <c r="I310" s="241"/>
      <c r="J310" s="241"/>
      <c r="K310" s="247" t="s">
        <v>51</v>
      </c>
      <c r="L310" s="241" t="s">
        <v>39</v>
      </c>
      <c r="M310" s="246" t="s">
        <v>52</v>
      </c>
      <c r="N310" s="240" t="s">
        <v>1011</v>
      </c>
      <c r="O310" s="246">
        <v>10260</v>
      </c>
      <c r="P310" s="241" t="s">
        <v>109</v>
      </c>
      <c r="Q310" s="240" t="s">
        <v>1012</v>
      </c>
      <c r="R310" s="240"/>
      <c r="S310" s="240"/>
      <c r="T310" s="240"/>
      <c r="U310" s="240"/>
      <c r="V310" s="242"/>
      <c r="W310" s="103" t="s">
        <v>165</v>
      </c>
      <c r="X310" s="332" t="s">
        <v>43</v>
      </c>
      <c r="Y310" s="336" t="s">
        <v>44</v>
      </c>
      <c r="Z310" s="337" t="s">
        <v>45</v>
      </c>
      <c r="AA310" s="336" t="str">
        <f>_xlfn.XLOOKUP($A310,'2026 Approved Budget'!$B:$B,'2026 Approved Budget'!C:C)</f>
        <v>115 In Vivo Research</v>
      </c>
      <c r="AB310" s="332" t="s">
        <v>46</v>
      </c>
      <c r="AC310" s="336" t="str">
        <f>_xlfn.XLOOKUP($A310,'2026 Approved Budget'!$B:$B,'2026 Approved Budget'!D:D)</f>
        <v>Enkhjin Bat-Erdene</v>
      </c>
      <c r="AD310" s="336" t="str">
        <f>_xlfn.XLOOKUP($A310,'2026 Approved Budget'!$B:$B,'2026 Approved Budget'!E:E)</f>
        <v>02. Manager / Scientist</v>
      </c>
      <c r="AE310" s="336" t="str">
        <f>_xlfn.XLOOKUP($A310,'2026 Approved Budget'!$B:$B,'2026 Approved Budget'!F:F)</f>
        <v>Research Assistant, In Vivo Pharmacology</v>
      </c>
      <c r="AF310" s="338">
        <f>_xlfn.XLOOKUP($A310,'2026 Approved Budget'!$B:$B,'2026 Approved Budget'!H:H)</f>
        <v>45880</v>
      </c>
      <c r="AG310" s="254"/>
    </row>
    <row r="311" spans="1:33" s="147" customFormat="1" ht="30" hidden="1" customHeight="1" x14ac:dyDescent="0.2">
      <c r="A311" s="281">
        <v>1199</v>
      </c>
      <c r="B311" s="278" t="s">
        <v>1018</v>
      </c>
      <c r="C311" s="248" t="s">
        <v>1019</v>
      </c>
      <c r="D311" s="248" t="s">
        <v>1026</v>
      </c>
      <c r="E311" s="250" t="s">
        <v>180</v>
      </c>
      <c r="F311" s="282" t="s">
        <v>117</v>
      </c>
      <c r="G311" s="252" t="s">
        <v>1027</v>
      </c>
      <c r="H311" s="251" t="s">
        <v>37</v>
      </c>
      <c r="I311" s="250" t="s">
        <v>1022</v>
      </c>
      <c r="J311" s="250"/>
      <c r="K311" s="253" t="s">
        <v>130</v>
      </c>
      <c r="L311" s="281" t="s">
        <v>182</v>
      </c>
      <c r="M311" s="281"/>
      <c r="N311" s="248" t="s">
        <v>1028</v>
      </c>
      <c r="O311" s="281"/>
      <c r="P311" s="250" t="s">
        <v>109</v>
      </c>
      <c r="Q311" s="248" t="s">
        <v>1029</v>
      </c>
      <c r="R311" s="248" t="s">
        <v>1022</v>
      </c>
      <c r="S311" s="248" t="s">
        <v>1022</v>
      </c>
      <c r="T311" s="248" t="s">
        <v>1022</v>
      </c>
      <c r="U311" s="261" t="s">
        <v>692</v>
      </c>
      <c r="V311" s="252"/>
      <c r="W311" s="335" t="s">
        <v>184</v>
      </c>
      <c r="X311" s="335" t="s">
        <v>184</v>
      </c>
      <c r="Y311" s="335" t="s">
        <v>185</v>
      </c>
      <c r="Z311" s="335"/>
      <c r="AA311" s="336" t="e">
        <f>_xlfn.XLOOKUP($A311,'2026 Approved Budget'!$B:$B,'2026 Approved Budget'!C:C)</f>
        <v>#N/A</v>
      </c>
      <c r="AB311" s="332" t="s">
        <v>185</v>
      </c>
      <c r="AC311" s="336" t="e">
        <f>_xlfn.XLOOKUP($A311,'2026 Approved Budget'!$B:$B,'2026 Approved Budget'!D:D)</f>
        <v>#N/A</v>
      </c>
      <c r="AD311" s="336" t="e">
        <f>_xlfn.XLOOKUP($A311,'2026 Approved Budget'!$B:$B,'2026 Approved Budget'!E:E)</f>
        <v>#N/A</v>
      </c>
      <c r="AE311" s="336" t="e">
        <f>_xlfn.XLOOKUP($A311,'2026 Approved Budget'!$B:$B,'2026 Approved Budget'!F:F)</f>
        <v>#N/A</v>
      </c>
      <c r="AF311" s="338" t="e">
        <f>_xlfn.XLOOKUP($A311,'2026 Approved Budget'!$B:$B,'2026 Approved Budget'!H:H)</f>
        <v>#N/A</v>
      </c>
      <c r="AG311" s="254"/>
    </row>
    <row r="312" spans="1:33" s="147" customFormat="1" ht="30" hidden="1" customHeight="1" x14ac:dyDescent="0.2">
      <c r="A312" s="281">
        <v>1209</v>
      </c>
      <c r="B312" s="278" t="s">
        <v>1018</v>
      </c>
      <c r="C312" s="248" t="s">
        <v>1019</v>
      </c>
      <c r="D312" s="248" t="s">
        <v>1030</v>
      </c>
      <c r="E312" s="250" t="s">
        <v>180</v>
      </c>
      <c r="F312" s="282" t="s">
        <v>117</v>
      </c>
      <c r="G312" s="283" t="s">
        <v>1031</v>
      </c>
      <c r="H312" s="251" t="s">
        <v>37</v>
      </c>
      <c r="I312" s="250" t="s">
        <v>1022</v>
      </c>
      <c r="J312" s="250"/>
      <c r="K312" s="253" t="s">
        <v>130</v>
      </c>
      <c r="L312" s="281" t="s">
        <v>182</v>
      </c>
      <c r="M312" s="281"/>
      <c r="N312" s="248" t="s">
        <v>1032</v>
      </c>
      <c r="O312" s="281"/>
      <c r="P312" s="250" t="s">
        <v>109</v>
      </c>
      <c r="Q312" s="248" t="s">
        <v>1033</v>
      </c>
      <c r="R312" s="248" t="s">
        <v>1022</v>
      </c>
      <c r="S312" s="248" t="s">
        <v>1022</v>
      </c>
      <c r="T312" s="248" t="s">
        <v>1022</v>
      </c>
      <c r="U312" s="261" t="s">
        <v>692</v>
      </c>
      <c r="V312" s="283"/>
      <c r="W312" s="335" t="s">
        <v>184</v>
      </c>
      <c r="X312" s="335" t="s">
        <v>184</v>
      </c>
      <c r="Y312" s="335" t="s">
        <v>185</v>
      </c>
      <c r="Z312" s="335"/>
      <c r="AA312" s="336" t="e">
        <f>_xlfn.XLOOKUP($A312,'2026 Approved Budget'!$B:$B,'2026 Approved Budget'!C:C)</f>
        <v>#N/A</v>
      </c>
      <c r="AB312" s="332" t="s">
        <v>185</v>
      </c>
      <c r="AC312" s="336" t="e">
        <f>_xlfn.XLOOKUP($A312,'2026 Approved Budget'!$B:$B,'2026 Approved Budget'!D:D)</f>
        <v>#N/A</v>
      </c>
      <c r="AD312" s="336" t="e">
        <f>_xlfn.XLOOKUP($A312,'2026 Approved Budget'!$B:$B,'2026 Approved Budget'!E:E)</f>
        <v>#N/A</v>
      </c>
      <c r="AE312" s="336" t="e">
        <f>_xlfn.XLOOKUP($A312,'2026 Approved Budget'!$B:$B,'2026 Approved Budget'!F:F)</f>
        <v>#N/A</v>
      </c>
      <c r="AF312" s="338" t="e">
        <f>_xlfn.XLOOKUP($A312,'2026 Approved Budget'!$B:$B,'2026 Approved Budget'!H:H)</f>
        <v>#N/A</v>
      </c>
      <c r="AG312" s="254"/>
    </row>
    <row r="313" spans="1:33" s="147" customFormat="1" ht="30" customHeight="1" x14ac:dyDescent="0.2">
      <c r="A313" s="281">
        <v>5337</v>
      </c>
      <c r="B313" s="278" t="s">
        <v>1018</v>
      </c>
      <c r="C313" s="248" t="s">
        <v>1019</v>
      </c>
      <c r="D313" s="248" t="s">
        <v>1020</v>
      </c>
      <c r="E313" s="250" t="s">
        <v>34</v>
      </c>
      <c r="F313" s="250" t="s">
        <v>98</v>
      </c>
      <c r="G313" s="252" t="s">
        <v>1021</v>
      </c>
      <c r="H313" s="251" t="s">
        <v>50</v>
      </c>
      <c r="I313" s="250">
        <v>13</v>
      </c>
      <c r="J313" s="250"/>
      <c r="K313" s="253" t="s">
        <v>242</v>
      </c>
      <c r="L313" s="281"/>
      <c r="M313" s="281" t="s">
        <v>83</v>
      </c>
      <c r="N313" s="248" t="s">
        <v>1022</v>
      </c>
      <c r="O313" s="281"/>
      <c r="P313" s="250" t="s">
        <v>109</v>
      </c>
      <c r="Q313" s="248" t="s">
        <v>1023</v>
      </c>
      <c r="R313" s="248" t="s">
        <v>1024</v>
      </c>
      <c r="S313" s="248" t="s">
        <v>1025</v>
      </c>
      <c r="T313" s="248" t="s">
        <v>503</v>
      </c>
      <c r="U313" s="261" t="s">
        <v>692</v>
      </c>
      <c r="V313" s="252"/>
      <c r="W313" s="332" t="s">
        <v>43</v>
      </c>
      <c r="X313" s="332" t="s">
        <v>43</v>
      </c>
      <c r="Y313" s="275" t="s">
        <v>69</v>
      </c>
      <c r="Z313" s="337" t="s">
        <v>45</v>
      </c>
      <c r="AA313" s="336" t="str">
        <f>_xlfn.XLOOKUP($A313,'2026 Approved Budget'!$B:$B,'2026 Approved Budget'!C:C)</f>
        <v>410 Manufacturing</v>
      </c>
      <c r="AB313" s="336" t="s">
        <v>88</v>
      </c>
      <c r="AC313" s="336" t="str">
        <f>_xlfn.XLOOKUP($A313,'2026 Approved Budget'!$B:$B,'2026 Approved Budget'!D:D)</f>
        <v>TBD</v>
      </c>
      <c r="AD313" s="336" t="str">
        <f>_xlfn.XLOOKUP($A313,'2026 Approved Budget'!$B:$B,'2026 Approved Budget'!E:E)</f>
        <v>05. Director</v>
      </c>
      <c r="AE313" s="336" t="str">
        <f>_xlfn.XLOOKUP($A313,'2026 Approved Budget'!$B:$B,'2026 Approved Budget'!F:F)</f>
        <v>Director, Supply Chain Planning</v>
      </c>
      <c r="AF313" s="338">
        <f>_xlfn.XLOOKUP($A313,'2026 Approved Budget'!$B:$B,'2026 Approved Budget'!H:H)</f>
        <v>46371</v>
      </c>
      <c r="AG313" s="254"/>
    </row>
    <row r="314" spans="1:33" s="147" customFormat="1" ht="30" hidden="1" customHeight="1" x14ac:dyDescent="0.2">
      <c r="A314" s="281">
        <v>1222</v>
      </c>
      <c r="B314" s="269" t="s">
        <v>1018</v>
      </c>
      <c r="C314" s="240" t="s">
        <v>1034</v>
      </c>
      <c r="D314" s="240" t="s">
        <v>33</v>
      </c>
      <c r="E314" s="241" t="s">
        <v>34</v>
      </c>
      <c r="F314" s="284" t="s">
        <v>35</v>
      </c>
      <c r="G314" s="285" t="s">
        <v>1039</v>
      </c>
      <c r="H314" s="243" t="s">
        <v>50</v>
      </c>
      <c r="I314" s="241"/>
      <c r="J314" s="241"/>
      <c r="K314" s="244" t="s">
        <v>107</v>
      </c>
      <c r="L314" s="286" t="s">
        <v>39</v>
      </c>
      <c r="M314" s="286"/>
      <c r="N314" s="240" t="s">
        <v>1040</v>
      </c>
      <c r="O314" s="286">
        <v>10088</v>
      </c>
      <c r="P314" s="241" t="s">
        <v>109</v>
      </c>
      <c r="Q314" s="240" t="s">
        <v>1041</v>
      </c>
      <c r="R314" s="240"/>
      <c r="S314" s="240"/>
      <c r="T314" s="240" t="s">
        <v>111</v>
      </c>
      <c r="U314" s="277"/>
      <c r="V314" s="285"/>
      <c r="W314" s="332" t="s">
        <v>43</v>
      </c>
      <c r="X314" s="332" t="s">
        <v>43</v>
      </c>
      <c r="Y314" s="336" t="s">
        <v>44</v>
      </c>
      <c r="Z314" s="337" t="s">
        <v>45</v>
      </c>
      <c r="AA314" s="336" t="str">
        <f>_xlfn.XLOOKUP($A314,'2026 Approved Budget'!$B:$B,'2026 Approved Budget'!C:C)</f>
        <v>410 Manufacturing</v>
      </c>
      <c r="AB314" s="332" t="s">
        <v>46</v>
      </c>
      <c r="AC314" s="336" t="str">
        <f>_xlfn.XLOOKUP($A314,'2026 Approved Budget'!$B:$B,'2026 Approved Budget'!D:D)</f>
        <v>Donald Mackenzie</v>
      </c>
      <c r="AD314" s="336" t="str">
        <f>_xlfn.XLOOKUP($A314,'2026 Approved Budget'!$B:$B,'2026 Approved Budget'!E:E)</f>
        <v>10. C-Suite</v>
      </c>
      <c r="AE314" s="336" t="str">
        <f>_xlfn.XLOOKUP($A314,'2026 Approved Budget'!$B:$B,'2026 Approved Budget'!F:F)</f>
        <v>Chief Technical Operations Officer</v>
      </c>
      <c r="AF314" s="338">
        <f>_xlfn.XLOOKUP($A314,'2026 Approved Budget'!$B:$B,'2026 Approved Budget'!H:H)</f>
        <v>45593</v>
      </c>
      <c r="AG314" s="254"/>
    </row>
    <row r="315" spans="1:33" s="147" customFormat="1" ht="30" hidden="1" customHeight="1" x14ac:dyDescent="0.2">
      <c r="A315" s="281">
        <v>1220</v>
      </c>
      <c r="B315" s="269" t="s">
        <v>1018</v>
      </c>
      <c r="C315" s="240" t="s">
        <v>1034</v>
      </c>
      <c r="D315" s="240" t="s">
        <v>1042</v>
      </c>
      <c r="E315" s="241" t="s">
        <v>34</v>
      </c>
      <c r="F315" s="286" t="s">
        <v>105</v>
      </c>
      <c r="G315" s="285" t="s">
        <v>1043</v>
      </c>
      <c r="H315" s="243" t="s">
        <v>50</v>
      </c>
      <c r="I315" s="241"/>
      <c r="J315" s="241"/>
      <c r="K315" s="247" t="s">
        <v>130</v>
      </c>
      <c r="L315" s="286" t="s">
        <v>39</v>
      </c>
      <c r="M315" s="286"/>
      <c r="N315" s="262" t="s">
        <v>1044</v>
      </c>
      <c r="O315" s="286">
        <v>10140</v>
      </c>
      <c r="P315" s="241" t="s">
        <v>109</v>
      </c>
      <c r="Q315" s="240" t="s">
        <v>1045</v>
      </c>
      <c r="R315" s="240" t="s">
        <v>1046</v>
      </c>
      <c r="S315" s="262" t="s">
        <v>1047</v>
      </c>
      <c r="T315" s="262" t="s">
        <v>111</v>
      </c>
      <c r="U315" s="277"/>
      <c r="V315" s="285"/>
      <c r="W315" s="332" t="s">
        <v>43</v>
      </c>
      <c r="X315" s="332" t="s">
        <v>43</v>
      </c>
      <c r="Y315" s="336" t="s">
        <v>44</v>
      </c>
      <c r="Z315" s="337" t="s">
        <v>45</v>
      </c>
      <c r="AA315" s="336" t="str">
        <f>_xlfn.XLOOKUP($A315,'2026 Approved Budget'!$B:$B,'2026 Approved Budget'!C:C)</f>
        <v>410 Manufacturing</v>
      </c>
      <c r="AB315" s="332" t="s">
        <v>46</v>
      </c>
      <c r="AC315" s="336" t="str">
        <f>_xlfn.XLOOKUP($A315,'2026 Approved Budget'!$B:$B,'2026 Approved Budget'!D:D)</f>
        <v>Rennan Pan</v>
      </c>
      <c r="AD315" s="336" t="str">
        <f>_xlfn.XLOOKUP($A315,'2026 Approved Budget'!$B:$B,'2026 Approved Budget'!E:E)</f>
        <v>08. VP</v>
      </c>
      <c r="AE315" s="336" t="str">
        <f>_xlfn.XLOOKUP($A315,'2026 Approved Budget'!$B:$B,'2026 Approved Budget'!F:F)</f>
        <v>Head of DP Development</v>
      </c>
      <c r="AF315" s="338">
        <f>_xlfn.XLOOKUP($A315,'2026 Approved Budget'!$B:$B,'2026 Approved Budget'!H:H)</f>
        <v>45670</v>
      </c>
      <c r="AG315" s="254"/>
    </row>
    <row r="316" spans="1:33" s="147" customFormat="1" ht="30" hidden="1" customHeight="1" x14ac:dyDescent="0.2">
      <c r="A316" s="281">
        <v>1218</v>
      </c>
      <c r="B316" s="269" t="s">
        <v>1018</v>
      </c>
      <c r="C316" s="240" t="s">
        <v>1034</v>
      </c>
      <c r="D316" s="240" t="s">
        <v>1042</v>
      </c>
      <c r="E316" s="241" t="s">
        <v>34</v>
      </c>
      <c r="F316" s="284" t="s">
        <v>105</v>
      </c>
      <c r="G316" s="285" t="s">
        <v>1048</v>
      </c>
      <c r="H316" s="243" t="s">
        <v>50</v>
      </c>
      <c r="I316" s="241" t="s">
        <v>1022</v>
      </c>
      <c r="J316" s="241"/>
      <c r="K316" s="247" t="s">
        <v>130</v>
      </c>
      <c r="L316" s="286" t="s">
        <v>39</v>
      </c>
      <c r="M316" s="286"/>
      <c r="N316" s="240" t="s">
        <v>1049</v>
      </c>
      <c r="O316" s="286">
        <v>10173</v>
      </c>
      <c r="P316" s="241" t="s">
        <v>109</v>
      </c>
      <c r="Q316" s="240" t="s">
        <v>1050</v>
      </c>
      <c r="R316" s="240" t="s">
        <v>1022</v>
      </c>
      <c r="S316" s="240" t="s">
        <v>1022</v>
      </c>
      <c r="T316" s="240" t="s">
        <v>111</v>
      </c>
      <c r="U316" s="277"/>
      <c r="V316" s="285"/>
      <c r="W316" s="332" t="s">
        <v>43</v>
      </c>
      <c r="X316" s="332" t="s">
        <v>43</v>
      </c>
      <c r="Y316" s="336" t="s">
        <v>44</v>
      </c>
      <c r="Z316" s="337" t="s">
        <v>45</v>
      </c>
      <c r="AA316" s="336" t="str">
        <f>_xlfn.XLOOKUP($A316,'2026 Approved Budget'!$B:$B,'2026 Approved Budget'!C:C)</f>
        <v>410 Manufacturing</v>
      </c>
      <c r="AB316" s="332" t="s">
        <v>46</v>
      </c>
      <c r="AC316" s="336" t="str">
        <f>_xlfn.XLOOKUP($A316,'2026 Approved Budget'!$B:$B,'2026 Approved Budget'!D:D)</f>
        <v>Leon Zhou</v>
      </c>
      <c r="AD316" s="336" t="str">
        <f>_xlfn.XLOOKUP($A316,'2026 Approved Budget'!$B:$B,'2026 Approved Budget'!E:E)</f>
        <v>08. VP</v>
      </c>
      <c r="AE316" s="336" t="str">
        <f>_xlfn.XLOOKUP($A316,'2026 Approved Budget'!$B:$B,'2026 Approved Budget'!F:F)</f>
        <v>Head of Analytical Development</v>
      </c>
      <c r="AF316" s="338">
        <f>_xlfn.XLOOKUP($A316,'2026 Approved Budget'!$B:$B,'2026 Approved Budget'!H:H)</f>
        <v>45733</v>
      </c>
      <c r="AG316" s="254"/>
    </row>
    <row r="317" spans="1:33" s="148" customFormat="1" ht="30" hidden="1" customHeight="1" x14ac:dyDescent="0.2">
      <c r="A317" s="281">
        <v>1206</v>
      </c>
      <c r="B317" s="269" t="s">
        <v>1018</v>
      </c>
      <c r="C317" s="240" t="s">
        <v>1034</v>
      </c>
      <c r="D317" s="240" t="s">
        <v>1042</v>
      </c>
      <c r="E317" s="241" t="s">
        <v>34</v>
      </c>
      <c r="F317" s="284" t="s">
        <v>105</v>
      </c>
      <c r="G317" s="285" t="s">
        <v>1051</v>
      </c>
      <c r="H317" s="243" t="s">
        <v>37</v>
      </c>
      <c r="I317" s="241" t="s">
        <v>1022</v>
      </c>
      <c r="J317" s="241"/>
      <c r="K317" s="247" t="s">
        <v>130</v>
      </c>
      <c r="L317" s="286" t="s">
        <v>39</v>
      </c>
      <c r="M317" s="286"/>
      <c r="N317" s="240" t="s">
        <v>1052</v>
      </c>
      <c r="O317" s="286">
        <v>10174</v>
      </c>
      <c r="P317" s="241" t="s">
        <v>109</v>
      </c>
      <c r="Q317" s="240" t="s">
        <v>1053</v>
      </c>
      <c r="R317" s="240" t="s">
        <v>1022</v>
      </c>
      <c r="S317" s="240" t="s">
        <v>1022</v>
      </c>
      <c r="T317" s="240" t="s">
        <v>111</v>
      </c>
      <c r="U317" s="277"/>
      <c r="V317" s="285"/>
      <c r="W317" s="332" t="s">
        <v>43</v>
      </c>
      <c r="X317" s="332" t="s">
        <v>43</v>
      </c>
      <c r="Y317" s="336" t="s">
        <v>44</v>
      </c>
      <c r="Z317" s="337" t="s">
        <v>45</v>
      </c>
      <c r="AA317" s="336" t="str">
        <f>_xlfn.XLOOKUP($A317,'2026 Approved Budget'!$B:$B,'2026 Approved Budget'!C:C)</f>
        <v>410 Manufacturing</v>
      </c>
      <c r="AB317" s="332" t="s">
        <v>46</v>
      </c>
      <c r="AC317" s="336" t="str">
        <f>_xlfn.XLOOKUP($A317,'2026 Approved Budget'!$B:$B,'2026 Approved Budget'!D:D)</f>
        <v>Amelia Milani</v>
      </c>
      <c r="AD317" s="336" t="str">
        <f>_xlfn.XLOOKUP($A317,'2026 Approved Budget'!$B:$B,'2026 Approved Budget'!E:E)</f>
        <v>08. VP</v>
      </c>
      <c r="AE317" s="336" t="str">
        <f>_xlfn.XLOOKUP($A317,'2026 Approved Budget'!$B:$B,'2026 Approved Budget'!F:F)</f>
        <v>Head of External Manufacturing and Supply Chain</v>
      </c>
      <c r="AF317" s="338">
        <f>_xlfn.XLOOKUP($A317,'2026 Approved Budget'!$B:$B,'2026 Approved Budget'!H:H)</f>
        <v>45747</v>
      </c>
      <c r="AG317" s="254"/>
    </row>
    <row r="318" spans="1:33" s="148" customFormat="1" ht="30" hidden="1" customHeight="1" x14ac:dyDescent="0.2">
      <c r="A318" s="281">
        <v>1200</v>
      </c>
      <c r="B318" s="269" t="s">
        <v>1018</v>
      </c>
      <c r="C318" s="240" t="s">
        <v>1034</v>
      </c>
      <c r="D318" s="240" t="s">
        <v>1054</v>
      </c>
      <c r="E318" s="241" t="s">
        <v>34</v>
      </c>
      <c r="F318" s="284" t="s">
        <v>58</v>
      </c>
      <c r="G318" s="285" t="s">
        <v>1055</v>
      </c>
      <c r="H318" s="243" t="s">
        <v>50</v>
      </c>
      <c r="I318" s="241" t="s">
        <v>1022</v>
      </c>
      <c r="J318" s="241"/>
      <c r="K318" s="247" t="s">
        <v>130</v>
      </c>
      <c r="L318" s="286" t="s">
        <v>39</v>
      </c>
      <c r="M318" s="286"/>
      <c r="N318" s="240" t="s">
        <v>1056</v>
      </c>
      <c r="O318" s="286">
        <v>10109</v>
      </c>
      <c r="P318" s="241" t="s">
        <v>109</v>
      </c>
      <c r="Q318" s="240" t="s">
        <v>1050</v>
      </c>
      <c r="R318" s="240" t="s">
        <v>1022</v>
      </c>
      <c r="S318" s="240" t="s">
        <v>1022</v>
      </c>
      <c r="T318" s="240" t="s">
        <v>503</v>
      </c>
      <c r="U318" s="277"/>
      <c r="V318" s="285"/>
      <c r="W318" s="332" t="s">
        <v>43</v>
      </c>
      <c r="X318" s="332" t="s">
        <v>43</v>
      </c>
      <c r="Y318" s="336" t="s">
        <v>44</v>
      </c>
      <c r="Z318" s="337" t="s">
        <v>45</v>
      </c>
      <c r="AA318" s="336" t="str">
        <f>_xlfn.XLOOKUP($A318,'2026 Approved Budget'!$B:$B,'2026 Approved Budget'!C:C)</f>
        <v>410 Manufacturing</v>
      </c>
      <c r="AB318" s="332" t="s">
        <v>46</v>
      </c>
      <c r="AC318" s="336" t="str">
        <f>_xlfn.XLOOKUP($A318,'2026 Approved Budget'!$B:$B,'2026 Approved Budget'!D:D)</f>
        <v>Esteban Bornancini</v>
      </c>
      <c r="AD318" s="336" t="str">
        <f>_xlfn.XLOOKUP($A318,'2026 Approved Budget'!$B:$B,'2026 Approved Budget'!E:E)</f>
        <v>06. Sr. Director</v>
      </c>
      <c r="AE318" s="336" t="str">
        <f>_xlfn.XLOOKUP($A318,'2026 Approved Budget'!$B:$B,'2026 Approved Budget'!F:F)</f>
        <v>Sr Director, Analytical Development</v>
      </c>
      <c r="AF318" s="338">
        <f>_xlfn.XLOOKUP($A318,'2026 Approved Budget'!$B:$B,'2026 Approved Budget'!H:H)</f>
        <v>45706</v>
      </c>
      <c r="AG318" s="252"/>
    </row>
    <row r="319" spans="1:33" s="147" customFormat="1" ht="30" hidden="1" customHeight="1" x14ac:dyDescent="0.2">
      <c r="A319" s="281">
        <v>1221</v>
      </c>
      <c r="B319" s="269" t="s">
        <v>1018</v>
      </c>
      <c r="C319" s="240" t="s">
        <v>1034</v>
      </c>
      <c r="D319" s="240" t="s">
        <v>1042</v>
      </c>
      <c r="E319" s="241" t="s">
        <v>34</v>
      </c>
      <c r="F319" s="284" t="s">
        <v>58</v>
      </c>
      <c r="G319" s="285" t="s">
        <v>1057</v>
      </c>
      <c r="H319" s="243" t="s">
        <v>37</v>
      </c>
      <c r="I319" s="241" t="s">
        <v>1022</v>
      </c>
      <c r="J319" s="241"/>
      <c r="K319" s="247" t="s">
        <v>130</v>
      </c>
      <c r="L319" s="286" t="s">
        <v>39</v>
      </c>
      <c r="M319" s="286"/>
      <c r="N319" s="240" t="s">
        <v>1058</v>
      </c>
      <c r="O319" s="286">
        <v>10149</v>
      </c>
      <c r="P319" s="241" t="s">
        <v>109</v>
      </c>
      <c r="Q319" s="240" t="s">
        <v>1059</v>
      </c>
      <c r="R319" s="240" t="s">
        <v>1022</v>
      </c>
      <c r="S319" s="240" t="s">
        <v>1022</v>
      </c>
      <c r="T319" s="240" t="s">
        <v>142</v>
      </c>
      <c r="U319" s="277"/>
      <c r="V319" s="285"/>
      <c r="W319" s="332" t="s">
        <v>43</v>
      </c>
      <c r="X319" s="332" t="s">
        <v>43</v>
      </c>
      <c r="Y319" s="336" t="s">
        <v>44</v>
      </c>
      <c r="Z319" s="337" t="s">
        <v>45</v>
      </c>
      <c r="AA319" s="336" t="str">
        <f>_xlfn.XLOOKUP($A319,'2026 Approved Budget'!$B:$B,'2026 Approved Budget'!C:C)</f>
        <v>410 Manufacturing</v>
      </c>
      <c r="AB319" s="332" t="s">
        <v>46</v>
      </c>
      <c r="AC319" s="336" t="str">
        <f>_xlfn.XLOOKUP($A319,'2026 Approved Budget'!$B:$B,'2026 Approved Budget'!D:D)</f>
        <v>William Walker</v>
      </c>
      <c r="AD319" s="336" t="str">
        <f>_xlfn.XLOOKUP($A319,'2026 Approved Budget'!$B:$B,'2026 Approved Budget'!E:E)</f>
        <v>06. Sr. Director</v>
      </c>
      <c r="AE319" s="336" t="str">
        <f>_xlfn.XLOOKUP($A319,'2026 Approved Budget'!$B:$B,'2026 Approved Budget'!F:F)</f>
        <v>CMC Strategy and Chief of Staff</v>
      </c>
      <c r="AF319" s="338">
        <f>_xlfn.XLOOKUP($A319,'2026 Approved Budget'!$B:$B,'2026 Approved Budget'!H:H)</f>
        <v>45712</v>
      </c>
      <c r="AG319" s="252"/>
    </row>
    <row r="320" spans="1:33" s="147" customFormat="1" ht="30" hidden="1" customHeight="1" x14ac:dyDescent="0.2">
      <c r="A320" s="281">
        <v>1196</v>
      </c>
      <c r="B320" s="269" t="s">
        <v>1018</v>
      </c>
      <c r="C320" s="285" t="s">
        <v>1034</v>
      </c>
      <c r="D320" s="240" t="s">
        <v>1060</v>
      </c>
      <c r="E320" s="241" t="s">
        <v>34</v>
      </c>
      <c r="F320" s="284" t="s">
        <v>58</v>
      </c>
      <c r="G320" s="285" t="s">
        <v>1061</v>
      </c>
      <c r="H320" s="243" t="s">
        <v>37</v>
      </c>
      <c r="I320" s="241" t="s">
        <v>1022</v>
      </c>
      <c r="J320" s="241"/>
      <c r="K320" s="247" t="s">
        <v>114</v>
      </c>
      <c r="L320" s="286" t="s">
        <v>39</v>
      </c>
      <c r="M320" s="286"/>
      <c r="N320" s="240" t="s">
        <v>1062</v>
      </c>
      <c r="O320" s="286">
        <v>10221</v>
      </c>
      <c r="P320" s="241" t="s">
        <v>109</v>
      </c>
      <c r="Q320" s="240" t="s">
        <v>1063</v>
      </c>
      <c r="R320" s="240" t="s">
        <v>1024</v>
      </c>
      <c r="S320" s="240" t="s">
        <v>1022</v>
      </c>
      <c r="T320" s="240" t="s">
        <v>1022</v>
      </c>
      <c r="U320" s="277"/>
      <c r="V320" s="285"/>
      <c r="W320" s="332" t="s">
        <v>43</v>
      </c>
      <c r="X320" s="103" t="s">
        <v>43</v>
      </c>
      <c r="Y320" s="336" t="s">
        <v>44</v>
      </c>
      <c r="Z320" s="337" t="s">
        <v>45</v>
      </c>
      <c r="AA320" s="336" t="str">
        <f>_xlfn.XLOOKUP($A320,'2026 Approved Budget'!$B:$B,'2026 Approved Budget'!C:C)</f>
        <v>410 Manufacturing</v>
      </c>
      <c r="AB320" s="332" t="s">
        <v>46</v>
      </c>
      <c r="AC320" s="336" t="str">
        <f>_xlfn.XLOOKUP($A320,'2026 Approved Budget'!$B:$B,'2026 Approved Budget'!D:D)</f>
        <v>Taylor Elkington</v>
      </c>
      <c r="AD320" s="336" t="str">
        <f>_xlfn.XLOOKUP($A320,'2026 Approved Budget'!$B:$B,'2026 Approved Budget'!E:E)</f>
        <v>06. Sr. Director</v>
      </c>
      <c r="AE320" s="336" t="str">
        <f>_xlfn.XLOOKUP($A320,'2026 Approved Budget'!$B:$B,'2026 Approved Budget'!F:F)</f>
        <v>Senior Director, Clinical Supply Chain</v>
      </c>
      <c r="AF320" s="338">
        <f>_xlfn.XLOOKUP($A320,'2026 Approved Budget'!$B:$B,'2026 Approved Budget'!H:H)</f>
        <v>45804</v>
      </c>
      <c r="AG320" s="252"/>
    </row>
    <row r="321" spans="1:33" s="147" customFormat="1" ht="45" hidden="1" customHeight="1" x14ac:dyDescent="0.2">
      <c r="A321" s="281">
        <v>1214</v>
      </c>
      <c r="B321" s="269" t="s">
        <v>1018</v>
      </c>
      <c r="C321" s="240" t="s">
        <v>1034</v>
      </c>
      <c r="D321" s="240" t="s">
        <v>1064</v>
      </c>
      <c r="E321" s="241" t="s">
        <v>34</v>
      </c>
      <c r="F321" s="284" t="s">
        <v>58</v>
      </c>
      <c r="G321" s="285" t="s">
        <v>1065</v>
      </c>
      <c r="H321" s="243" t="s">
        <v>50</v>
      </c>
      <c r="I321" s="241"/>
      <c r="J321" s="241"/>
      <c r="K321" s="247" t="s">
        <v>114</v>
      </c>
      <c r="L321" s="241" t="s">
        <v>39</v>
      </c>
      <c r="M321" s="241"/>
      <c r="N321" s="240" t="s">
        <v>1066</v>
      </c>
      <c r="O321" s="286">
        <v>10192</v>
      </c>
      <c r="P321" s="241" t="s">
        <v>128</v>
      </c>
      <c r="Q321" s="240" t="s">
        <v>1045</v>
      </c>
      <c r="R321" s="240" t="s">
        <v>1067</v>
      </c>
      <c r="S321" s="240" t="s">
        <v>1068</v>
      </c>
      <c r="T321" s="287" t="s">
        <v>503</v>
      </c>
      <c r="U321" s="277"/>
      <c r="V321" s="285"/>
      <c r="W321" s="332" t="s">
        <v>43</v>
      </c>
      <c r="X321" s="103" t="s">
        <v>43</v>
      </c>
      <c r="Y321" s="336" t="s">
        <v>44</v>
      </c>
      <c r="Z321" s="337" t="s">
        <v>45</v>
      </c>
      <c r="AA321" s="336" t="str">
        <f>_xlfn.XLOOKUP($A321,'2026 Approved Budget'!$B:$B,'2026 Approved Budget'!C:C)</f>
        <v>410 Manufacturing</v>
      </c>
      <c r="AB321" s="332" t="s">
        <v>46</v>
      </c>
      <c r="AC321" s="336" t="str">
        <f>_xlfn.XLOOKUP($A321,'2026 Approved Budget'!$B:$B,'2026 Approved Budget'!D:D)</f>
        <v>Gang Yang</v>
      </c>
      <c r="AD321" s="336" t="str">
        <f>_xlfn.XLOOKUP($A321,'2026 Approved Budget'!$B:$B,'2026 Approved Budget'!E:E)</f>
        <v>06. Sr. Director</v>
      </c>
      <c r="AE321" s="336" t="str">
        <f>_xlfn.XLOOKUP($A321,'2026 Approved Budget'!$B:$B,'2026 Approved Budget'!F:F)</f>
        <v>Sr Director, DP Development</v>
      </c>
      <c r="AF321" s="338">
        <f>_xlfn.XLOOKUP($A321,'2026 Approved Budget'!$B:$B,'2026 Approved Budget'!H:H)</f>
        <v>45754</v>
      </c>
      <c r="AG321" s="254"/>
    </row>
    <row r="322" spans="1:33" s="146" customFormat="1" ht="30" hidden="1" customHeight="1" x14ac:dyDescent="0.2">
      <c r="A322" s="281">
        <v>1207</v>
      </c>
      <c r="B322" s="269" t="s">
        <v>1018</v>
      </c>
      <c r="C322" s="285" t="s">
        <v>1034</v>
      </c>
      <c r="D322" s="240" t="s">
        <v>1060</v>
      </c>
      <c r="E322" s="241" t="s">
        <v>34</v>
      </c>
      <c r="F322" s="284" t="s">
        <v>58</v>
      </c>
      <c r="G322" s="285" t="s">
        <v>1069</v>
      </c>
      <c r="H322" s="243" t="s">
        <v>37</v>
      </c>
      <c r="I322" s="241" t="s">
        <v>1022</v>
      </c>
      <c r="J322" s="241"/>
      <c r="K322" s="247" t="s">
        <v>114</v>
      </c>
      <c r="L322" s="286" t="s">
        <v>39</v>
      </c>
      <c r="M322" s="286"/>
      <c r="N322" s="240" t="s">
        <v>1070</v>
      </c>
      <c r="O322" s="286">
        <v>10240</v>
      </c>
      <c r="P322" s="241" t="s">
        <v>109</v>
      </c>
      <c r="Q322" s="240" t="s">
        <v>1071</v>
      </c>
      <c r="R322" s="240" t="s">
        <v>1024</v>
      </c>
      <c r="S322" s="240" t="s">
        <v>1022</v>
      </c>
      <c r="T322" s="240" t="s">
        <v>1022</v>
      </c>
      <c r="U322" s="277"/>
      <c r="V322" s="285"/>
      <c r="W322" s="332" t="s">
        <v>43</v>
      </c>
      <c r="X322" s="103" t="s">
        <v>43</v>
      </c>
      <c r="Y322" s="336" t="s">
        <v>44</v>
      </c>
      <c r="Z322" s="337" t="s">
        <v>45</v>
      </c>
      <c r="AA322" s="336" t="str">
        <f>_xlfn.XLOOKUP($A322,'2026 Approved Budget'!$B:$B,'2026 Approved Budget'!C:C)</f>
        <v>410 Manufacturing</v>
      </c>
      <c r="AB322" s="332" t="s">
        <v>46</v>
      </c>
      <c r="AC322" s="336" t="str">
        <f>_xlfn.XLOOKUP($A322,'2026 Approved Budget'!$B:$B,'2026 Approved Budget'!D:D)</f>
        <v>Erika Riffel</v>
      </c>
      <c r="AD322" s="336" t="str">
        <f>_xlfn.XLOOKUP($A322,'2026 Approved Budget'!$B:$B,'2026 Approved Budget'!E:E)</f>
        <v>06. Sr. Director</v>
      </c>
      <c r="AE322" s="336" t="str">
        <f>_xlfn.XLOOKUP($A322,'2026 Approved Budget'!$B:$B,'2026 Approved Budget'!F:F)</f>
        <v>Senior Director, External Manufacturing</v>
      </c>
      <c r="AF322" s="338">
        <f>_xlfn.XLOOKUP($A322,'2026 Approved Budget'!$B:$B,'2026 Approved Budget'!H:H)</f>
        <v>45838</v>
      </c>
      <c r="AG322" s="252"/>
    </row>
    <row r="323" spans="1:33" s="145" customFormat="1" ht="45" hidden="1" customHeight="1" x14ac:dyDescent="0.2">
      <c r="A323" s="281">
        <v>1197</v>
      </c>
      <c r="B323" s="269" t="s">
        <v>1018</v>
      </c>
      <c r="C323" s="285" t="s">
        <v>1034</v>
      </c>
      <c r="D323" s="240" t="s">
        <v>1060</v>
      </c>
      <c r="E323" s="241" t="s">
        <v>34</v>
      </c>
      <c r="F323" s="284" t="s">
        <v>58</v>
      </c>
      <c r="G323" s="285" t="s">
        <v>1072</v>
      </c>
      <c r="H323" s="243" t="s">
        <v>37</v>
      </c>
      <c r="I323" s="241" t="s">
        <v>1022</v>
      </c>
      <c r="J323" s="241"/>
      <c r="K323" s="247" t="s">
        <v>114</v>
      </c>
      <c r="L323" s="286" t="s">
        <v>39</v>
      </c>
      <c r="M323" s="286"/>
      <c r="N323" s="240" t="s">
        <v>1073</v>
      </c>
      <c r="O323" s="286">
        <v>10229</v>
      </c>
      <c r="P323" s="241" t="s">
        <v>109</v>
      </c>
      <c r="Q323" s="240" t="s">
        <v>1074</v>
      </c>
      <c r="R323" s="240" t="s">
        <v>1024</v>
      </c>
      <c r="S323" s="240" t="s">
        <v>1022</v>
      </c>
      <c r="T323" s="240" t="s">
        <v>1022</v>
      </c>
      <c r="U323" s="277"/>
      <c r="V323" s="285"/>
      <c r="W323" s="332" t="s">
        <v>43</v>
      </c>
      <c r="X323" s="103" t="s">
        <v>43</v>
      </c>
      <c r="Y323" s="336" t="s">
        <v>44</v>
      </c>
      <c r="Z323" s="337" t="s">
        <v>45</v>
      </c>
      <c r="AA323" s="336" t="str">
        <f>_xlfn.XLOOKUP($A323,'2026 Approved Budget'!$B:$B,'2026 Approved Budget'!C:C)</f>
        <v>410 Manufacturing</v>
      </c>
      <c r="AB323" s="332" t="s">
        <v>46</v>
      </c>
      <c r="AC323" s="336" t="str">
        <f>_xlfn.XLOOKUP($A323,'2026 Approved Budget'!$B:$B,'2026 Approved Budget'!D:D)</f>
        <v>Aaron Misrack</v>
      </c>
      <c r="AD323" s="336" t="str">
        <f>_xlfn.XLOOKUP($A323,'2026 Approved Budget'!$B:$B,'2026 Approved Budget'!E:E)</f>
        <v>06. Sr. Director</v>
      </c>
      <c r="AE323" s="336" t="str">
        <f>_xlfn.XLOOKUP($A323,'2026 Approved Budget'!$B:$B,'2026 Approved Budget'!F:F)</f>
        <v>Sr Director, Demand Planning</v>
      </c>
      <c r="AF323" s="338">
        <f>_xlfn.XLOOKUP($A323,'2026 Approved Budget'!$B:$B,'2026 Approved Budget'!H:H)</f>
        <v>45824</v>
      </c>
      <c r="AG323" s="252"/>
    </row>
    <row r="324" spans="1:33" s="145" customFormat="1" ht="30" hidden="1" customHeight="1" x14ac:dyDescent="0.2">
      <c r="A324" s="281">
        <v>1215</v>
      </c>
      <c r="B324" s="269" t="s">
        <v>1018</v>
      </c>
      <c r="C324" s="240" t="s">
        <v>1034</v>
      </c>
      <c r="D324" s="262" t="s">
        <v>1064</v>
      </c>
      <c r="E324" s="241" t="s">
        <v>34</v>
      </c>
      <c r="F324" s="286" t="s">
        <v>58</v>
      </c>
      <c r="G324" s="285" t="s">
        <v>1065</v>
      </c>
      <c r="H324" s="243" t="s">
        <v>50</v>
      </c>
      <c r="I324" s="241"/>
      <c r="J324" s="241"/>
      <c r="K324" s="247" t="s">
        <v>51</v>
      </c>
      <c r="L324" s="286" t="s">
        <v>39</v>
      </c>
      <c r="M324" s="286"/>
      <c r="N324" s="262" t="s">
        <v>1075</v>
      </c>
      <c r="O324" s="286">
        <v>10104</v>
      </c>
      <c r="P324" s="241" t="s">
        <v>159</v>
      </c>
      <c r="Q324" s="240" t="s">
        <v>1045</v>
      </c>
      <c r="R324" s="240" t="s">
        <v>1076</v>
      </c>
      <c r="S324" s="262" t="s">
        <v>1077</v>
      </c>
      <c r="T324" s="262" t="s">
        <v>503</v>
      </c>
      <c r="U324" s="277"/>
      <c r="V324" s="285"/>
      <c r="W324" s="332" t="s">
        <v>43</v>
      </c>
      <c r="X324" s="332" t="s">
        <v>43</v>
      </c>
      <c r="Y324" s="336" t="s">
        <v>44</v>
      </c>
      <c r="Z324" s="337" t="s">
        <v>45</v>
      </c>
      <c r="AA324" s="336" t="str">
        <f>_xlfn.XLOOKUP($A324,'2026 Approved Budget'!$B:$B,'2026 Approved Budget'!C:C)</f>
        <v>410 Manufacturing</v>
      </c>
      <c r="AB324" s="332" t="s">
        <v>46</v>
      </c>
      <c r="AC324" s="336" t="str">
        <f>_xlfn.XLOOKUP($A324,'2026 Approved Budget'!$B:$B,'2026 Approved Budget'!D:D)</f>
        <v>Deepak Mundhra</v>
      </c>
      <c r="AD324" s="336" t="str">
        <f>_xlfn.XLOOKUP($A324,'2026 Approved Budget'!$B:$B,'2026 Approved Budget'!E:E)</f>
        <v>06. Sr. Director</v>
      </c>
      <c r="AE324" s="336" t="str">
        <f>_xlfn.XLOOKUP($A324,'2026 Approved Budget'!$B:$B,'2026 Approved Budget'!F:F)</f>
        <v>Sr Dir (ATA) - DP</v>
      </c>
      <c r="AF324" s="338">
        <f>_xlfn.XLOOKUP($A324,'2026 Approved Budget'!$B:$B,'2026 Approved Budget'!H:H)</f>
        <v>45929</v>
      </c>
      <c r="AG324" s="252"/>
    </row>
    <row r="325" spans="1:33" ht="30" hidden="1" customHeight="1" x14ac:dyDescent="0.2">
      <c r="A325" s="281">
        <v>1201</v>
      </c>
      <c r="B325" s="269" t="s">
        <v>1018</v>
      </c>
      <c r="C325" s="240" t="s">
        <v>1034</v>
      </c>
      <c r="D325" s="240" t="s">
        <v>1054</v>
      </c>
      <c r="E325" s="241" t="s">
        <v>34</v>
      </c>
      <c r="F325" s="241" t="s">
        <v>98</v>
      </c>
      <c r="G325" s="285" t="s">
        <v>1078</v>
      </c>
      <c r="H325" s="243" t="s">
        <v>50</v>
      </c>
      <c r="I325" s="241"/>
      <c r="J325" s="241"/>
      <c r="K325" s="247" t="s">
        <v>124</v>
      </c>
      <c r="L325" s="286" t="s">
        <v>39</v>
      </c>
      <c r="M325" s="286"/>
      <c r="N325" s="262" t="s">
        <v>1079</v>
      </c>
      <c r="O325" s="286">
        <v>10311</v>
      </c>
      <c r="P325" s="241" t="s">
        <v>109</v>
      </c>
      <c r="Q325" s="240" t="s">
        <v>1050</v>
      </c>
      <c r="R325" s="240" t="s">
        <v>1022</v>
      </c>
      <c r="S325" s="240" t="s">
        <v>1022</v>
      </c>
      <c r="T325" s="240" t="s">
        <v>503</v>
      </c>
      <c r="U325" s="277" t="s">
        <v>692</v>
      </c>
      <c r="V325" s="285"/>
      <c r="W325" s="332" t="s">
        <v>43</v>
      </c>
      <c r="X325" s="332" t="s">
        <v>43</v>
      </c>
      <c r="Y325" s="336" t="s">
        <v>44</v>
      </c>
      <c r="Z325" s="337" t="s">
        <v>45</v>
      </c>
      <c r="AA325" s="336" t="str">
        <f>_xlfn.XLOOKUP($A325,'2026 Approved Budget'!$B:$B,'2026 Approved Budget'!C:C)</f>
        <v>410 Manufacturing</v>
      </c>
      <c r="AB325" s="332" t="s">
        <v>46</v>
      </c>
      <c r="AC325" s="336" t="str">
        <f>_xlfn.XLOOKUP($A325,'2026 Approved Budget'!$B:$B,'2026 Approved Budget'!D:D)</f>
        <v>Qin Xiang</v>
      </c>
      <c r="AD325" s="336" t="str">
        <f>_xlfn.XLOOKUP($A325,'2026 Approved Budget'!$B:$B,'2026 Approved Budget'!E:E)</f>
        <v>05. Director</v>
      </c>
      <c r="AE325" s="336" t="str">
        <f>_xlfn.XLOOKUP($A325,'2026 Approved Budget'!$B:$B,'2026 Approved Budget'!F:F)</f>
        <v>Director, Analytical Development</v>
      </c>
      <c r="AF325" s="338">
        <f>_xlfn.XLOOKUP($A325,'2026 Approved Budget'!$B:$B,'2026 Approved Budget'!H:H)</f>
        <v>46006</v>
      </c>
      <c r="AG325" s="254"/>
    </row>
    <row r="326" spans="1:33" ht="15" hidden="1" customHeight="1" x14ac:dyDescent="0.2">
      <c r="A326" s="281">
        <v>1391</v>
      </c>
      <c r="B326" s="269" t="s">
        <v>1018</v>
      </c>
      <c r="C326" s="240" t="s">
        <v>1034</v>
      </c>
      <c r="D326" s="240" t="s">
        <v>1030</v>
      </c>
      <c r="E326" s="241" t="s">
        <v>34</v>
      </c>
      <c r="F326" s="284" t="s">
        <v>138</v>
      </c>
      <c r="G326" s="270" t="s">
        <v>1092</v>
      </c>
      <c r="H326" s="243" t="s">
        <v>50</v>
      </c>
      <c r="I326" s="241"/>
      <c r="J326" s="241"/>
      <c r="K326" s="241" t="s">
        <v>61</v>
      </c>
      <c r="L326" s="286" t="s">
        <v>39</v>
      </c>
      <c r="M326" s="286" t="s">
        <v>83</v>
      </c>
      <c r="N326" s="240" t="s">
        <v>1093</v>
      </c>
      <c r="O326" s="286">
        <v>10353</v>
      </c>
      <c r="P326" s="241" t="s">
        <v>827</v>
      </c>
      <c r="Q326" s="240" t="s">
        <v>1094</v>
      </c>
      <c r="R326" s="240" t="s">
        <v>1024</v>
      </c>
      <c r="S326" s="240" t="s">
        <v>1095</v>
      </c>
      <c r="T326" s="240" t="s">
        <v>142</v>
      </c>
      <c r="U326" s="277" t="s">
        <v>692</v>
      </c>
      <c r="V326" s="270"/>
      <c r="W326" s="332" t="s">
        <v>43</v>
      </c>
      <c r="X326" s="103" t="s">
        <v>43</v>
      </c>
      <c r="Y326" s="336" t="s">
        <v>44</v>
      </c>
      <c r="Z326" s="337" t="s">
        <v>45</v>
      </c>
      <c r="AA326" s="336" t="str">
        <f>_xlfn.XLOOKUP($A326,'2026 Approved Budget'!$B:$B,'2026 Approved Budget'!C:C)</f>
        <v>410 Manufacturing</v>
      </c>
      <c r="AB326" s="332" t="s">
        <v>46</v>
      </c>
      <c r="AC326" s="336" t="str">
        <f>_xlfn.XLOOKUP($A326,'2026 Approved Budget'!$B:$B,'2026 Approved Budget'!D:D)</f>
        <v>TBD</v>
      </c>
      <c r="AD326" s="336" t="str">
        <f>_xlfn.XLOOKUP($A326,'2026 Approved Budget'!$B:$B,'2026 Approved Budget'!E:E)</f>
        <v>04. AD / Staff Scientist</v>
      </c>
      <c r="AE326" s="336" t="str">
        <f>_xlfn.XLOOKUP($A326,'2026 Approved Budget'!$B:$B,'2026 Approved Budget'!F:F)</f>
        <v>Associate Director, External Mfg.</v>
      </c>
      <c r="AF326" s="338">
        <f>_xlfn.XLOOKUP($A326,'2026 Approved Budget'!$B:$B,'2026 Approved Budget'!H:H)</f>
        <v>46006</v>
      </c>
      <c r="AG326" s="254"/>
    </row>
    <row r="327" spans="1:33" ht="15" hidden="1" customHeight="1" x14ac:dyDescent="0.2">
      <c r="A327" s="281">
        <v>1393</v>
      </c>
      <c r="B327" s="269" t="s">
        <v>1018</v>
      </c>
      <c r="C327" s="285" t="s">
        <v>1034</v>
      </c>
      <c r="D327" s="240" t="s">
        <v>1026</v>
      </c>
      <c r="E327" s="241" t="s">
        <v>34</v>
      </c>
      <c r="F327" s="284" t="s">
        <v>138</v>
      </c>
      <c r="G327" s="285" t="s">
        <v>1096</v>
      </c>
      <c r="H327" s="243" t="s">
        <v>37</v>
      </c>
      <c r="I327" s="241"/>
      <c r="J327" s="241"/>
      <c r="K327" s="247" t="s">
        <v>61</v>
      </c>
      <c r="L327" s="286" t="s">
        <v>39</v>
      </c>
      <c r="M327" s="286"/>
      <c r="N327" s="240" t="s">
        <v>1097</v>
      </c>
      <c r="O327" s="286">
        <v>10300</v>
      </c>
      <c r="P327" s="241" t="s">
        <v>159</v>
      </c>
      <c r="Q327" s="240" t="s">
        <v>1081</v>
      </c>
      <c r="R327" s="240" t="s">
        <v>1098</v>
      </c>
      <c r="S327" s="240" t="s">
        <v>1098</v>
      </c>
      <c r="T327" s="240" t="s">
        <v>503</v>
      </c>
      <c r="U327" s="277"/>
      <c r="V327" s="285"/>
      <c r="W327" s="332" t="s">
        <v>43</v>
      </c>
      <c r="X327" s="332" t="s">
        <v>43</v>
      </c>
      <c r="Y327" s="336" t="s">
        <v>44</v>
      </c>
      <c r="Z327" s="337" t="s">
        <v>45</v>
      </c>
      <c r="AA327" s="336" t="str">
        <f>_xlfn.XLOOKUP($A327,'2026 Approved Budget'!$B:$B,'2026 Approved Budget'!C:C)</f>
        <v>410 Manufacturing</v>
      </c>
      <c r="AB327" s="332" t="s">
        <v>46</v>
      </c>
      <c r="AC327" s="336" t="str">
        <f>_xlfn.XLOOKUP($A327,'2026 Approved Budget'!$B:$B,'2026 Approved Budget'!D:D)</f>
        <v>Abe Nagi</v>
      </c>
      <c r="AD327" s="336" t="str">
        <f>_xlfn.XLOOKUP($A327,'2026 Approved Budget'!$B:$B,'2026 Approved Budget'!E:E)</f>
        <v>04. AD / Staff Scientist</v>
      </c>
      <c r="AE327" s="336" t="str">
        <f>_xlfn.XLOOKUP($A327,'2026 Approved Budget'!$B:$B,'2026 Approved Budget'!F:F)</f>
        <v>Associate Director, Clinical Supply Chain</v>
      </c>
      <c r="AF327" s="338">
        <f>_xlfn.XLOOKUP($A327,'2026 Approved Budget'!$B:$B,'2026 Approved Budget'!H:H)</f>
        <v>46027</v>
      </c>
      <c r="AG327" s="252"/>
    </row>
    <row r="328" spans="1:33" ht="30" hidden="1" customHeight="1" x14ac:dyDescent="0.2">
      <c r="A328" s="281">
        <v>1045</v>
      </c>
      <c r="B328" s="269" t="s">
        <v>1018</v>
      </c>
      <c r="C328" s="285" t="s">
        <v>1034</v>
      </c>
      <c r="D328" s="285" t="s">
        <v>1026</v>
      </c>
      <c r="E328" s="241" t="s">
        <v>34</v>
      </c>
      <c r="F328" s="284" t="s">
        <v>117</v>
      </c>
      <c r="G328" s="285" t="s">
        <v>1035</v>
      </c>
      <c r="H328" s="243" t="s">
        <v>37</v>
      </c>
      <c r="I328" s="241" t="s">
        <v>1022</v>
      </c>
      <c r="J328" s="241"/>
      <c r="K328" s="244" t="s">
        <v>38</v>
      </c>
      <c r="L328" s="286" t="s">
        <v>39</v>
      </c>
      <c r="M328" s="286"/>
      <c r="N328" s="240" t="s">
        <v>1036</v>
      </c>
      <c r="O328" s="286">
        <v>10063</v>
      </c>
      <c r="P328" s="241" t="s">
        <v>159</v>
      </c>
      <c r="Q328" s="240" t="s">
        <v>1037</v>
      </c>
      <c r="R328" s="240" t="s">
        <v>1038</v>
      </c>
      <c r="S328" s="240" t="s">
        <v>1022</v>
      </c>
      <c r="T328" s="240" t="s">
        <v>1022</v>
      </c>
      <c r="U328" s="277"/>
      <c r="V328" s="285"/>
      <c r="W328" s="332" t="s">
        <v>43</v>
      </c>
      <c r="X328" s="332" t="s">
        <v>43</v>
      </c>
      <c r="Y328" s="336" t="s">
        <v>44</v>
      </c>
      <c r="Z328" s="337" t="s">
        <v>45</v>
      </c>
      <c r="AA328" s="336" t="str">
        <f>_xlfn.XLOOKUP($A328,'2026 Approved Budget'!$B:$B,'2026 Approved Budget'!C:C)</f>
        <v>410 Manufacturing</v>
      </c>
      <c r="AB328" s="332" t="s">
        <v>46</v>
      </c>
      <c r="AC328" s="336" t="str">
        <f>_xlfn.XLOOKUP($A328,'2026 Approved Budget'!$B:$B,'2026 Approved Budget'!D:D)</f>
        <v>Jennifer Banh</v>
      </c>
      <c r="AD328" s="336" t="str">
        <f>_xlfn.XLOOKUP($A328,'2026 Approved Budget'!$B:$B,'2026 Approved Budget'!E:E)</f>
        <v>03. Sr. Manager / Sr. Scientist</v>
      </c>
      <c r="AE328" s="336" t="str">
        <f>_xlfn.XLOOKUP($A328,'2026 Approved Budget'!$B:$B,'2026 Approved Budget'!F:F)</f>
        <v>Senior Manager, Clinical Supply Chain</v>
      </c>
      <c r="AF328" s="338">
        <f>_xlfn.XLOOKUP($A328,'2026 Approved Budget'!$B:$B,'2026 Approved Budget'!H:H)</f>
        <v>45530</v>
      </c>
      <c r="AG328" s="252"/>
    </row>
    <row r="329" spans="1:33" ht="60" hidden="1" customHeight="1" x14ac:dyDescent="0.2">
      <c r="A329" s="281">
        <v>5318</v>
      </c>
      <c r="B329" s="269" t="s">
        <v>1018</v>
      </c>
      <c r="C329" s="285" t="s">
        <v>1034</v>
      </c>
      <c r="D329" s="240" t="s">
        <v>1026</v>
      </c>
      <c r="E329" s="241" t="s">
        <v>34</v>
      </c>
      <c r="F329" s="284" t="s">
        <v>117</v>
      </c>
      <c r="G329" s="285" t="s">
        <v>1035</v>
      </c>
      <c r="H329" s="243" t="s">
        <v>37</v>
      </c>
      <c r="I329" s="241"/>
      <c r="J329" s="241"/>
      <c r="K329" s="247" t="s">
        <v>124</v>
      </c>
      <c r="L329" s="286" t="s">
        <v>39</v>
      </c>
      <c r="M329" s="286"/>
      <c r="N329" s="240" t="s">
        <v>1080</v>
      </c>
      <c r="O329" s="286">
        <v>10296</v>
      </c>
      <c r="P329" s="241" t="s">
        <v>128</v>
      </c>
      <c r="Q329" s="240" t="s">
        <v>1081</v>
      </c>
      <c r="R329" s="240" t="s">
        <v>1082</v>
      </c>
      <c r="S329" s="240" t="s">
        <v>1082</v>
      </c>
      <c r="T329" s="240" t="s">
        <v>503</v>
      </c>
      <c r="U329" s="277"/>
      <c r="V329" s="285"/>
      <c r="W329" s="332" t="s">
        <v>43</v>
      </c>
      <c r="X329" s="332" t="s">
        <v>43</v>
      </c>
      <c r="Y329" s="336" t="s">
        <v>44</v>
      </c>
      <c r="Z329" s="337" t="s">
        <v>45</v>
      </c>
      <c r="AA329" s="336" t="str">
        <f>_xlfn.XLOOKUP($A329,'2026 Approved Budget'!$B:$B,'2026 Approved Budget'!C:C)</f>
        <v>410 Manufacturing</v>
      </c>
      <c r="AB329" s="332" t="s">
        <v>46</v>
      </c>
      <c r="AC329" s="336" t="str">
        <f>_xlfn.XLOOKUP($A329,'2026 Approved Budget'!$B:$B,'2026 Approved Budget'!D:D)</f>
        <v>Norris Ng</v>
      </c>
      <c r="AD329" s="336" t="str">
        <f>_xlfn.XLOOKUP($A329,'2026 Approved Budget'!$B:$B,'2026 Approved Budget'!E:E)</f>
        <v>03. Sr. Manager / Sr. Scientist</v>
      </c>
      <c r="AE329" s="336" t="str">
        <f>_xlfn.XLOOKUP($A329,'2026 Approved Budget'!$B:$B,'2026 Approved Budget'!F:F)</f>
        <v>Senior Manager, Clinical Supply Chain</v>
      </c>
      <c r="AF329" s="338">
        <f>_xlfn.XLOOKUP($A329,'2026 Approved Budget'!$B:$B,'2026 Approved Budget'!H:H)</f>
        <v>45978</v>
      </c>
      <c r="AG329" s="254"/>
    </row>
    <row r="330" spans="1:33" ht="15" hidden="1" customHeight="1" x14ac:dyDescent="0.2">
      <c r="A330" s="281">
        <v>5328</v>
      </c>
      <c r="B330" s="269" t="s">
        <v>1018</v>
      </c>
      <c r="C330" s="240" t="s">
        <v>1034</v>
      </c>
      <c r="D330" s="240" t="s">
        <v>1100</v>
      </c>
      <c r="E330" s="241" t="s">
        <v>34</v>
      </c>
      <c r="F330" s="284" t="s">
        <v>117</v>
      </c>
      <c r="G330" s="285" t="s">
        <v>1101</v>
      </c>
      <c r="H330" s="243" t="s">
        <v>37</v>
      </c>
      <c r="I330" s="241"/>
      <c r="J330" s="241"/>
      <c r="K330" s="247" t="s">
        <v>61</v>
      </c>
      <c r="L330" s="286" t="s">
        <v>39</v>
      </c>
      <c r="M330" s="286" t="s">
        <v>83</v>
      </c>
      <c r="N330" s="240" t="s">
        <v>1102</v>
      </c>
      <c r="O330" s="286">
        <v>10335</v>
      </c>
      <c r="P330" s="241" t="s">
        <v>448</v>
      </c>
      <c r="Q330" s="240" t="s">
        <v>1103</v>
      </c>
      <c r="R330" s="240" t="s">
        <v>1104</v>
      </c>
      <c r="S330" s="240" t="s">
        <v>1105</v>
      </c>
      <c r="T330" s="240" t="s">
        <v>111</v>
      </c>
      <c r="U330" s="277" t="s">
        <v>692</v>
      </c>
      <c r="V330" s="285"/>
      <c r="W330" s="332" t="s">
        <v>43</v>
      </c>
      <c r="X330" s="332" t="s">
        <v>43</v>
      </c>
      <c r="Y330" s="336" t="s">
        <v>44</v>
      </c>
      <c r="Z330" s="337" t="s">
        <v>45</v>
      </c>
      <c r="AA330" s="336" t="str">
        <f>_xlfn.XLOOKUP($A330,'2026 Approved Budget'!$B:$B,'2026 Approved Budget'!C:C)</f>
        <v>410 Manufacturing</v>
      </c>
      <c r="AB330" s="332" t="s">
        <v>46</v>
      </c>
      <c r="AC330" s="336" t="str">
        <f>_xlfn.XLOOKUP($A330,'2026 Approved Budget'!$B:$B,'2026 Approved Budget'!D:D)</f>
        <v>TBD</v>
      </c>
      <c r="AD330" s="336" t="str">
        <f>_xlfn.XLOOKUP($A330,'2026 Approved Budget'!$B:$B,'2026 Approved Budget'!E:E)</f>
        <v>03. Sr. Manager / Sr. Scientist</v>
      </c>
      <c r="AE330" s="336" t="str">
        <f>_xlfn.XLOOKUP($A330,'2026 Approved Budget'!$B:$B,'2026 Approved Budget'!F:F)</f>
        <v>Tech Ops Program Manager</v>
      </c>
      <c r="AF330" s="338">
        <f>_xlfn.XLOOKUP($A330,'2026 Approved Budget'!$B:$B,'2026 Approved Budget'!H:H)</f>
        <v>46096</v>
      </c>
      <c r="AG330" s="254"/>
    </row>
    <row r="331" spans="1:33" ht="15" customHeight="1" x14ac:dyDescent="0.2">
      <c r="A331" s="281">
        <v>1219</v>
      </c>
      <c r="B331" s="278" t="s">
        <v>1018</v>
      </c>
      <c r="C331" s="248" t="s">
        <v>1034</v>
      </c>
      <c r="D331" s="248" t="s">
        <v>1042</v>
      </c>
      <c r="E331" s="250" t="s">
        <v>34</v>
      </c>
      <c r="F331" s="282" t="s">
        <v>105</v>
      </c>
      <c r="G331" s="252" t="s">
        <v>1089</v>
      </c>
      <c r="H331" s="251" t="s">
        <v>50</v>
      </c>
      <c r="I331" s="250">
        <v>1</v>
      </c>
      <c r="J331" s="250" t="s">
        <v>2124</v>
      </c>
      <c r="K331" s="253" t="s">
        <v>61</v>
      </c>
      <c r="L331" s="281" t="s">
        <v>62</v>
      </c>
      <c r="M331" s="281" t="s">
        <v>83</v>
      </c>
      <c r="N331" s="248" t="s">
        <v>1090</v>
      </c>
      <c r="O331" s="281"/>
      <c r="P331" s="250" t="s">
        <v>109</v>
      </c>
      <c r="Q331" s="248" t="s">
        <v>1091</v>
      </c>
      <c r="R331" s="248" t="s">
        <v>1022</v>
      </c>
      <c r="S331" s="248" t="s">
        <v>1022</v>
      </c>
      <c r="T331" s="248" t="s">
        <v>111</v>
      </c>
      <c r="U331" s="261"/>
      <c r="V331" s="252"/>
      <c r="W331" s="332" t="s">
        <v>43</v>
      </c>
      <c r="X331" s="332" t="s">
        <v>43</v>
      </c>
      <c r="Y331" s="275" t="s">
        <v>69</v>
      </c>
      <c r="Z331" s="337" t="s">
        <v>45</v>
      </c>
      <c r="AA331" s="336" t="str">
        <f>_xlfn.XLOOKUP($A331,'2026 Approved Budget'!$B:$B,'2026 Approved Budget'!C:C)</f>
        <v>410 Manufacturing</v>
      </c>
      <c r="AB331" s="332" t="s">
        <v>46</v>
      </c>
      <c r="AC331" s="336" t="str">
        <f>_xlfn.XLOOKUP($A331,'2026 Approved Budget'!$B:$B,'2026 Approved Budget'!D:D)</f>
        <v>Gus Kodersha</v>
      </c>
      <c r="AD331" s="336" t="str">
        <f>_xlfn.XLOOKUP($A331,'2026 Approved Budget'!$B:$B,'2026 Approved Budget'!E:E)</f>
        <v>08. VP</v>
      </c>
      <c r="AE331" s="336" t="str">
        <f>_xlfn.XLOOKUP($A331,'2026 Approved Budget'!$B:$B,'2026 Approved Budget'!F:F)</f>
        <v>Head of API / Drug Substance</v>
      </c>
      <c r="AF331" s="338">
        <f>_xlfn.XLOOKUP($A331,'2026 Approved Budget'!$B:$B,'2026 Approved Budget'!H:H)</f>
        <v>45740</v>
      </c>
      <c r="AG331" s="254"/>
    </row>
    <row r="332" spans="1:33" ht="30" customHeight="1" x14ac:dyDescent="0.2">
      <c r="A332" s="281">
        <v>1216</v>
      </c>
      <c r="B332" s="278" t="s">
        <v>1018</v>
      </c>
      <c r="C332" s="248" t="s">
        <v>1034</v>
      </c>
      <c r="D332" s="248" t="s">
        <v>1083</v>
      </c>
      <c r="E332" s="250" t="s">
        <v>34</v>
      </c>
      <c r="F332" s="282" t="s">
        <v>58</v>
      </c>
      <c r="G332" s="252" t="s">
        <v>2122</v>
      </c>
      <c r="H332" s="251" t="s">
        <v>50</v>
      </c>
      <c r="I332" s="250">
        <v>2</v>
      </c>
      <c r="J332" s="250"/>
      <c r="K332" s="253" t="s">
        <v>61</v>
      </c>
      <c r="L332" s="281" t="s">
        <v>62</v>
      </c>
      <c r="M332" s="281" t="s">
        <v>83</v>
      </c>
      <c r="N332" s="248" t="s">
        <v>1085</v>
      </c>
      <c r="O332" s="281"/>
      <c r="P332" s="250" t="s">
        <v>109</v>
      </c>
      <c r="Q332" s="248" t="s">
        <v>1045</v>
      </c>
      <c r="R332" s="248" t="s">
        <v>1022</v>
      </c>
      <c r="S332" s="248" t="s">
        <v>1022</v>
      </c>
      <c r="T332" s="248" t="s">
        <v>503</v>
      </c>
      <c r="U332" s="261"/>
      <c r="V332" s="252"/>
      <c r="W332" s="332" t="s">
        <v>43</v>
      </c>
      <c r="X332" s="332" t="s">
        <v>43</v>
      </c>
      <c r="Y332" s="275" t="s">
        <v>69</v>
      </c>
      <c r="Z332" s="337" t="s">
        <v>45</v>
      </c>
      <c r="AA332" s="336" t="str">
        <f>_xlfn.XLOOKUP($A332,'2026 Approved Budget'!$B:$B,'2026 Approved Budget'!C:C)</f>
        <v>410 Manufacturing</v>
      </c>
      <c r="AB332" s="332" t="s">
        <v>46</v>
      </c>
      <c r="AC332" s="336" t="str">
        <f>_xlfn.XLOOKUP($A332,'2026 Approved Budget'!$B:$B,'2026 Approved Budget'!D:D)</f>
        <v>Backfill: Vijaya Bhasker Gondi</v>
      </c>
      <c r="AD332" s="336" t="str">
        <f>_xlfn.XLOOKUP($A332,'2026 Approved Budget'!$B:$B,'2026 Approved Budget'!E:E)</f>
        <v>06. Sr. Director</v>
      </c>
      <c r="AE332" s="336" t="str">
        <f>_xlfn.XLOOKUP($A332,'2026 Approved Budget'!$B:$B,'2026 Approved Budget'!F:F)</f>
        <v>Sr Director/Director, API / Drug Substance</v>
      </c>
      <c r="AF332" s="338">
        <f>_xlfn.XLOOKUP($A332,'2026 Approved Budget'!$B:$B,'2026 Approved Budget'!H:H)</f>
        <v>46096</v>
      </c>
      <c r="AG332" s="252"/>
    </row>
    <row r="333" spans="1:33" ht="30" customHeight="1" x14ac:dyDescent="0.2">
      <c r="A333" s="281">
        <v>1217</v>
      </c>
      <c r="B333" s="278" t="s">
        <v>1018</v>
      </c>
      <c r="C333" s="248" t="s">
        <v>1034</v>
      </c>
      <c r="D333" s="248" t="s">
        <v>1083</v>
      </c>
      <c r="E333" s="250" t="s">
        <v>34</v>
      </c>
      <c r="F333" s="250" t="s">
        <v>58</v>
      </c>
      <c r="G333" s="252" t="s">
        <v>2121</v>
      </c>
      <c r="H333" s="251" t="s">
        <v>37</v>
      </c>
      <c r="I333" s="250">
        <v>4</v>
      </c>
      <c r="J333" s="250" t="s">
        <v>2124</v>
      </c>
      <c r="K333" s="250" t="s">
        <v>61</v>
      </c>
      <c r="L333" s="281" t="s">
        <v>62</v>
      </c>
      <c r="M333" s="281" t="s">
        <v>83</v>
      </c>
      <c r="N333" s="248" t="s">
        <v>1022</v>
      </c>
      <c r="O333" s="281"/>
      <c r="P333" s="250" t="s">
        <v>132</v>
      </c>
      <c r="Q333" s="248" t="s">
        <v>1087</v>
      </c>
      <c r="R333" s="248" t="s">
        <v>1022</v>
      </c>
      <c r="S333" s="248" t="s">
        <v>1088</v>
      </c>
      <c r="T333" s="248" t="s">
        <v>503</v>
      </c>
      <c r="U333" s="261" t="s">
        <v>692</v>
      </c>
      <c r="V333" s="252"/>
      <c r="W333" s="332" t="s">
        <v>75</v>
      </c>
      <c r="X333" s="103" t="s">
        <v>43</v>
      </c>
      <c r="Y333" s="275" t="s">
        <v>69</v>
      </c>
      <c r="Z333" s="337" t="s">
        <v>45</v>
      </c>
      <c r="AA333" s="336" t="str">
        <f>_xlfn.XLOOKUP($A333,'2026 Approved Budget'!$B:$B,'2026 Approved Budget'!C:C)</f>
        <v>410 Manufacturing</v>
      </c>
      <c r="AB333" s="332" t="s">
        <v>46</v>
      </c>
      <c r="AC333" s="336" t="str">
        <f>_xlfn.XLOOKUP($A333,'2026 Approved Budget'!$B:$B,'2026 Approved Budget'!D:D)</f>
        <v>TBD</v>
      </c>
      <c r="AD333" s="336" t="str">
        <f>_xlfn.XLOOKUP($A333,'2026 Approved Budget'!$B:$B,'2026 Approved Budget'!E:E)</f>
        <v>05. Director</v>
      </c>
      <c r="AE333" s="336" t="str">
        <f>_xlfn.XLOOKUP($A333,'2026 Approved Budget'!$B:$B,'2026 Approved Budget'!F:F)</f>
        <v xml:space="preserve">Director/Assoc Director DS </v>
      </c>
      <c r="AF333" s="338">
        <f>_xlfn.XLOOKUP($A333,'2026 Approved Budget'!$B:$B,'2026 Approved Budget'!H:H)</f>
        <v>46006</v>
      </c>
      <c r="AG333" s="254"/>
    </row>
    <row r="334" spans="1:33" ht="60" customHeight="1" x14ac:dyDescent="0.2">
      <c r="A334" s="281">
        <v>5305</v>
      </c>
      <c r="B334" s="278" t="s">
        <v>1018</v>
      </c>
      <c r="C334" s="248" t="s">
        <v>1034</v>
      </c>
      <c r="D334" s="248" t="s">
        <v>1054</v>
      </c>
      <c r="E334" s="250" t="s">
        <v>34</v>
      </c>
      <c r="F334" s="282" t="s">
        <v>98</v>
      </c>
      <c r="G334" s="252" t="s">
        <v>1078</v>
      </c>
      <c r="H334" s="251" t="s">
        <v>37</v>
      </c>
      <c r="I334" s="250">
        <v>3</v>
      </c>
      <c r="J334" s="250"/>
      <c r="K334" s="253" t="s">
        <v>61</v>
      </c>
      <c r="L334" s="281" t="s">
        <v>62</v>
      </c>
      <c r="M334" s="281" t="s">
        <v>83</v>
      </c>
      <c r="N334" s="248" t="s">
        <v>1022</v>
      </c>
      <c r="O334" s="281"/>
      <c r="P334" s="250" t="s">
        <v>109</v>
      </c>
      <c r="Q334" s="248" t="s">
        <v>1050</v>
      </c>
      <c r="R334" s="248" t="s">
        <v>1099</v>
      </c>
      <c r="S334" s="248" t="s">
        <v>1099</v>
      </c>
      <c r="T334" s="248" t="s">
        <v>503</v>
      </c>
      <c r="U334" s="261" t="s">
        <v>692</v>
      </c>
      <c r="V334" s="252"/>
      <c r="W334" s="332" t="s">
        <v>75</v>
      </c>
      <c r="X334" s="332" t="s">
        <v>43</v>
      </c>
      <c r="Y334" s="275" t="s">
        <v>69</v>
      </c>
      <c r="Z334" s="337" t="s">
        <v>45</v>
      </c>
      <c r="AA334" s="336" t="str">
        <f>_xlfn.XLOOKUP($A334,'2026 Approved Budget'!$B:$B,'2026 Approved Budget'!C:C)</f>
        <v>410 Manufacturing</v>
      </c>
      <c r="AB334" s="332" t="s">
        <v>46</v>
      </c>
      <c r="AC334" s="336" t="str">
        <f>_xlfn.XLOOKUP($A334,'2026 Approved Budget'!$B:$B,'2026 Approved Budget'!D:D)</f>
        <v>TBD</v>
      </c>
      <c r="AD334" s="336" t="str">
        <f>_xlfn.XLOOKUP($A334,'2026 Approved Budget'!$B:$B,'2026 Approved Budget'!E:E)</f>
        <v>04. AD / Staff Scientist</v>
      </c>
      <c r="AE334" s="336" t="str">
        <f>_xlfn.XLOOKUP($A334,'2026 Approved Budget'!$B:$B,'2026 Approved Budget'!F:F)</f>
        <v>Associate Director, Analytical Development</v>
      </c>
      <c r="AF334" s="338">
        <f>_xlfn.XLOOKUP($A334,'2026 Approved Budget'!$B:$B,'2026 Approved Budget'!H:H)</f>
        <v>46096</v>
      </c>
      <c r="AG334" s="254"/>
    </row>
    <row r="335" spans="1:33" ht="64" x14ac:dyDescent="0.2">
      <c r="A335" s="281">
        <v>5327</v>
      </c>
      <c r="B335" s="278" t="s">
        <v>1018</v>
      </c>
      <c r="C335" s="248" t="s">
        <v>1034</v>
      </c>
      <c r="D335" s="248" t="s">
        <v>1100</v>
      </c>
      <c r="E335" s="250" t="s">
        <v>34</v>
      </c>
      <c r="F335" s="282" t="s">
        <v>138</v>
      </c>
      <c r="G335" s="252" t="s">
        <v>1106</v>
      </c>
      <c r="H335" s="251" t="s">
        <v>37</v>
      </c>
      <c r="I335" s="250">
        <v>6</v>
      </c>
      <c r="J335" s="250"/>
      <c r="K335" s="253" t="s">
        <v>71</v>
      </c>
      <c r="L335" s="281" t="s">
        <v>62</v>
      </c>
      <c r="M335" s="281" t="s">
        <v>83</v>
      </c>
      <c r="N335" s="248" t="s">
        <v>1022</v>
      </c>
      <c r="O335" s="281"/>
      <c r="P335" s="250" t="s">
        <v>159</v>
      </c>
      <c r="Q335" s="248" t="s">
        <v>1107</v>
      </c>
      <c r="R335" s="248" t="s">
        <v>1108</v>
      </c>
      <c r="S335" s="248" t="s">
        <v>1105</v>
      </c>
      <c r="T335" s="248" t="s">
        <v>111</v>
      </c>
      <c r="U335" s="261" t="s">
        <v>692</v>
      </c>
      <c r="V335" s="252"/>
      <c r="W335" s="103" t="s">
        <v>165</v>
      </c>
      <c r="X335" s="332" t="s">
        <v>43</v>
      </c>
      <c r="Y335" s="275" t="s">
        <v>69</v>
      </c>
      <c r="Z335" s="337" t="s">
        <v>45</v>
      </c>
      <c r="AA335" s="336" t="str">
        <f>_xlfn.XLOOKUP($A335,'2026 Approved Budget'!$B:$B,'2026 Approved Budget'!C:C)</f>
        <v>410 Manufacturing</v>
      </c>
      <c r="AB335" s="332" t="s">
        <v>46</v>
      </c>
      <c r="AC335" s="336" t="str">
        <f>_xlfn.XLOOKUP($A335,'2026 Approved Budget'!$B:$B,'2026 Approved Budget'!D:D)</f>
        <v>TBD</v>
      </c>
      <c r="AD335" s="336" t="str">
        <f>_xlfn.XLOOKUP($A335,'2026 Approved Budget'!$B:$B,'2026 Approved Budget'!E:E)</f>
        <v>06. Sr. Director</v>
      </c>
      <c r="AE335" s="336" t="str">
        <f>_xlfn.XLOOKUP($A335,'2026 Approved Budget'!$B:$B,'2026 Approved Budget'!F:F)</f>
        <v>Tech Ops Program Lead (TOPL)</v>
      </c>
      <c r="AF335" s="338">
        <f>_xlfn.XLOOKUP($A335,'2026 Approved Budget'!$B:$B,'2026 Approved Budget'!H:H)</f>
        <v>46188</v>
      </c>
      <c r="AG335" s="254"/>
    </row>
    <row r="336" spans="1:33" ht="60" customHeight="1" x14ac:dyDescent="0.2">
      <c r="A336" s="281">
        <v>1392</v>
      </c>
      <c r="B336" s="278" t="s">
        <v>1018</v>
      </c>
      <c r="C336" s="248" t="s">
        <v>1034</v>
      </c>
      <c r="D336" s="248" t="s">
        <v>1030</v>
      </c>
      <c r="E336" s="250" t="s">
        <v>34</v>
      </c>
      <c r="F336" s="250" t="s">
        <v>98</v>
      </c>
      <c r="G336" s="252" t="s">
        <v>1113</v>
      </c>
      <c r="H336" s="251" t="s">
        <v>50</v>
      </c>
      <c r="I336" s="250">
        <v>9</v>
      </c>
      <c r="J336" s="250"/>
      <c r="K336" s="253" t="s">
        <v>71</v>
      </c>
      <c r="L336" s="281"/>
      <c r="M336" s="281" t="s">
        <v>83</v>
      </c>
      <c r="N336" s="248" t="s">
        <v>1022</v>
      </c>
      <c r="O336" s="281"/>
      <c r="P336" s="250" t="s">
        <v>371</v>
      </c>
      <c r="Q336" s="248" t="s">
        <v>1114</v>
      </c>
      <c r="R336" s="248" t="s">
        <v>1024</v>
      </c>
      <c r="S336" s="248" t="s">
        <v>1115</v>
      </c>
      <c r="T336" s="248" t="s">
        <v>111</v>
      </c>
      <c r="U336" s="261" t="s">
        <v>692</v>
      </c>
      <c r="V336" s="252"/>
      <c r="W336" s="332" t="s">
        <v>43</v>
      </c>
      <c r="X336" s="332" t="s">
        <v>103</v>
      </c>
      <c r="Y336" s="275" t="s">
        <v>69</v>
      </c>
      <c r="Z336" s="337" t="s">
        <v>45</v>
      </c>
      <c r="AA336" s="336" t="str">
        <f>_xlfn.XLOOKUP($A336,'2026 Approved Budget'!$B:$B,'2026 Approved Budget'!C:C)</f>
        <v>410 Manufacturing</v>
      </c>
      <c r="AB336" s="332" t="s">
        <v>46</v>
      </c>
      <c r="AC336" s="336" t="str">
        <f>_xlfn.XLOOKUP($A336,'2026 Approved Budget'!$B:$B,'2026 Approved Budget'!D:D)</f>
        <v>TBD</v>
      </c>
      <c r="AD336" s="336" t="str">
        <f>_xlfn.XLOOKUP($A336,'2026 Approved Budget'!$B:$B,'2026 Approved Budget'!E:E)</f>
        <v>05. Director</v>
      </c>
      <c r="AE336" s="336" t="str">
        <f>_xlfn.XLOOKUP($A336,'2026 Approved Budget'!$B:$B,'2026 Approved Budget'!F:F)</f>
        <v>Director, External Mfg.</v>
      </c>
      <c r="AF336" s="338">
        <f>_xlfn.XLOOKUP($A336,'2026 Approved Budget'!$B:$B,'2026 Approved Budget'!H:H)</f>
        <v>46280</v>
      </c>
      <c r="AG336" s="254"/>
    </row>
    <row r="337" spans="1:33" ht="30" customHeight="1" x14ac:dyDescent="0.2">
      <c r="A337" s="281">
        <v>5306</v>
      </c>
      <c r="B337" s="278" t="s">
        <v>1018</v>
      </c>
      <c r="C337" s="248" t="s">
        <v>1034</v>
      </c>
      <c r="D337" s="248" t="s">
        <v>1054</v>
      </c>
      <c r="E337" s="250" t="s">
        <v>34</v>
      </c>
      <c r="F337" s="282" t="s">
        <v>98</v>
      </c>
      <c r="G337" s="252" t="s">
        <v>1078</v>
      </c>
      <c r="H337" s="251" t="s">
        <v>37</v>
      </c>
      <c r="I337" s="250">
        <v>10</v>
      </c>
      <c r="J337" s="250"/>
      <c r="K337" s="253" t="s">
        <v>71</v>
      </c>
      <c r="L337" s="281"/>
      <c r="M337" s="281" t="s">
        <v>83</v>
      </c>
      <c r="N337" s="248" t="s">
        <v>1022</v>
      </c>
      <c r="O337" s="281"/>
      <c r="P337" s="250" t="s">
        <v>109</v>
      </c>
      <c r="Q337" s="248" t="s">
        <v>1050</v>
      </c>
      <c r="R337" s="248" t="s">
        <v>1099</v>
      </c>
      <c r="S337" s="248" t="s">
        <v>1099</v>
      </c>
      <c r="T337" s="248" t="s">
        <v>503</v>
      </c>
      <c r="U337" s="261" t="s">
        <v>692</v>
      </c>
      <c r="V337" s="252"/>
      <c r="W337" s="332" t="s">
        <v>75</v>
      </c>
      <c r="X337" s="332" t="s">
        <v>103</v>
      </c>
      <c r="Y337" s="275" t="s">
        <v>69</v>
      </c>
      <c r="Z337" s="337" t="s">
        <v>45</v>
      </c>
      <c r="AA337" s="336" t="str">
        <f>_xlfn.XLOOKUP($A337,'2026 Approved Budget'!$B:$B,'2026 Approved Budget'!C:C)</f>
        <v>410 Manufacturing</v>
      </c>
      <c r="AB337" s="332" t="s">
        <v>46</v>
      </c>
      <c r="AC337" s="336" t="str">
        <f>_xlfn.XLOOKUP($A337,'2026 Approved Budget'!$B:$B,'2026 Approved Budget'!D:D)</f>
        <v>TBD</v>
      </c>
      <c r="AD337" s="336" t="str">
        <f>_xlfn.XLOOKUP($A337,'2026 Approved Budget'!$B:$B,'2026 Approved Budget'!E:E)</f>
        <v>04. AD / Staff Scientist</v>
      </c>
      <c r="AE337" s="336" t="str">
        <f>_xlfn.XLOOKUP($A337,'2026 Approved Budget'!$B:$B,'2026 Approved Budget'!F:F)</f>
        <v>Associate Director, Analytical Development</v>
      </c>
      <c r="AF337" s="338">
        <f>_xlfn.XLOOKUP($A337,'2026 Approved Budget'!$B:$B,'2026 Approved Budget'!H:H)</f>
        <v>46280</v>
      </c>
      <c r="AG337" s="254"/>
    </row>
    <row r="338" spans="1:33" ht="30" customHeight="1" x14ac:dyDescent="0.2">
      <c r="A338" s="281">
        <v>5298</v>
      </c>
      <c r="B338" s="278" t="s">
        <v>1018</v>
      </c>
      <c r="C338" s="248" t="s">
        <v>1034</v>
      </c>
      <c r="D338" s="288" t="s">
        <v>1064</v>
      </c>
      <c r="E338" s="250" t="s">
        <v>34</v>
      </c>
      <c r="F338" s="250" t="s">
        <v>98</v>
      </c>
      <c r="G338" s="289" t="s">
        <v>1116</v>
      </c>
      <c r="H338" s="251" t="s">
        <v>50</v>
      </c>
      <c r="I338" s="250">
        <v>8</v>
      </c>
      <c r="J338" s="250"/>
      <c r="K338" s="253" t="s">
        <v>100</v>
      </c>
      <c r="L338" s="281"/>
      <c r="M338" s="281" t="s">
        <v>83</v>
      </c>
      <c r="N338" s="288" t="s">
        <v>1022</v>
      </c>
      <c r="O338" s="281"/>
      <c r="P338" s="250" t="s">
        <v>159</v>
      </c>
      <c r="Q338" s="248" t="s">
        <v>1045</v>
      </c>
      <c r="R338" s="248" t="s">
        <v>1117</v>
      </c>
      <c r="S338" s="288" t="s">
        <v>1118</v>
      </c>
      <c r="T338" s="288" t="s">
        <v>503</v>
      </c>
      <c r="U338" s="261" t="s">
        <v>692</v>
      </c>
      <c r="V338" s="289"/>
      <c r="W338" s="332" t="s">
        <v>43</v>
      </c>
      <c r="X338" s="332" t="s">
        <v>43</v>
      </c>
      <c r="Y338" s="275" t="s">
        <v>69</v>
      </c>
      <c r="Z338" s="337" t="s">
        <v>45</v>
      </c>
      <c r="AA338" s="336" t="str">
        <f>_xlfn.XLOOKUP($A338,'2026 Approved Budget'!$B:$B,'2026 Approved Budget'!C:C)</f>
        <v>410 Manufacturing</v>
      </c>
      <c r="AB338" s="332" t="s">
        <v>46</v>
      </c>
      <c r="AC338" s="336" t="str">
        <f>_xlfn.XLOOKUP($A338,'2026 Approved Budget'!$B:$B,'2026 Approved Budget'!D:D)</f>
        <v>TBD</v>
      </c>
      <c r="AD338" s="336" t="str">
        <f>_xlfn.XLOOKUP($A338,'2026 Approved Budget'!$B:$B,'2026 Approved Budget'!E:E)</f>
        <v>05. Director</v>
      </c>
      <c r="AE338" s="336" t="str">
        <f>_xlfn.XLOOKUP($A338,'2026 Approved Budget'!$B:$B,'2026 Approved Budget'!F:F)</f>
        <v>Dir/Associate Director - DP</v>
      </c>
      <c r="AF338" s="338">
        <f>_xlfn.XLOOKUP($A338,'2026 Approved Budget'!$B:$B,'2026 Approved Budget'!H:H)</f>
        <v>46280</v>
      </c>
      <c r="AG338" s="254"/>
    </row>
    <row r="339" spans="1:33" customFormat="1" ht="30" customHeight="1" x14ac:dyDescent="0.2">
      <c r="A339" s="281">
        <v>5299</v>
      </c>
      <c r="B339" s="278" t="s">
        <v>1018</v>
      </c>
      <c r="C339" s="248" t="s">
        <v>1034</v>
      </c>
      <c r="D339" s="288" t="s">
        <v>1064</v>
      </c>
      <c r="E339" s="250" t="s">
        <v>34</v>
      </c>
      <c r="F339" s="250" t="s">
        <v>98</v>
      </c>
      <c r="G339" s="289" t="s">
        <v>1116</v>
      </c>
      <c r="H339" s="251" t="s">
        <v>37</v>
      </c>
      <c r="I339" s="250">
        <v>14</v>
      </c>
      <c r="J339" s="250"/>
      <c r="K339" s="253" t="s">
        <v>242</v>
      </c>
      <c r="L339" s="281"/>
      <c r="M339" s="281" t="s">
        <v>83</v>
      </c>
      <c r="N339" s="288" t="s">
        <v>1022</v>
      </c>
      <c r="O339" s="281"/>
      <c r="P339" s="250" t="s">
        <v>132</v>
      </c>
      <c r="Q339" s="248" t="s">
        <v>1045</v>
      </c>
      <c r="R339" s="248" t="s">
        <v>1124</v>
      </c>
      <c r="S339" s="288" t="s">
        <v>1125</v>
      </c>
      <c r="T339" s="288" t="s">
        <v>503</v>
      </c>
      <c r="U339" s="261" t="s">
        <v>692</v>
      </c>
      <c r="V339" s="289"/>
      <c r="W339" s="332" t="s">
        <v>43</v>
      </c>
      <c r="X339" s="332" t="s">
        <v>43</v>
      </c>
      <c r="Y339" s="275" t="s">
        <v>69</v>
      </c>
      <c r="Z339" s="337" t="s">
        <v>45</v>
      </c>
      <c r="AA339" s="336" t="str">
        <f>_xlfn.XLOOKUP($A339,'2026 Approved Budget'!$B:$B,'2026 Approved Budget'!C:C)</f>
        <v>410 Manufacturing</v>
      </c>
      <c r="AB339" s="332" t="s">
        <v>46</v>
      </c>
      <c r="AC339" s="336" t="str">
        <f>_xlfn.XLOOKUP($A339,'2026 Approved Budget'!$B:$B,'2026 Approved Budget'!D:D)</f>
        <v>TBD</v>
      </c>
      <c r="AD339" s="336" t="str">
        <f>_xlfn.XLOOKUP($A339,'2026 Approved Budget'!$B:$B,'2026 Approved Budget'!E:E)</f>
        <v>05. Director</v>
      </c>
      <c r="AE339" s="336" t="str">
        <f>_xlfn.XLOOKUP($A339,'2026 Approved Budget'!$B:$B,'2026 Approved Budget'!F:F)</f>
        <v>Dir/Associate Director - DP</v>
      </c>
      <c r="AF339" s="338">
        <f>_xlfn.XLOOKUP($A339,'2026 Approved Budget'!$B:$B,'2026 Approved Budget'!H:H)</f>
        <v>46371</v>
      </c>
      <c r="AG339" s="254"/>
    </row>
    <row r="340" spans="1:33" customFormat="1" ht="45" customHeight="1" x14ac:dyDescent="0.2">
      <c r="A340" s="281">
        <v>5329</v>
      </c>
      <c r="B340" s="278" t="s">
        <v>1018</v>
      </c>
      <c r="C340" s="248" t="s">
        <v>1034</v>
      </c>
      <c r="D340" s="248" t="s">
        <v>1100</v>
      </c>
      <c r="E340" s="250" t="s">
        <v>34</v>
      </c>
      <c r="F340" s="282" t="s">
        <v>138</v>
      </c>
      <c r="G340" s="252" t="s">
        <v>1106</v>
      </c>
      <c r="H340" s="251" t="s">
        <v>37</v>
      </c>
      <c r="I340" s="250">
        <v>5</v>
      </c>
      <c r="J340" s="250"/>
      <c r="K340" s="253" t="s">
        <v>71</v>
      </c>
      <c r="L340" s="281"/>
      <c r="M340" s="281" t="s">
        <v>83</v>
      </c>
      <c r="N340" s="248" t="s">
        <v>1022</v>
      </c>
      <c r="O340" s="281"/>
      <c r="P340" s="250" t="s">
        <v>371</v>
      </c>
      <c r="Q340" s="248" t="s">
        <v>1107</v>
      </c>
      <c r="R340" s="248" t="s">
        <v>1108</v>
      </c>
      <c r="S340" s="248" t="s">
        <v>1109</v>
      </c>
      <c r="T340" s="248" t="s">
        <v>111</v>
      </c>
      <c r="U340" s="261" t="s">
        <v>692</v>
      </c>
      <c r="V340" s="252"/>
      <c r="W340" s="332" t="s">
        <v>165</v>
      </c>
      <c r="X340" s="332" t="s">
        <v>43</v>
      </c>
      <c r="Y340" s="275" t="s">
        <v>69</v>
      </c>
      <c r="Z340" s="337" t="s">
        <v>45</v>
      </c>
      <c r="AA340" s="336" t="str">
        <f>_xlfn.XLOOKUP($A340,'2026 Approved Budget'!$B:$B,'2026 Approved Budget'!C:C)</f>
        <v>410 Manufacturing</v>
      </c>
      <c r="AB340" s="332" t="s">
        <v>46</v>
      </c>
      <c r="AC340" s="336" t="str">
        <f>_xlfn.XLOOKUP($A340,'2026 Approved Budget'!$B:$B,'2026 Approved Budget'!D:D)</f>
        <v>TBD</v>
      </c>
      <c r="AD340" s="336" t="str">
        <f>_xlfn.XLOOKUP($A340,'2026 Approved Budget'!$B:$B,'2026 Approved Budget'!E:E)</f>
        <v>06. Sr. Director</v>
      </c>
      <c r="AE340" s="336" t="str">
        <f>_xlfn.XLOOKUP($A340,'2026 Approved Budget'!$B:$B,'2026 Approved Budget'!F:F)</f>
        <v>Tech Ops Program Lead (TOPL)</v>
      </c>
      <c r="AF340" s="338">
        <f>_xlfn.XLOOKUP($A340,'2026 Approved Budget'!$B:$B,'2026 Approved Budget'!H:H)</f>
        <v>46188</v>
      </c>
      <c r="AG340" s="254"/>
    </row>
    <row r="341" spans="1:33" customFormat="1" ht="30" customHeight="1" x14ac:dyDescent="0.2">
      <c r="A341" s="281">
        <v>5291</v>
      </c>
      <c r="B341" s="278" t="s">
        <v>1018</v>
      </c>
      <c r="C341" s="248" t="s">
        <v>1034</v>
      </c>
      <c r="D341" s="248" t="s">
        <v>1083</v>
      </c>
      <c r="E341" s="250" t="s">
        <v>34</v>
      </c>
      <c r="F341" s="282" t="s">
        <v>138</v>
      </c>
      <c r="G341" s="252" t="s">
        <v>2120</v>
      </c>
      <c r="H341" s="251" t="s">
        <v>50</v>
      </c>
      <c r="I341" s="250">
        <v>7</v>
      </c>
      <c r="J341" s="250"/>
      <c r="K341" s="253" t="s">
        <v>71</v>
      </c>
      <c r="L341" s="281"/>
      <c r="M341" s="281" t="s">
        <v>83</v>
      </c>
      <c r="N341" s="248" t="s">
        <v>1022</v>
      </c>
      <c r="O341" s="281"/>
      <c r="P341" s="250" t="s">
        <v>128</v>
      </c>
      <c r="Q341" s="248" t="s">
        <v>1111</v>
      </c>
      <c r="R341" s="248" t="s">
        <v>1022</v>
      </c>
      <c r="S341" s="248" t="s">
        <v>1112</v>
      </c>
      <c r="T341" s="248" t="s">
        <v>503</v>
      </c>
      <c r="U341" s="261" t="s">
        <v>692</v>
      </c>
      <c r="V341" s="252"/>
      <c r="W341" s="332" t="s">
        <v>75</v>
      </c>
      <c r="X341" s="103" t="s">
        <v>76</v>
      </c>
      <c r="Y341" s="275" t="s">
        <v>69</v>
      </c>
      <c r="Z341" s="337" t="s">
        <v>45</v>
      </c>
      <c r="AA341" s="336" t="str">
        <f>_xlfn.XLOOKUP($A341,'2026 Approved Budget'!$B:$B,'2026 Approved Budget'!C:C)</f>
        <v>410 Manufacturing</v>
      </c>
      <c r="AB341" s="332" t="s">
        <v>46</v>
      </c>
      <c r="AC341" s="336" t="str">
        <f>_xlfn.XLOOKUP($A341,'2026 Approved Budget'!$B:$B,'2026 Approved Budget'!D:D)</f>
        <v>TBD</v>
      </c>
      <c r="AD341" s="336" t="str">
        <f>_xlfn.XLOOKUP($A341,'2026 Approved Budget'!$B:$B,'2026 Approved Budget'!E:E)</f>
        <v>03. Sr. Manager / Sr. Scientist</v>
      </c>
      <c r="AE341" s="336" t="str">
        <f>_xlfn.XLOOKUP($A341,'2026 Approved Budget'!$B:$B,'2026 Approved Budget'!F:F)</f>
        <v>Assoc Director /Sr. Manager</v>
      </c>
      <c r="AF341" s="338">
        <f>_xlfn.XLOOKUP($A341,'2026 Approved Budget'!$B:$B,'2026 Approved Budget'!H:H)</f>
        <v>46096</v>
      </c>
      <c r="AG341" s="254"/>
    </row>
    <row r="342" spans="1:33" customFormat="1" ht="30" customHeight="1" x14ac:dyDescent="0.2">
      <c r="A342" s="281">
        <v>5292</v>
      </c>
      <c r="B342" s="248" t="s">
        <v>1018</v>
      </c>
      <c r="C342" s="248" t="s">
        <v>1034</v>
      </c>
      <c r="D342" s="288" t="s">
        <v>1083</v>
      </c>
      <c r="E342" s="250" t="s">
        <v>34</v>
      </c>
      <c r="F342" s="281" t="s">
        <v>138</v>
      </c>
      <c r="G342" s="252" t="s">
        <v>2120</v>
      </c>
      <c r="H342" s="251" t="s">
        <v>50</v>
      </c>
      <c r="I342" s="250">
        <v>11</v>
      </c>
      <c r="J342" s="250"/>
      <c r="K342" s="253" t="s">
        <v>71</v>
      </c>
      <c r="L342" s="281"/>
      <c r="M342" s="281" t="s">
        <v>83</v>
      </c>
      <c r="N342" s="288" t="s">
        <v>1022</v>
      </c>
      <c r="O342" s="281"/>
      <c r="P342" s="250" t="s">
        <v>159</v>
      </c>
      <c r="Q342" s="248" t="s">
        <v>1119</v>
      </c>
      <c r="R342" s="248" t="s">
        <v>1022</v>
      </c>
      <c r="S342" s="288" t="s">
        <v>1120</v>
      </c>
      <c r="T342" s="288" t="s">
        <v>503</v>
      </c>
      <c r="U342" s="261" t="s">
        <v>692</v>
      </c>
      <c r="V342" s="289"/>
      <c r="W342" s="332" t="s">
        <v>43</v>
      </c>
      <c r="X342" s="332" t="s">
        <v>103</v>
      </c>
      <c r="Y342" s="275" t="s">
        <v>69</v>
      </c>
      <c r="Z342" s="337" t="s">
        <v>45</v>
      </c>
      <c r="AA342" s="336" t="str">
        <f>_xlfn.XLOOKUP($A342,'2026 Approved Budget'!$B:$B,'2026 Approved Budget'!C:C)</f>
        <v>410 Manufacturing</v>
      </c>
      <c r="AB342" s="332" t="s">
        <v>46</v>
      </c>
      <c r="AC342" s="336" t="str">
        <f>_xlfn.XLOOKUP($A342,'2026 Approved Budget'!$B:$B,'2026 Approved Budget'!D:D)</f>
        <v>TBD</v>
      </c>
      <c r="AD342" s="336" t="str">
        <f>_xlfn.XLOOKUP($A342,'2026 Approved Budget'!$B:$B,'2026 Approved Budget'!E:E)</f>
        <v>04. AD / Staff Scientist</v>
      </c>
      <c r="AE342" s="336" t="str">
        <f>_xlfn.XLOOKUP($A342,'2026 Approved Budget'!$B:$B,'2026 Approved Budget'!F:F)</f>
        <v>Assoc Director /Sr. Manager</v>
      </c>
      <c r="AF342" s="338">
        <f>_xlfn.XLOOKUP($A342,'2026 Approved Budget'!$B:$B,'2026 Approved Budget'!H:H)</f>
        <v>46280</v>
      </c>
      <c r="AG342" s="254"/>
    </row>
    <row r="343" spans="1:33" customFormat="1" ht="48" x14ac:dyDescent="0.2">
      <c r="A343" s="210">
        <v>5315</v>
      </c>
      <c r="B343" s="68" t="s">
        <v>1018</v>
      </c>
      <c r="C343" s="9" t="s">
        <v>1034</v>
      </c>
      <c r="D343" s="9" t="s">
        <v>1030</v>
      </c>
      <c r="E343" s="10" t="s">
        <v>34</v>
      </c>
      <c r="F343" s="211" t="s">
        <v>138</v>
      </c>
      <c r="G343" s="212" t="s">
        <v>1196</v>
      </c>
      <c r="H343" s="10" t="s">
        <v>37</v>
      </c>
      <c r="I343" s="10">
        <v>14</v>
      </c>
      <c r="J343" s="10"/>
      <c r="K343" s="13" t="s">
        <v>100</v>
      </c>
      <c r="L343" s="210"/>
      <c r="M343" s="210" t="s">
        <v>83</v>
      </c>
      <c r="N343" s="9" t="s">
        <v>1022</v>
      </c>
      <c r="O343" s="9"/>
      <c r="P343" s="10" t="s">
        <v>109</v>
      </c>
      <c r="Q343" s="9" t="s">
        <v>1198</v>
      </c>
      <c r="R343" s="9" t="s">
        <v>1024</v>
      </c>
      <c r="S343" s="9" t="s">
        <v>1199</v>
      </c>
      <c r="T343" s="9" t="s">
        <v>503</v>
      </c>
      <c r="U343" s="54"/>
      <c r="V343" s="377"/>
      <c r="W343" s="387" t="s">
        <v>86</v>
      </c>
      <c r="X343" s="332" t="s">
        <v>86</v>
      </c>
      <c r="Y343" s="377"/>
      <c r="Z343" s="377"/>
      <c r="AA343" s="377"/>
      <c r="AB343" s="377"/>
      <c r="AC343" s="377"/>
      <c r="AD343" s="377"/>
      <c r="AE343" s="377"/>
      <c r="AF343" s="377"/>
      <c r="AG343" s="377"/>
    </row>
    <row r="344" spans="1:33" customFormat="1" ht="30" customHeight="1" x14ac:dyDescent="0.2">
      <c r="A344" s="281">
        <v>5308</v>
      </c>
      <c r="B344" s="278" t="s">
        <v>1018</v>
      </c>
      <c r="C344" s="248" t="s">
        <v>1034</v>
      </c>
      <c r="D344" s="248" t="s">
        <v>1054</v>
      </c>
      <c r="E344" s="250" t="s">
        <v>34</v>
      </c>
      <c r="F344" s="282" t="s">
        <v>138</v>
      </c>
      <c r="G344" s="252" t="s">
        <v>1121</v>
      </c>
      <c r="H344" s="251" t="s">
        <v>50</v>
      </c>
      <c r="I344" s="250">
        <v>12</v>
      </c>
      <c r="J344" s="250"/>
      <c r="K344" s="253" t="s">
        <v>100</v>
      </c>
      <c r="L344" s="281"/>
      <c r="M344" s="281" t="s">
        <v>83</v>
      </c>
      <c r="N344" s="248" t="s">
        <v>1022</v>
      </c>
      <c r="O344" s="281"/>
      <c r="P344" s="250" t="s">
        <v>132</v>
      </c>
      <c r="Q344" s="248" t="s">
        <v>1122</v>
      </c>
      <c r="R344" s="248" t="s">
        <v>1123</v>
      </c>
      <c r="S344" s="248" t="s">
        <v>1123</v>
      </c>
      <c r="T344" s="248" t="s">
        <v>503</v>
      </c>
      <c r="U344" s="261" t="s">
        <v>692</v>
      </c>
      <c r="V344" s="252"/>
      <c r="W344" s="332" t="s">
        <v>43</v>
      </c>
      <c r="X344" s="332" t="s">
        <v>43</v>
      </c>
      <c r="Y344" s="275" t="s">
        <v>69</v>
      </c>
      <c r="Z344" s="337" t="s">
        <v>45</v>
      </c>
      <c r="AA344" s="336" t="str">
        <f>_xlfn.XLOOKUP($A344,'2026 Approved Budget'!$B:$B,'2026 Approved Budget'!C:C)</f>
        <v>410 Manufacturing</v>
      </c>
      <c r="AB344" s="332" t="s">
        <v>46</v>
      </c>
      <c r="AC344" s="336" t="str">
        <f>_xlfn.XLOOKUP($A344,'2026 Approved Budget'!$B:$B,'2026 Approved Budget'!D:D)</f>
        <v>TBD</v>
      </c>
      <c r="AD344" s="336" t="str">
        <f>_xlfn.XLOOKUP($A344,'2026 Approved Budget'!$B:$B,'2026 Approved Budget'!E:E)</f>
        <v>04. AD / Staff Scientist</v>
      </c>
      <c r="AE344" s="336" t="str">
        <f>_xlfn.XLOOKUP($A344,'2026 Approved Budget'!$B:$B,'2026 Approved Budget'!F:F)</f>
        <v>Associate Director, Analytical Development</v>
      </c>
      <c r="AF344" s="338">
        <f>_xlfn.XLOOKUP($A344,'2026 Approved Budget'!$B:$B,'2026 Approved Budget'!H:H)</f>
        <v>46280</v>
      </c>
      <c r="AG344" s="254"/>
    </row>
    <row r="345" spans="1:33" ht="15" hidden="1" customHeight="1" x14ac:dyDescent="0.2">
      <c r="A345" s="290">
        <v>9001</v>
      </c>
      <c r="B345" s="291" t="s">
        <v>1126</v>
      </c>
      <c r="C345" s="290"/>
      <c r="D345" s="290"/>
      <c r="E345" s="290"/>
      <c r="F345" s="290"/>
      <c r="G345" s="290"/>
      <c r="H345" s="290"/>
      <c r="I345" s="290"/>
      <c r="J345" s="290"/>
      <c r="K345" s="290"/>
      <c r="L345" s="290"/>
      <c r="M345" s="290"/>
      <c r="N345" s="273"/>
      <c r="O345" s="290"/>
      <c r="P345" s="290"/>
      <c r="Q345" s="290"/>
      <c r="R345" s="290"/>
      <c r="S345" s="290"/>
      <c r="T345" s="290"/>
      <c r="U345" s="261" t="s">
        <v>692</v>
      </c>
      <c r="V345" s="290"/>
      <c r="W345" s="333" t="s">
        <v>1127</v>
      </c>
      <c r="X345" s="333" t="s">
        <v>1127</v>
      </c>
      <c r="Y345" s="333" t="s">
        <v>1127</v>
      </c>
      <c r="Z345" s="333"/>
      <c r="AA345" s="333" t="s">
        <v>1127</v>
      </c>
      <c r="AB345" s="333" t="s">
        <v>1127</v>
      </c>
      <c r="AC345" s="333" t="s">
        <v>1127</v>
      </c>
      <c r="AD345" s="333" t="s">
        <v>1127</v>
      </c>
      <c r="AE345" s="333" t="s">
        <v>1127</v>
      </c>
      <c r="AF345" s="333" t="s">
        <v>1127</v>
      </c>
      <c r="AG345" s="275"/>
    </row>
    <row r="347" spans="1:33" x14ac:dyDescent="0.2">
      <c r="W347" s="325" t="s">
        <v>45</v>
      </c>
      <c r="X347" s="325" t="s">
        <v>45</v>
      </c>
      <c r="Y347" s="325" t="s">
        <v>45</v>
      </c>
      <c r="Z347" s="325" t="s">
        <v>45</v>
      </c>
      <c r="AA347" s="325" t="s">
        <v>45</v>
      </c>
      <c r="AB347" s="325" t="s">
        <v>45</v>
      </c>
      <c r="AC347" s="325" t="s">
        <v>45</v>
      </c>
      <c r="AD347" s="325" t="s">
        <v>45</v>
      </c>
      <c r="AE347" s="325" t="s">
        <v>45</v>
      </c>
      <c r="AF347" s="325" t="s">
        <v>45</v>
      </c>
      <c r="AG347" s="324"/>
    </row>
  </sheetData>
  <autoFilter ref="A1:AG345" xr:uid="{33131573-E2E8-4B4E-B11B-3F7269ABEF60}">
    <filterColumn colId="4">
      <filters>
        <filter val="FTE"/>
        <filter val="TG"/>
      </filters>
    </filterColumn>
    <filterColumn colId="11">
      <filters blank="1">
        <filter val="Agency"/>
        <filter val="Hired - CW"/>
        <filter val="Offer"/>
        <filter val="Open"/>
      </filters>
    </filterColumn>
    <sortState xmlns:xlrd2="http://schemas.microsoft.com/office/spreadsheetml/2017/richdata2" ref="A9:AG133">
      <sortCondition ref="I1:I345"/>
    </sortState>
  </autoFilter>
  <sortState xmlns:xlrd2="http://schemas.microsoft.com/office/spreadsheetml/2017/richdata2" ref="A2:AG345">
    <sortCondition ref="E2:E345"/>
    <sortCondition ref="L2:L345"/>
    <sortCondition ref="B2:B345"/>
    <sortCondition ref="C2:C345"/>
  </sortState>
  <conditionalFormatting sqref="W1:X1048576">
    <cfRule type="containsText" dxfId="21" priority="1" operator="containsText" text="Delayed">
      <formula>NOT(ISERROR(SEARCH("Delayed",W1)))</formula>
    </cfRule>
    <cfRule type="containsText" dxfId="20" priority="2" operator="containsText" text="Accelerated">
      <formula>NOT(ISERROR(SEARCH("Accelerated",W1)))</formula>
    </cfRule>
    <cfRule type="containsText" dxfId="19" priority="3" operator="containsText" text="Incremental">
      <formula>NOT(ISERROR(SEARCH("Incremental",W1)))</formula>
    </cfRule>
    <cfRule type="containsText" dxfId="18" priority="4" operator="containsText" text="Downgrade">
      <formula>NOT(ISERROR(SEARCH("Downgrade",W1)))</formula>
    </cfRule>
    <cfRule type="containsText" dxfId="17" priority="5" operator="containsText" text="Upgrade">
      <formula>NOT(ISERROR(SEARCH("Upgrade",W1)))</formula>
    </cfRule>
    <cfRule type="containsText" dxfId="16" priority="6" operator="containsText" text="In Line">
      <formula>NOT(ISERROR(SEARCH("In Line",W1)))</formula>
    </cfRule>
    <cfRule type="containsText" dxfId="15" priority="7" operator="containsText" text="N/A">
      <formula>NOT(ISERROR(SEARCH("N/A",W1)))</formula>
    </cfRule>
  </conditionalFormatting>
  <conditionalFormatting sqref="Y6:Z6 Y48:Z50 Y56:Z58 Y143:Z143">
    <cfRule type="containsText" dxfId="14" priority="93" operator="containsText" text="In line with budget">
      <formula>NOT(ISERROR(SEARCH("In line with budget",Y6)))</formula>
    </cfRule>
    <cfRule type="containsText" dxfId="13" priority="94" operator="containsText" text="N/A">
      <formula>NOT(ISERROR(SEARCH("N/A",Y6)))</formula>
    </cfRule>
    <cfRule type="containsText" dxfId="12" priority="95" operator="containsText" text="Downgrade">
      <formula>NOT(ISERROR(SEARCH("Downgrade",Y6)))</formula>
    </cfRule>
    <cfRule type="containsText" dxfId="11" priority="96" operator="containsText" text="Upgrade">
      <formula>NOT(ISERROR(SEARCH("Upgrade",Y6)))</formula>
    </cfRule>
  </conditionalFormatting>
  <conditionalFormatting sqref="Y145:Z150">
    <cfRule type="containsText" dxfId="10" priority="89" operator="containsText" text="In line with budget">
      <formula>NOT(ISERROR(SEARCH("In line with budget",Y145)))</formula>
    </cfRule>
    <cfRule type="containsText" dxfId="9" priority="90" operator="containsText" text="N/A">
      <formula>NOT(ISERROR(SEARCH("N/A",Y145)))</formula>
    </cfRule>
    <cfRule type="containsText" dxfId="8" priority="91" operator="containsText" text="Downgrade">
      <formula>NOT(ISERROR(SEARCH("Downgrade",Y145)))</formula>
    </cfRule>
    <cfRule type="containsText" dxfId="7" priority="92" operator="containsText" text="Upgrade">
      <formula>NOT(ISERROR(SEARCH("Upgrade",Y145)))</formula>
    </cfRule>
  </conditionalFormatting>
  <conditionalFormatting sqref="Y345:AF345">
    <cfRule type="containsText" dxfId="6" priority="10" operator="containsText" text="Incremental">
      <formula>NOT(ISERROR(SEARCH("Incremental",Y345)))</formula>
    </cfRule>
    <cfRule type="containsText" dxfId="5" priority="11" operator="containsText" text="Accel">
      <formula>NOT(ISERROR(SEARCH("Accel",Y345)))</formula>
    </cfRule>
    <cfRule type="containsText" dxfId="4" priority="12" operator="containsText" text="In line with budget">
      <formula>NOT(ISERROR(SEARCH("In line with budget",Y345)))</formula>
    </cfRule>
    <cfRule type="containsText" dxfId="3" priority="13" operator="containsText" text="N/A">
      <formula>NOT(ISERROR(SEARCH("N/A",Y345)))</formula>
    </cfRule>
    <cfRule type="containsText" dxfId="2" priority="14" operator="containsText" text="Downgrade">
      <formula>NOT(ISERROR(SEARCH("Downgrade",Y345)))</formula>
    </cfRule>
    <cfRule type="containsText" dxfId="1" priority="15" operator="containsText" text="Upgrade">
      <formula>NOT(ISERROR(SEARCH("Upgrade",Y345)))</formula>
    </cfRule>
  </conditionalFormatting>
  <pageMargins left="0" right="0" top="0.75" bottom="0.75" header="0.3" footer="0.3"/>
  <pageSetup scale="45" fitToHeight="0" orientation="landscape" horizontalDpi="4294967293"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818F-430A-A14F-98C5-C2F46A3B229F}">
  <sheetPr>
    <pageSetUpPr fitToPage="1"/>
  </sheetPr>
  <dimension ref="A1:V296"/>
  <sheetViews>
    <sheetView zoomScale="110" zoomScaleNormal="110" workbookViewId="0">
      <pane xSplit="4" ySplit="1" topLeftCell="E14" activePane="bottomRight" state="frozen"/>
      <selection pane="topRight" activeCell="E1" sqref="E1"/>
      <selection pane="bottomLeft" activeCell="A2" sqref="A2"/>
      <selection pane="bottomRight" activeCell="C27" sqref="C27"/>
    </sheetView>
  </sheetViews>
  <sheetFormatPr baseColWidth="10" defaultColWidth="12.33203125" defaultRowHeight="15" x14ac:dyDescent="0.2"/>
  <cols>
    <col min="1" max="1" width="7.33203125" style="4" customWidth="1"/>
    <col min="2" max="2" width="19.1640625" style="4" customWidth="1"/>
    <col min="3" max="3" width="21.83203125" style="4" customWidth="1"/>
    <col min="4" max="4" width="28.1640625" style="4" bestFit="1" customWidth="1"/>
    <col min="5" max="5" width="10.5" style="4" customWidth="1"/>
    <col min="6" max="6" width="18.33203125" style="4" customWidth="1"/>
    <col min="7" max="7" width="39.6640625" style="5" bestFit="1" customWidth="1"/>
    <col min="8" max="8" width="9.5" style="4" customWidth="1"/>
    <col min="9" max="10" width="13.6640625" style="4" customWidth="1"/>
    <col min="11" max="11" width="10" style="4" customWidth="1"/>
    <col min="12" max="13" width="12" style="4" customWidth="1"/>
    <col min="14" max="14" width="20.1640625" style="5" bestFit="1" customWidth="1"/>
    <col min="15" max="15" width="10" style="5" customWidth="1"/>
    <col min="16" max="16" width="11.1640625" style="4" customWidth="1"/>
    <col min="17" max="18" width="40.83203125" style="5" customWidth="1"/>
    <col min="19" max="19" width="58" style="5" bestFit="1" customWidth="1"/>
    <col min="20" max="20" width="21" style="5" customWidth="1"/>
    <col min="21" max="21" width="19.33203125" style="3" customWidth="1"/>
    <col min="22" max="16384" width="12.33203125" style="3"/>
  </cols>
  <sheetData>
    <row r="1" spans="1:22" ht="32" x14ac:dyDescent="0.2">
      <c r="A1" s="1" t="s">
        <v>0</v>
      </c>
      <c r="B1" s="1" t="s">
        <v>1</v>
      </c>
      <c r="C1" s="1" t="s">
        <v>2</v>
      </c>
      <c r="D1" s="1" t="s">
        <v>3</v>
      </c>
      <c r="E1" s="2" t="s">
        <v>4</v>
      </c>
      <c r="F1" s="2" t="s">
        <v>5</v>
      </c>
      <c r="G1" s="2" t="s">
        <v>6</v>
      </c>
      <c r="H1" s="2" t="s">
        <v>7</v>
      </c>
      <c r="I1" s="2" t="s">
        <v>2117</v>
      </c>
      <c r="J1" s="2" t="s">
        <v>2119</v>
      </c>
      <c r="K1" s="2" t="s">
        <v>8</v>
      </c>
      <c r="L1" s="1" t="s">
        <v>9</v>
      </c>
      <c r="M1" s="1" t="s">
        <v>10</v>
      </c>
      <c r="N1" s="235" t="s">
        <v>11</v>
      </c>
      <c r="O1" s="1" t="s">
        <v>12</v>
      </c>
      <c r="P1" s="2" t="s">
        <v>13</v>
      </c>
      <c r="Q1" s="2" t="s">
        <v>14</v>
      </c>
      <c r="R1" s="2" t="s">
        <v>15</v>
      </c>
      <c r="S1" s="2" t="s">
        <v>16</v>
      </c>
      <c r="T1" s="2" t="s">
        <v>17</v>
      </c>
      <c r="U1" s="2" t="s">
        <v>18</v>
      </c>
      <c r="V1" s="235" t="s">
        <v>19</v>
      </c>
    </row>
    <row r="2" spans="1:22" ht="85" x14ac:dyDescent="0.2">
      <c r="A2" s="8">
        <v>5346</v>
      </c>
      <c r="B2" s="9" t="s">
        <v>1128</v>
      </c>
      <c r="C2" s="9" t="s">
        <v>733</v>
      </c>
      <c r="D2" s="54" t="s">
        <v>547</v>
      </c>
      <c r="E2" s="10" t="s">
        <v>34</v>
      </c>
      <c r="F2" s="8" t="s">
        <v>117</v>
      </c>
      <c r="G2" s="12" t="s">
        <v>1129</v>
      </c>
      <c r="H2" s="11" t="s">
        <v>50</v>
      </c>
      <c r="I2" s="10" t="s">
        <v>1130</v>
      </c>
      <c r="J2" s="10"/>
      <c r="K2" s="13" t="s">
        <v>1131</v>
      </c>
      <c r="L2" s="10"/>
      <c r="M2" s="10"/>
      <c r="N2" s="54"/>
      <c r="O2" s="54"/>
      <c r="P2" s="10" t="s">
        <v>64</v>
      </c>
      <c r="Q2" s="56" t="s">
        <v>1132</v>
      </c>
      <c r="R2" s="9" t="s">
        <v>1133</v>
      </c>
      <c r="S2" s="54" t="s">
        <v>1134</v>
      </c>
      <c r="T2" s="9" t="s">
        <v>833</v>
      </c>
      <c r="U2" s="54"/>
      <c r="V2" s="104"/>
    </row>
    <row r="3" spans="1:22" ht="82.5" customHeight="1" x14ac:dyDescent="0.2">
      <c r="A3" s="8">
        <v>5347</v>
      </c>
      <c r="B3" s="9" t="s">
        <v>1128</v>
      </c>
      <c r="C3" s="9" t="s">
        <v>733</v>
      </c>
      <c r="D3" s="54" t="s">
        <v>547</v>
      </c>
      <c r="E3" s="10" t="s">
        <v>34</v>
      </c>
      <c r="F3" s="11" t="s">
        <v>197</v>
      </c>
      <c r="G3" s="12" t="s">
        <v>1135</v>
      </c>
      <c r="H3" s="11" t="s">
        <v>37</v>
      </c>
      <c r="I3" s="10" t="s">
        <v>1130</v>
      </c>
      <c r="J3" s="10"/>
      <c r="K3" s="13" t="s">
        <v>1136</v>
      </c>
      <c r="L3" s="10"/>
      <c r="M3" s="10"/>
      <c r="N3" s="54"/>
      <c r="O3" s="54"/>
      <c r="P3" s="10" t="s">
        <v>64</v>
      </c>
      <c r="Q3" s="57" t="s">
        <v>1137</v>
      </c>
      <c r="R3" s="9" t="s">
        <v>1133</v>
      </c>
      <c r="S3" s="54" t="s">
        <v>1134</v>
      </c>
      <c r="T3" s="9" t="s">
        <v>833</v>
      </c>
      <c r="U3" s="54"/>
      <c r="V3" s="104"/>
    </row>
    <row r="4" spans="1:22" ht="64" x14ac:dyDescent="0.2">
      <c r="A4" s="8">
        <v>5345</v>
      </c>
      <c r="B4" s="9" t="s">
        <v>1128</v>
      </c>
      <c r="C4" s="9" t="s">
        <v>733</v>
      </c>
      <c r="D4" s="54" t="s">
        <v>547</v>
      </c>
      <c r="E4" s="10" t="s">
        <v>34</v>
      </c>
      <c r="F4" s="8" t="s">
        <v>1138</v>
      </c>
      <c r="G4" s="12" t="s">
        <v>1139</v>
      </c>
      <c r="H4" s="11" t="s">
        <v>37</v>
      </c>
      <c r="I4" s="10" t="s">
        <v>1130</v>
      </c>
      <c r="J4" s="10"/>
      <c r="K4" s="13" t="s">
        <v>1140</v>
      </c>
      <c r="L4" s="10"/>
      <c r="M4" s="10"/>
      <c r="N4" s="54" t="s">
        <v>1141</v>
      </c>
      <c r="O4" s="54"/>
      <c r="P4" s="10" t="s">
        <v>64</v>
      </c>
      <c r="Q4" s="9" t="s">
        <v>1142</v>
      </c>
      <c r="R4" s="9" t="s">
        <v>1133</v>
      </c>
      <c r="S4" s="54" t="s">
        <v>1134</v>
      </c>
      <c r="T4" s="9" t="s">
        <v>1143</v>
      </c>
      <c r="U4" s="54"/>
      <c r="V4" s="104"/>
    </row>
    <row r="5" spans="1:22" ht="86.25" customHeight="1" x14ac:dyDescent="0.2">
      <c r="A5" s="8">
        <v>5348</v>
      </c>
      <c r="B5" s="9" t="s">
        <v>1128</v>
      </c>
      <c r="C5" s="9" t="s">
        <v>733</v>
      </c>
      <c r="D5" s="54" t="s">
        <v>547</v>
      </c>
      <c r="E5" s="10" t="s">
        <v>34</v>
      </c>
      <c r="F5" s="11" t="s">
        <v>81</v>
      </c>
      <c r="G5" s="12" t="s">
        <v>1144</v>
      </c>
      <c r="H5" s="11" t="s">
        <v>50</v>
      </c>
      <c r="I5" s="10" t="s">
        <v>1130</v>
      </c>
      <c r="J5" s="10"/>
      <c r="K5" s="13" t="s">
        <v>1140</v>
      </c>
      <c r="L5" s="10"/>
      <c r="M5" s="10"/>
      <c r="N5" s="54"/>
      <c r="O5" s="54"/>
      <c r="P5" s="10" t="s">
        <v>64</v>
      </c>
      <c r="Q5" s="58" t="s">
        <v>1132</v>
      </c>
      <c r="R5" s="9" t="s">
        <v>1133</v>
      </c>
      <c r="S5" s="54" t="s">
        <v>1134</v>
      </c>
      <c r="T5" s="9" t="s">
        <v>833</v>
      </c>
      <c r="U5" s="54"/>
      <c r="V5" s="104"/>
    </row>
    <row r="6" spans="1:22" ht="64" x14ac:dyDescent="0.2">
      <c r="A6" s="8">
        <v>1006</v>
      </c>
      <c r="B6" s="9" t="s">
        <v>1128</v>
      </c>
      <c r="C6" s="9" t="s">
        <v>32</v>
      </c>
      <c r="D6" s="54" t="s">
        <v>47</v>
      </c>
      <c r="E6" s="10" t="s">
        <v>534</v>
      </c>
      <c r="F6" s="10" t="s">
        <v>320</v>
      </c>
      <c r="G6" s="12" t="s">
        <v>1145</v>
      </c>
      <c r="H6" s="11" t="s">
        <v>37</v>
      </c>
      <c r="I6" s="10"/>
      <c r="J6" s="10"/>
      <c r="K6" s="13" t="s">
        <v>71</v>
      </c>
      <c r="L6" s="8" t="s">
        <v>1146</v>
      </c>
      <c r="M6" s="8"/>
      <c r="N6" s="54" t="s">
        <v>1147</v>
      </c>
      <c r="O6" s="54"/>
      <c r="P6" s="10" t="s">
        <v>64</v>
      </c>
      <c r="Q6" s="9"/>
      <c r="R6" s="9"/>
      <c r="S6" s="54" t="s">
        <v>1148</v>
      </c>
      <c r="T6" s="54"/>
      <c r="U6" s="54"/>
      <c r="V6" s="104"/>
    </row>
    <row r="7" spans="1:22" ht="80" x14ac:dyDescent="0.2">
      <c r="A7" s="8">
        <v>1314</v>
      </c>
      <c r="B7" s="9" t="s">
        <v>1128</v>
      </c>
      <c r="C7" s="9" t="s">
        <v>32</v>
      </c>
      <c r="D7" s="54" t="s">
        <v>47</v>
      </c>
      <c r="E7" s="10" t="s">
        <v>534</v>
      </c>
      <c r="F7" s="10" t="s">
        <v>320</v>
      </c>
      <c r="G7" s="12" t="s">
        <v>1149</v>
      </c>
      <c r="H7" s="11" t="s">
        <v>37</v>
      </c>
      <c r="I7" s="10"/>
      <c r="J7" s="10"/>
      <c r="K7" s="13" t="s">
        <v>38</v>
      </c>
      <c r="L7" s="8" t="s">
        <v>1150</v>
      </c>
      <c r="M7" s="8"/>
      <c r="N7" s="54" t="s">
        <v>1147</v>
      </c>
      <c r="O7" s="54"/>
      <c r="P7" s="10" t="s">
        <v>64</v>
      </c>
      <c r="Q7" s="9" t="s">
        <v>1151</v>
      </c>
      <c r="R7" s="9"/>
      <c r="S7" s="54" t="s">
        <v>1152</v>
      </c>
      <c r="T7" s="54"/>
      <c r="U7" s="54"/>
      <c r="V7" s="104"/>
    </row>
    <row r="8" spans="1:22" ht="128" x14ac:dyDescent="0.2">
      <c r="A8" s="8">
        <v>5002</v>
      </c>
      <c r="B8" s="9" t="s">
        <v>1128</v>
      </c>
      <c r="C8" s="9" t="s">
        <v>32</v>
      </c>
      <c r="D8" s="54" t="s">
        <v>47</v>
      </c>
      <c r="E8" s="10" t="s">
        <v>34</v>
      </c>
      <c r="F8" s="10" t="s">
        <v>1153</v>
      </c>
      <c r="G8" s="12" t="s">
        <v>1154</v>
      </c>
      <c r="H8" s="11" t="s">
        <v>359</v>
      </c>
      <c r="I8" s="10"/>
      <c r="J8" s="10"/>
      <c r="K8" s="13" t="s">
        <v>1131</v>
      </c>
      <c r="L8" s="8" t="s">
        <v>1155</v>
      </c>
      <c r="M8" s="8"/>
      <c r="N8" s="54" t="s">
        <v>1156</v>
      </c>
      <c r="O8" s="54"/>
      <c r="P8" s="10"/>
      <c r="Q8" s="9" t="s">
        <v>1157</v>
      </c>
      <c r="R8" s="9" t="s">
        <v>1158</v>
      </c>
      <c r="S8" s="54" t="s">
        <v>1148</v>
      </c>
      <c r="T8" s="59" t="s">
        <v>1159</v>
      </c>
      <c r="U8" s="54"/>
      <c r="V8" s="104"/>
    </row>
    <row r="9" spans="1:22" s="62" customFormat="1" ht="64" x14ac:dyDescent="0.2">
      <c r="A9" s="63">
        <v>5220</v>
      </c>
      <c r="B9" s="61" t="s">
        <v>1160</v>
      </c>
      <c r="C9" s="64" t="s">
        <v>1161</v>
      </c>
      <c r="D9" s="61" t="s">
        <v>1162</v>
      </c>
      <c r="E9" s="65" t="s">
        <v>34</v>
      </c>
      <c r="F9" s="65" t="s">
        <v>1163</v>
      </c>
      <c r="G9" s="61" t="s">
        <v>1164</v>
      </c>
      <c r="H9" s="65" t="s">
        <v>1165</v>
      </c>
      <c r="I9" s="61" t="s">
        <v>692</v>
      </c>
      <c r="J9" s="61"/>
      <c r="K9" s="65" t="s">
        <v>1136</v>
      </c>
      <c r="L9" s="66"/>
      <c r="M9" s="65"/>
      <c r="N9" s="61" t="s">
        <v>692</v>
      </c>
      <c r="O9" s="61"/>
      <c r="P9" s="65" t="s">
        <v>64</v>
      </c>
      <c r="Q9" s="61" t="s">
        <v>1166</v>
      </c>
      <c r="R9" s="61" t="s">
        <v>1167</v>
      </c>
      <c r="S9" s="61" t="s">
        <v>1167</v>
      </c>
      <c r="T9" s="61" t="s">
        <v>692</v>
      </c>
      <c r="U9" s="54"/>
      <c r="V9" s="376"/>
    </row>
    <row r="10" spans="1:22" s="62" customFormat="1" ht="48" x14ac:dyDescent="0.2">
      <c r="A10" s="63">
        <v>5221</v>
      </c>
      <c r="B10" s="61" t="s">
        <v>1160</v>
      </c>
      <c r="C10" s="64" t="s">
        <v>1161</v>
      </c>
      <c r="D10" s="61" t="s">
        <v>1168</v>
      </c>
      <c r="E10" s="65" t="s">
        <v>34</v>
      </c>
      <c r="F10" s="65" t="s">
        <v>98</v>
      </c>
      <c r="G10" s="61" t="s">
        <v>1164</v>
      </c>
      <c r="H10" s="65" t="s">
        <v>1165</v>
      </c>
      <c r="I10" s="61" t="s">
        <v>692</v>
      </c>
      <c r="J10" s="61"/>
      <c r="K10" s="65" t="s">
        <v>1136</v>
      </c>
      <c r="L10" s="66"/>
      <c r="M10" s="65"/>
      <c r="N10" s="61" t="s">
        <v>692</v>
      </c>
      <c r="O10" s="61"/>
      <c r="P10" s="65" t="s">
        <v>64</v>
      </c>
      <c r="Q10" s="61" t="s">
        <v>1169</v>
      </c>
      <c r="R10" s="61" t="s">
        <v>1167</v>
      </c>
      <c r="S10" s="61" t="s">
        <v>1167</v>
      </c>
      <c r="T10" s="61" t="s">
        <v>692</v>
      </c>
      <c r="U10" s="54"/>
      <c r="V10" s="376"/>
    </row>
    <row r="11" spans="1:22" s="62" customFormat="1" ht="64" x14ac:dyDescent="0.2">
      <c r="A11" s="63">
        <v>5222</v>
      </c>
      <c r="B11" s="61" t="s">
        <v>1160</v>
      </c>
      <c r="C11" s="64" t="s">
        <v>1161</v>
      </c>
      <c r="D11" s="61" t="s">
        <v>1170</v>
      </c>
      <c r="E11" s="65" t="s">
        <v>34</v>
      </c>
      <c r="F11" s="60" t="s">
        <v>98</v>
      </c>
      <c r="G11" s="61" t="s">
        <v>1171</v>
      </c>
      <c r="H11" s="65" t="s">
        <v>1165</v>
      </c>
      <c r="I11" s="61" t="s">
        <v>692</v>
      </c>
      <c r="J11" s="61"/>
      <c r="K11" s="65" t="s">
        <v>1136</v>
      </c>
      <c r="L11" s="66"/>
      <c r="M11" s="65"/>
      <c r="N11" s="61" t="s">
        <v>692</v>
      </c>
      <c r="O11" s="61"/>
      <c r="P11" s="65" t="s">
        <v>64</v>
      </c>
      <c r="Q11" s="61" t="s">
        <v>1172</v>
      </c>
      <c r="R11" s="61" t="s">
        <v>1173</v>
      </c>
      <c r="S11" s="61" t="s">
        <v>1173</v>
      </c>
      <c r="T11" s="61" t="s">
        <v>692</v>
      </c>
      <c r="U11" s="54"/>
      <c r="V11" s="376"/>
    </row>
    <row r="12" spans="1:22" s="62" customFormat="1" ht="32" x14ac:dyDescent="0.2">
      <c r="A12" s="63">
        <v>5223</v>
      </c>
      <c r="B12" s="67" t="s">
        <v>1160</v>
      </c>
      <c r="C12" s="67" t="s">
        <v>1161</v>
      </c>
      <c r="D12" s="67" t="s">
        <v>1170</v>
      </c>
      <c r="E12" s="60" t="s">
        <v>34</v>
      </c>
      <c r="F12" s="11" t="s">
        <v>138</v>
      </c>
      <c r="G12" s="67" t="s">
        <v>1174</v>
      </c>
      <c r="H12" s="60" t="s">
        <v>1165</v>
      </c>
      <c r="I12" s="67" t="s">
        <v>692</v>
      </c>
      <c r="J12" s="67"/>
      <c r="K12" s="60" t="s">
        <v>1136</v>
      </c>
      <c r="L12" s="60"/>
      <c r="M12" s="60"/>
      <c r="N12" s="67" t="s">
        <v>692</v>
      </c>
      <c r="O12" s="67"/>
      <c r="P12" s="60" t="s">
        <v>64</v>
      </c>
      <c r="Q12" s="67" t="s">
        <v>1175</v>
      </c>
      <c r="R12" s="67" t="s">
        <v>1175</v>
      </c>
      <c r="S12" s="67" t="s">
        <v>1176</v>
      </c>
      <c r="T12" s="67" t="s">
        <v>692</v>
      </c>
      <c r="U12" s="54"/>
      <c r="V12" s="376"/>
    </row>
    <row r="13" spans="1:22" customFormat="1" ht="16" x14ac:dyDescent="0.2">
      <c r="A13" s="210">
        <v>5294</v>
      </c>
      <c r="B13" s="68" t="s">
        <v>1018</v>
      </c>
      <c r="C13" s="9" t="s">
        <v>1034</v>
      </c>
      <c r="D13" s="9" t="s">
        <v>1177</v>
      </c>
      <c r="E13" s="10" t="s">
        <v>34</v>
      </c>
      <c r="F13" s="211" t="s">
        <v>98</v>
      </c>
      <c r="G13" s="12" t="s">
        <v>1110</v>
      </c>
      <c r="H13" s="10" t="s">
        <v>50</v>
      </c>
      <c r="I13" s="10" t="s">
        <v>246</v>
      </c>
      <c r="J13" s="10"/>
      <c r="K13" s="13" t="s">
        <v>1131</v>
      </c>
      <c r="L13" s="210" t="s">
        <v>1022</v>
      </c>
      <c r="M13" s="210"/>
      <c r="N13" s="9" t="s">
        <v>1022</v>
      </c>
      <c r="O13" s="9"/>
      <c r="P13" s="10" t="s">
        <v>128</v>
      </c>
      <c r="Q13" s="9" t="s">
        <v>1111</v>
      </c>
      <c r="R13" s="9" t="s">
        <v>1022</v>
      </c>
      <c r="S13" s="9" t="s">
        <v>1112</v>
      </c>
      <c r="T13" s="9" t="s">
        <v>503</v>
      </c>
      <c r="U13" s="54"/>
      <c r="V13" s="377"/>
    </row>
    <row r="14" spans="1:22" customFormat="1" ht="16" x14ac:dyDescent="0.2">
      <c r="A14" s="210">
        <v>5295</v>
      </c>
      <c r="B14" s="68" t="s">
        <v>1018</v>
      </c>
      <c r="C14" s="9" t="s">
        <v>1034</v>
      </c>
      <c r="D14" s="9" t="s">
        <v>1177</v>
      </c>
      <c r="E14" s="10" t="s">
        <v>34</v>
      </c>
      <c r="F14" s="211" t="s">
        <v>138</v>
      </c>
      <c r="G14" s="12" t="s">
        <v>1110</v>
      </c>
      <c r="H14" s="10" t="s">
        <v>50</v>
      </c>
      <c r="I14" s="10" t="s">
        <v>246</v>
      </c>
      <c r="J14" s="10"/>
      <c r="K14" s="13" t="s">
        <v>1131</v>
      </c>
      <c r="L14" s="210" t="s">
        <v>1022</v>
      </c>
      <c r="M14" s="210"/>
      <c r="N14" s="9" t="s">
        <v>1022</v>
      </c>
      <c r="O14" s="9"/>
      <c r="P14" s="10" t="s">
        <v>1178</v>
      </c>
      <c r="Q14" s="9" t="s">
        <v>1179</v>
      </c>
      <c r="R14" s="9" t="s">
        <v>1022</v>
      </c>
      <c r="S14" s="9" t="s">
        <v>1180</v>
      </c>
      <c r="T14" s="9" t="s">
        <v>503</v>
      </c>
      <c r="U14" s="54"/>
      <c r="V14" s="377"/>
    </row>
    <row r="15" spans="1:22" customFormat="1" ht="16" x14ac:dyDescent="0.2">
      <c r="A15" s="210">
        <v>5296</v>
      </c>
      <c r="B15" s="68" t="s">
        <v>1018</v>
      </c>
      <c r="C15" s="9" t="s">
        <v>1034</v>
      </c>
      <c r="D15" s="9" t="s">
        <v>1177</v>
      </c>
      <c r="E15" s="10" t="s">
        <v>34</v>
      </c>
      <c r="F15" s="211" t="s">
        <v>138</v>
      </c>
      <c r="G15" s="12" t="s">
        <v>1110</v>
      </c>
      <c r="H15" s="10" t="s">
        <v>37</v>
      </c>
      <c r="I15" s="10" t="s">
        <v>246</v>
      </c>
      <c r="J15" s="10"/>
      <c r="K15" s="13" t="s">
        <v>1131</v>
      </c>
      <c r="L15" s="210" t="s">
        <v>1022</v>
      </c>
      <c r="M15" s="210"/>
      <c r="N15" s="9" t="s">
        <v>1022</v>
      </c>
      <c r="O15" s="9"/>
      <c r="P15" s="10" t="s">
        <v>1178</v>
      </c>
      <c r="Q15" s="9" t="s">
        <v>1179</v>
      </c>
      <c r="R15" s="9" t="s">
        <v>1022</v>
      </c>
      <c r="S15" s="9" t="s">
        <v>1180</v>
      </c>
      <c r="T15" s="9" t="s">
        <v>503</v>
      </c>
      <c r="U15" s="54"/>
      <c r="V15" s="377"/>
    </row>
    <row r="16" spans="1:22" customFormat="1" ht="32" x14ac:dyDescent="0.2">
      <c r="A16" s="210">
        <v>5300</v>
      </c>
      <c r="B16" s="68" t="s">
        <v>1018</v>
      </c>
      <c r="C16" s="9" t="s">
        <v>1034</v>
      </c>
      <c r="D16" s="12" t="s">
        <v>1064</v>
      </c>
      <c r="E16" s="10" t="s">
        <v>34</v>
      </c>
      <c r="F16" s="211" t="s">
        <v>98</v>
      </c>
      <c r="G16" s="12" t="s">
        <v>1116</v>
      </c>
      <c r="H16" s="10" t="s">
        <v>37</v>
      </c>
      <c r="I16" s="10" t="s">
        <v>246</v>
      </c>
      <c r="J16" s="10"/>
      <c r="K16" s="13" t="s">
        <v>1131</v>
      </c>
      <c r="L16" s="210" t="s">
        <v>1022</v>
      </c>
      <c r="M16" s="210"/>
      <c r="N16" s="9" t="s">
        <v>1022</v>
      </c>
      <c r="O16" s="9"/>
      <c r="P16" s="10" t="s">
        <v>128</v>
      </c>
      <c r="Q16" s="9" t="s">
        <v>1045</v>
      </c>
      <c r="R16" s="9" t="s">
        <v>1181</v>
      </c>
      <c r="S16" s="9" t="s">
        <v>1182</v>
      </c>
      <c r="T16" s="9" t="s">
        <v>503</v>
      </c>
      <c r="U16" s="54"/>
      <c r="V16" s="377"/>
    </row>
    <row r="17" spans="1:22" customFormat="1" ht="16" x14ac:dyDescent="0.2">
      <c r="A17" s="210">
        <v>5302</v>
      </c>
      <c r="B17" s="68" t="s">
        <v>1018</v>
      </c>
      <c r="C17" s="9" t="s">
        <v>1034</v>
      </c>
      <c r="D17" s="12" t="s">
        <v>1064</v>
      </c>
      <c r="E17" s="10" t="s">
        <v>34</v>
      </c>
      <c r="F17" s="211" t="s">
        <v>98</v>
      </c>
      <c r="G17" s="12" t="s">
        <v>1183</v>
      </c>
      <c r="H17" s="10" t="s">
        <v>50</v>
      </c>
      <c r="I17" s="10" t="s">
        <v>246</v>
      </c>
      <c r="J17" s="10"/>
      <c r="K17" s="13" t="s">
        <v>1131</v>
      </c>
      <c r="L17" s="210" t="s">
        <v>1022</v>
      </c>
      <c r="M17" s="210"/>
      <c r="N17" s="9" t="s">
        <v>1022</v>
      </c>
      <c r="O17" s="9"/>
      <c r="P17" s="10" t="s">
        <v>1178</v>
      </c>
      <c r="Q17" s="9" t="s">
        <v>1045</v>
      </c>
      <c r="R17" s="9" t="s">
        <v>1184</v>
      </c>
      <c r="S17" s="9" t="s">
        <v>1185</v>
      </c>
      <c r="T17" s="9" t="s">
        <v>142</v>
      </c>
      <c r="U17" s="54"/>
      <c r="V17" s="377"/>
    </row>
    <row r="18" spans="1:22" customFormat="1" ht="16" x14ac:dyDescent="0.2">
      <c r="A18" s="210">
        <v>5303</v>
      </c>
      <c r="B18" s="68" t="s">
        <v>1018</v>
      </c>
      <c r="C18" s="9" t="s">
        <v>1034</v>
      </c>
      <c r="D18" s="9" t="s">
        <v>1064</v>
      </c>
      <c r="E18" s="10" t="s">
        <v>34</v>
      </c>
      <c r="F18" s="211" t="s">
        <v>98</v>
      </c>
      <c r="G18" s="212" t="s">
        <v>1183</v>
      </c>
      <c r="H18" s="10" t="s">
        <v>50</v>
      </c>
      <c r="I18" s="10" t="s">
        <v>246</v>
      </c>
      <c r="J18" s="10"/>
      <c r="K18" s="13" t="s">
        <v>1131</v>
      </c>
      <c r="L18" s="210" t="s">
        <v>1022</v>
      </c>
      <c r="M18" s="210"/>
      <c r="N18" s="9" t="s">
        <v>1022</v>
      </c>
      <c r="O18" s="9"/>
      <c r="P18" s="10" t="s">
        <v>1178</v>
      </c>
      <c r="Q18" s="9" t="s">
        <v>1045</v>
      </c>
      <c r="R18" s="9" t="s">
        <v>1184</v>
      </c>
      <c r="S18" s="9" t="s">
        <v>1186</v>
      </c>
      <c r="T18" s="9" t="s">
        <v>503</v>
      </c>
      <c r="U18" s="54"/>
      <c r="V18" s="377"/>
    </row>
    <row r="19" spans="1:22" customFormat="1" ht="16" x14ac:dyDescent="0.2">
      <c r="A19" s="210">
        <v>5307</v>
      </c>
      <c r="B19" s="68" t="s">
        <v>1018</v>
      </c>
      <c r="C19" s="9" t="s">
        <v>1034</v>
      </c>
      <c r="D19" s="9" t="s">
        <v>1054</v>
      </c>
      <c r="E19" s="10" t="s">
        <v>34</v>
      </c>
      <c r="F19" s="211" t="s">
        <v>98</v>
      </c>
      <c r="G19" s="212" t="s">
        <v>1078</v>
      </c>
      <c r="H19" s="10" t="s">
        <v>50</v>
      </c>
      <c r="I19" s="10" t="s">
        <v>246</v>
      </c>
      <c r="J19" s="10"/>
      <c r="K19" s="13" t="s">
        <v>1131</v>
      </c>
      <c r="L19" s="210" t="s">
        <v>1022</v>
      </c>
      <c r="M19" s="210"/>
      <c r="N19" s="9" t="s">
        <v>1022</v>
      </c>
      <c r="O19" s="9"/>
      <c r="P19" s="10" t="s">
        <v>1178</v>
      </c>
      <c r="Q19" s="9" t="s">
        <v>1187</v>
      </c>
      <c r="R19" s="9" t="s">
        <v>1188</v>
      </c>
      <c r="S19" s="9" t="s">
        <v>1188</v>
      </c>
      <c r="T19" s="9" t="s">
        <v>503</v>
      </c>
      <c r="U19" s="54"/>
      <c r="V19" s="377"/>
    </row>
    <row r="20" spans="1:22" customFormat="1" ht="16" x14ac:dyDescent="0.2">
      <c r="A20" s="210">
        <v>5310</v>
      </c>
      <c r="B20" s="68" t="s">
        <v>1018</v>
      </c>
      <c r="C20" s="9" t="s">
        <v>1034</v>
      </c>
      <c r="D20" s="9" t="s">
        <v>1054</v>
      </c>
      <c r="E20" s="10" t="s">
        <v>34</v>
      </c>
      <c r="F20" s="211" t="s">
        <v>138</v>
      </c>
      <c r="G20" s="212" t="s">
        <v>1121</v>
      </c>
      <c r="H20" s="10" t="s">
        <v>50</v>
      </c>
      <c r="I20" s="10" t="s">
        <v>246</v>
      </c>
      <c r="J20" s="10"/>
      <c r="K20" s="13" t="s">
        <v>1131</v>
      </c>
      <c r="L20" s="210" t="s">
        <v>1022</v>
      </c>
      <c r="M20" s="210"/>
      <c r="N20" s="9" t="s">
        <v>1022</v>
      </c>
      <c r="O20" s="9"/>
      <c r="P20" s="10" t="s">
        <v>1189</v>
      </c>
      <c r="Q20" s="9" t="s">
        <v>1050</v>
      </c>
      <c r="R20" s="9" t="s">
        <v>1022</v>
      </c>
      <c r="S20" s="9" t="s">
        <v>1022</v>
      </c>
      <c r="T20" s="9" t="s">
        <v>503</v>
      </c>
      <c r="U20" s="54"/>
      <c r="V20" s="377"/>
    </row>
    <row r="21" spans="1:22" customFormat="1" ht="48" x14ac:dyDescent="0.2">
      <c r="A21" s="210">
        <v>5314</v>
      </c>
      <c r="B21" s="68" t="s">
        <v>1018</v>
      </c>
      <c r="C21" s="9" t="s">
        <v>1019</v>
      </c>
      <c r="D21" s="9" t="s">
        <v>1020</v>
      </c>
      <c r="E21" s="10" t="s">
        <v>34</v>
      </c>
      <c r="F21" s="211" t="s">
        <v>138</v>
      </c>
      <c r="G21" s="212" t="s">
        <v>1190</v>
      </c>
      <c r="H21" s="10" t="s">
        <v>37</v>
      </c>
      <c r="I21" s="10" t="s">
        <v>246</v>
      </c>
      <c r="J21" s="10"/>
      <c r="K21" s="13" t="s">
        <v>1131</v>
      </c>
      <c r="L21" s="210" t="s">
        <v>1022</v>
      </c>
      <c r="M21" s="210"/>
      <c r="N21" s="9" t="s">
        <v>1022</v>
      </c>
      <c r="O21" s="9"/>
      <c r="P21" s="10" t="s">
        <v>109</v>
      </c>
      <c r="Q21" s="9" t="s">
        <v>1191</v>
      </c>
      <c r="R21" s="9" t="s">
        <v>1024</v>
      </c>
      <c r="S21" s="9" t="s">
        <v>1192</v>
      </c>
      <c r="T21" s="9" t="s">
        <v>503</v>
      </c>
      <c r="U21" s="54"/>
      <c r="V21" s="377"/>
    </row>
    <row r="22" spans="1:22" customFormat="1" ht="32" x14ac:dyDescent="0.2">
      <c r="A22" s="210">
        <v>1351</v>
      </c>
      <c r="B22" s="68" t="s">
        <v>1018</v>
      </c>
      <c r="C22" s="9" t="s">
        <v>1019</v>
      </c>
      <c r="D22" s="9" t="s">
        <v>1020</v>
      </c>
      <c r="E22" s="10" t="s">
        <v>34</v>
      </c>
      <c r="F22" s="211" t="s">
        <v>138</v>
      </c>
      <c r="G22" s="212" t="s">
        <v>1190</v>
      </c>
      <c r="H22" s="10" t="s">
        <v>50</v>
      </c>
      <c r="I22" s="10" t="s">
        <v>246</v>
      </c>
      <c r="J22" s="10"/>
      <c r="K22" s="13" t="s">
        <v>1131</v>
      </c>
      <c r="L22" s="210" t="s">
        <v>1022</v>
      </c>
      <c r="M22" s="210"/>
      <c r="N22" s="9" t="s">
        <v>1022</v>
      </c>
      <c r="O22" s="9"/>
      <c r="P22" s="10" t="s">
        <v>109</v>
      </c>
      <c r="Q22" s="9" t="s">
        <v>1193</v>
      </c>
      <c r="R22" s="9" t="s">
        <v>1194</v>
      </c>
      <c r="S22" s="9" t="s">
        <v>1195</v>
      </c>
      <c r="T22" s="9" t="s">
        <v>503</v>
      </c>
      <c r="U22" s="54"/>
      <c r="V22" s="377"/>
    </row>
    <row r="23" spans="1:22" customFormat="1" ht="48" x14ac:dyDescent="0.2">
      <c r="A23" s="210">
        <v>1208</v>
      </c>
      <c r="B23" s="68" t="s">
        <v>1018</v>
      </c>
      <c r="C23" s="9" t="s">
        <v>1034</v>
      </c>
      <c r="D23" s="9" t="s">
        <v>1030</v>
      </c>
      <c r="E23" s="10" t="s">
        <v>34</v>
      </c>
      <c r="F23" s="211" t="s">
        <v>117</v>
      </c>
      <c r="G23" s="212" t="s">
        <v>1200</v>
      </c>
      <c r="H23" s="10" t="s">
        <v>37</v>
      </c>
      <c r="I23" s="10" t="s">
        <v>1197</v>
      </c>
      <c r="J23" s="10"/>
      <c r="K23" s="13" t="s">
        <v>1131</v>
      </c>
      <c r="L23" s="210" t="s">
        <v>1022</v>
      </c>
      <c r="M23" s="210"/>
      <c r="N23" s="9" t="s">
        <v>1022</v>
      </c>
      <c r="O23" s="9"/>
      <c r="P23" s="10" t="s">
        <v>109</v>
      </c>
      <c r="Q23" s="9" t="s">
        <v>1201</v>
      </c>
      <c r="R23" s="9" t="s">
        <v>1202</v>
      </c>
      <c r="S23" s="9" t="s">
        <v>1199</v>
      </c>
      <c r="T23" s="9" t="s">
        <v>503</v>
      </c>
      <c r="U23" s="54"/>
      <c r="V23" s="377"/>
    </row>
    <row r="24" spans="1:22" customFormat="1" ht="16" x14ac:dyDescent="0.2">
      <c r="A24" s="210">
        <v>5319</v>
      </c>
      <c r="B24" s="68" t="s">
        <v>1018</v>
      </c>
      <c r="C24" s="9" t="s">
        <v>1019</v>
      </c>
      <c r="D24" s="9" t="s">
        <v>1026</v>
      </c>
      <c r="E24" s="10" t="s">
        <v>34</v>
      </c>
      <c r="F24" s="211" t="s">
        <v>81</v>
      </c>
      <c r="G24" s="212" t="s">
        <v>1203</v>
      </c>
      <c r="H24" s="10" t="s">
        <v>37</v>
      </c>
      <c r="I24" s="10" t="s">
        <v>246</v>
      </c>
      <c r="J24" s="10"/>
      <c r="K24" s="13" t="s">
        <v>1131</v>
      </c>
      <c r="L24" s="210" t="s">
        <v>1022</v>
      </c>
      <c r="M24" s="210"/>
      <c r="N24" s="9" t="s">
        <v>1022</v>
      </c>
      <c r="O24" s="9"/>
      <c r="P24" s="10" t="s">
        <v>448</v>
      </c>
      <c r="Q24" s="9" t="s">
        <v>1081</v>
      </c>
      <c r="R24" s="9" t="s">
        <v>1204</v>
      </c>
      <c r="S24" s="9" t="s">
        <v>1204</v>
      </c>
      <c r="T24" s="9" t="s">
        <v>503</v>
      </c>
      <c r="U24" s="54"/>
      <c r="V24" s="377"/>
    </row>
    <row r="25" spans="1:22" customFormat="1" ht="32" x14ac:dyDescent="0.2">
      <c r="A25" s="210">
        <v>5323</v>
      </c>
      <c r="B25" s="68" t="s">
        <v>1018</v>
      </c>
      <c r="C25" s="9" t="s">
        <v>1019</v>
      </c>
      <c r="D25" s="9" t="s">
        <v>1026</v>
      </c>
      <c r="E25" s="10" t="s">
        <v>34</v>
      </c>
      <c r="F25" s="211" t="s">
        <v>117</v>
      </c>
      <c r="G25" s="212" t="s">
        <v>1205</v>
      </c>
      <c r="H25" s="10" t="s">
        <v>37</v>
      </c>
      <c r="I25" s="10" t="s">
        <v>1197</v>
      </c>
      <c r="J25" s="10"/>
      <c r="K25" s="13" t="s">
        <v>1131</v>
      </c>
      <c r="L25" s="210" t="s">
        <v>1022</v>
      </c>
      <c r="M25" s="210"/>
      <c r="N25" s="9" t="s">
        <v>1022</v>
      </c>
      <c r="O25" s="9"/>
      <c r="P25" s="10" t="s">
        <v>109</v>
      </c>
      <c r="Q25" s="9" t="s">
        <v>1081</v>
      </c>
      <c r="R25" s="9" t="s">
        <v>1206</v>
      </c>
      <c r="S25" s="9" t="s">
        <v>1206</v>
      </c>
      <c r="T25" s="9" t="s">
        <v>503</v>
      </c>
      <c r="U25" s="54"/>
      <c r="V25" s="377"/>
    </row>
    <row r="26" spans="1:22" customFormat="1" ht="48" x14ac:dyDescent="0.2">
      <c r="A26" s="210">
        <v>5324</v>
      </c>
      <c r="B26" s="68" t="s">
        <v>1018</v>
      </c>
      <c r="C26" s="9" t="s">
        <v>1019</v>
      </c>
      <c r="D26" s="9" t="s">
        <v>1060</v>
      </c>
      <c r="E26" s="10" t="s">
        <v>34</v>
      </c>
      <c r="F26" s="211" t="s">
        <v>58</v>
      </c>
      <c r="G26" s="212" t="s">
        <v>1207</v>
      </c>
      <c r="H26" s="10" t="s">
        <v>37</v>
      </c>
      <c r="I26" s="10" t="s">
        <v>246</v>
      </c>
      <c r="J26" s="10"/>
      <c r="K26" s="13" t="s">
        <v>1131</v>
      </c>
      <c r="L26" s="210" t="s">
        <v>1022</v>
      </c>
      <c r="M26" s="210"/>
      <c r="N26" s="9" t="s">
        <v>1022</v>
      </c>
      <c r="O26" s="9"/>
      <c r="P26" s="10" t="s">
        <v>109</v>
      </c>
      <c r="Q26" s="9" t="s">
        <v>1208</v>
      </c>
      <c r="R26" s="9" t="s">
        <v>1209</v>
      </c>
      <c r="S26" s="9" t="s">
        <v>1210</v>
      </c>
      <c r="T26" s="9" t="s">
        <v>1022</v>
      </c>
      <c r="U26" s="54"/>
      <c r="V26" s="377"/>
    </row>
    <row r="27" spans="1:22" customFormat="1" ht="48" x14ac:dyDescent="0.2">
      <c r="A27" s="210">
        <v>5330</v>
      </c>
      <c r="B27" s="68" t="s">
        <v>1018</v>
      </c>
      <c r="C27" s="9" t="s">
        <v>1034</v>
      </c>
      <c r="D27" s="9" t="s">
        <v>1100</v>
      </c>
      <c r="E27" s="10" t="s">
        <v>34</v>
      </c>
      <c r="F27" s="211" t="s">
        <v>117</v>
      </c>
      <c r="G27" s="212" t="s">
        <v>1211</v>
      </c>
      <c r="H27" s="10" t="s">
        <v>37</v>
      </c>
      <c r="I27" s="10" t="s">
        <v>246</v>
      </c>
      <c r="J27" s="10"/>
      <c r="K27" s="13" t="s">
        <v>1131</v>
      </c>
      <c r="L27" s="210" t="s">
        <v>1022</v>
      </c>
      <c r="M27" s="210"/>
      <c r="N27" s="9" t="s">
        <v>1022</v>
      </c>
      <c r="O27" s="9"/>
      <c r="P27" s="10" t="s">
        <v>132</v>
      </c>
      <c r="Q27" s="9" t="s">
        <v>1103</v>
      </c>
      <c r="R27" s="9" t="s">
        <v>1104</v>
      </c>
      <c r="S27" s="9" t="s">
        <v>1109</v>
      </c>
      <c r="T27" s="9" t="s">
        <v>142</v>
      </c>
      <c r="U27" s="54"/>
      <c r="V27" s="377"/>
    </row>
    <row r="28" spans="1:22" customFormat="1" ht="48" x14ac:dyDescent="0.2">
      <c r="A28" s="210">
        <v>5331</v>
      </c>
      <c r="B28" s="68" t="s">
        <v>1018</v>
      </c>
      <c r="C28" s="9" t="s">
        <v>1034</v>
      </c>
      <c r="D28" s="9" t="s">
        <v>1100</v>
      </c>
      <c r="E28" s="10" t="s">
        <v>34</v>
      </c>
      <c r="F28" s="211" t="s">
        <v>58</v>
      </c>
      <c r="G28" s="212" t="s">
        <v>1106</v>
      </c>
      <c r="H28" s="10" t="s">
        <v>50</v>
      </c>
      <c r="I28" s="10" t="s">
        <v>246</v>
      </c>
      <c r="J28" s="10"/>
      <c r="K28" s="13" t="s">
        <v>1131</v>
      </c>
      <c r="L28" s="210" t="s">
        <v>1022</v>
      </c>
      <c r="M28" s="210"/>
      <c r="N28" s="9" t="s">
        <v>1022</v>
      </c>
      <c r="O28" s="9"/>
      <c r="P28" s="10" t="s">
        <v>827</v>
      </c>
      <c r="Q28" s="9" t="s">
        <v>1107</v>
      </c>
      <c r="R28" s="9" t="s">
        <v>1108</v>
      </c>
      <c r="S28" s="9" t="s">
        <v>1212</v>
      </c>
      <c r="T28" s="9" t="s">
        <v>111</v>
      </c>
      <c r="U28" s="54"/>
      <c r="V28" s="377"/>
    </row>
    <row r="29" spans="1:22" customFormat="1" ht="48" x14ac:dyDescent="0.2">
      <c r="A29" s="210">
        <v>5332</v>
      </c>
      <c r="B29" s="68" t="s">
        <v>1018</v>
      </c>
      <c r="C29" s="9" t="s">
        <v>1034</v>
      </c>
      <c r="D29" s="9" t="s">
        <v>1100</v>
      </c>
      <c r="E29" s="10" t="s">
        <v>34</v>
      </c>
      <c r="F29" s="211" t="s">
        <v>117</v>
      </c>
      <c r="G29" s="212" t="s">
        <v>1211</v>
      </c>
      <c r="H29" s="10" t="s">
        <v>50</v>
      </c>
      <c r="I29" s="10" t="s">
        <v>246</v>
      </c>
      <c r="J29" s="10"/>
      <c r="K29" s="13" t="s">
        <v>1131</v>
      </c>
      <c r="L29" s="210" t="s">
        <v>1022</v>
      </c>
      <c r="M29" s="210"/>
      <c r="N29" s="9" t="s">
        <v>1022</v>
      </c>
      <c r="O29" s="9"/>
      <c r="P29" s="10" t="s">
        <v>128</v>
      </c>
      <c r="Q29" s="9" t="s">
        <v>1103</v>
      </c>
      <c r="R29" s="9" t="s">
        <v>1104</v>
      </c>
      <c r="S29" s="9" t="s">
        <v>1212</v>
      </c>
      <c r="T29" s="9" t="s">
        <v>142</v>
      </c>
      <c r="U29" s="54"/>
      <c r="V29" s="377"/>
    </row>
    <row r="30" spans="1:22" customFormat="1" ht="48" x14ac:dyDescent="0.2">
      <c r="A30" s="210">
        <v>5335</v>
      </c>
      <c r="B30" s="68" t="s">
        <v>1018</v>
      </c>
      <c r="C30" s="9" t="s">
        <v>1034</v>
      </c>
      <c r="D30" s="9" t="s">
        <v>1100</v>
      </c>
      <c r="E30" s="10" t="s">
        <v>34</v>
      </c>
      <c r="F30" s="211" t="s">
        <v>58</v>
      </c>
      <c r="G30" s="212" t="s">
        <v>1106</v>
      </c>
      <c r="H30" s="10" t="s">
        <v>37</v>
      </c>
      <c r="I30" s="10" t="s">
        <v>246</v>
      </c>
      <c r="J30" s="10"/>
      <c r="K30" s="13" t="s">
        <v>1131</v>
      </c>
      <c r="L30" s="210" t="s">
        <v>1022</v>
      </c>
      <c r="M30" s="210"/>
      <c r="N30" s="9" t="s">
        <v>1022</v>
      </c>
      <c r="O30" s="9"/>
      <c r="P30" s="10" t="s">
        <v>1178</v>
      </c>
      <c r="Q30" s="9" t="s">
        <v>1107</v>
      </c>
      <c r="R30" s="9" t="s">
        <v>1108</v>
      </c>
      <c r="S30" s="9" t="s">
        <v>1213</v>
      </c>
      <c r="T30" s="9" t="s">
        <v>142</v>
      </c>
      <c r="U30" s="54"/>
      <c r="V30" s="377"/>
    </row>
    <row r="31" spans="1:22" customFormat="1" ht="48" x14ac:dyDescent="0.2">
      <c r="A31" s="210">
        <v>5336</v>
      </c>
      <c r="B31" s="68" t="s">
        <v>1018</v>
      </c>
      <c r="C31" s="9" t="s">
        <v>1034</v>
      </c>
      <c r="D31" s="9" t="s">
        <v>1100</v>
      </c>
      <c r="E31" s="10" t="s">
        <v>34</v>
      </c>
      <c r="F31" s="211" t="s">
        <v>117</v>
      </c>
      <c r="G31" s="212" t="s">
        <v>1211</v>
      </c>
      <c r="H31" s="10" t="s">
        <v>37</v>
      </c>
      <c r="I31" s="10" t="s">
        <v>1197</v>
      </c>
      <c r="J31" s="10"/>
      <c r="K31" s="13" t="s">
        <v>1131</v>
      </c>
      <c r="L31" s="210" t="s">
        <v>1022</v>
      </c>
      <c r="M31" s="210"/>
      <c r="N31" s="9" t="s">
        <v>1022</v>
      </c>
      <c r="O31" s="9"/>
      <c r="P31" s="10" t="s">
        <v>1178</v>
      </c>
      <c r="Q31" s="9" t="s">
        <v>1103</v>
      </c>
      <c r="R31" s="9" t="s">
        <v>1104</v>
      </c>
      <c r="S31" s="9" t="s">
        <v>1213</v>
      </c>
      <c r="T31" s="9" t="s">
        <v>142</v>
      </c>
      <c r="U31" s="54"/>
      <c r="V31" s="377"/>
    </row>
    <row r="32" spans="1:22" customFormat="1" ht="16" x14ac:dyDescent="0.2">
      <c r="A32" s="210">
        <v>5293</v>
      </c>
      <c r="B32" s="68" t="s">
        <v>1018</v>
      </c>
      <c r="C32" s="9" t="s">
        <v>1034</v>
      </c>
      <c r="D32" s="9" t="s">
        <v>1177</v>
      </c>
      <c r="E32" s="10" t="s">
        <v>34</v>
      </c>
      <c r="F32" s="211" t="s">
        <v>138</v>
      </c>
      <c r="G32" s="12" t="s">
        <v>1110</v>
      </c>
      <c r="H32" s="10" t="s">
        <v>37</v>
      </c>
      <c r="I32" s="10" t="s">
        <v>246</v>
      </c>
      <c r="J32" s="10"/>
      <c r="K32" s="13" t="s">
        <v>1136</v>
      </c>
      <c r="L32" s="210" t="s">
        <v>1022</v>
      </c>
      <c r="M32" s="210"/>
      <c r="N32" s="9" t="s">
        <v>1022</v>
      </c>
      <c r="O32" s="9"/>
      <c r="P32" s="10" t="s">
        <v>132</v>
      </c>
      <c r="Q32" s="9" t="s">
        <v>1087</v>
      </c>
      <c r="R32" s="9" t="s">
        <v>1022</v>
      </c>
      <c r="S32" s="9" t="s">
        <v>1214</v>
      </c>
      <c r="T32" s="213" t="s">
        <v>503</v>
      </c>
      <c r="U32" s="54"/>
      <c r="V32" s="377"/>
    </row>
    <row r="33" spans="1:22" customFormat="1" ht="32" x14ac:dyDescent="0.2">
      <c r="A33" s="210">
        <v>5301</v>
      </c>
      <c r="B33" s="68" t="s">
        <v>1018</v>
      </c>
      <c r="C33" s="9" t="s">
        <v>1034</v>
      </c>
      <c r="D33" s="12" t="s">
        <v>1064</v>
      </c>
      <c r="E33" s="10" t="s">
        <v>34</v>
      </c>
      <c r="F33" s="211" t="s">
        <v>98</v>
      </c>
      <c r="G33" s="12" t="s">
        <v>1183</v>
      </c>
      <c r="H33" s="10" t="s">
        <v>50</v>
      </c>
      <c r="I33" s="10" t="s">
        <v>246</v>
      </c>
      <c r="J33" s="10"/>
      <c r="K33" s="13" t="s">
        <v>1136</v>
      </c>
      <c r="L33" s="210" t="s">
        <v>1022</v>
      </c>
      <c r="M33" s="210"/>
      <c r="N33" s="9" t="s">
        <v>1022</v>
      </c>
      <c r="O33" s="9"/>
      <c r="P33" s="10" t="s">
        <v>1189</v>
      </c>
      <c r="Q33" s="9" t="s">
        <v>1045</v>
      </c>
      <c r="R33" s="9" t="s">
        <v>1215</v>
      </c>
      <c r="S33" s="9" t="s">
        <v>1216</v>
      </c>
      <c r="T33" s="9" t="s">
        <v>142</v>
      </c>
      <c r="U33" s="54"/>
      <c r="V33" s="377"/>
    </row>
    <row r="34" spans="1:22" customFormat="1" ht="16" x14ac:dyDescent="0.2">
      <c r="A34" s="210">
        <v>5309</v>
      </c>
      <c r="B34" s="68" t="s">
        <v>1018</v>
      </c>
      <c r="C34" s="9" t="s">
        <v>1034</v>
      </c>
      <c r="D34" s="9" t="s">
        <v>1054</v>
      </c>
      <c r="E34" s="10" t="s">
        <v>34</v>
      </c>
      <c r="F34" s="211" t="s">
        <v>138</v>
      </c>
      <c r="G34" s="212" t="s">
        <v>1121</v>
      </c>
      <c r="H34" s="10" t="s">
        <v>50</v>
      </c>
      <c r="I34" s="10" t="s">
        <v>246</v>
      </c>
      <c r="J34" s="10"/>
      <c r="K34" s="13" t="s">
        <v>1136</v>
      </c>
      <c r="L34" s="210" t="s">
        <v>1022</v>
      </c>
      <c r="M34" s="210"/>
      <c r="N34" s="9" t="s">
        <v>1022</v>
      </c>
      <c r="O34" s="9"/>
      <c r="P34" s="10" t="s">
        <v>1189</v>
      </c>
      <c r="Q34" s="9" t="s">
        <v>1122</v>
      </c>
      <c r="R34" s="9" t="s">
        <v>1123</v>
      </c>
      <c r="S34" s="9" t="s">
        <v>1123</v>
      </c>
      <c r="T34" s="9" t="s">
        <v>503</v>
      </c>
      <c r="U34" s="54"/>
      <c r="V34" s="377"/>
    </row>
    <row r="35" spans="1:22" customFormat="1" ht="16" x14ac:dyDescent="0.2">
      <c r="A35" s="210">
        <v>5311</v>
      </c>
      <c r="B35" s="68" t="s">
        <v>1018</v>
      </c>
      <c r="C35" s="9" t="s">
        <v>1034</v>
      </c>
      <c r="D35" s="9" t="s">
        <v>1054</v>
      </c>
      <c r="E35" s="10" t="s">
        <v>34</v>
      </c>
      <c r="F35" s="211" t="s">
        <v>98</v>
      </c>
      <c r="G35" s="212" t="s">
        <v>1217</v>
      </c>
      <c r="H35" s="10" t="s">
        <v>50</v>
      </c>
      <c r="I35" s="10" t="s">
        <v>246</v>
      </c>
      <c r="J35" s="10"/>
      <c r="K35" s="13" t="s">
        <v>1136</v>
      </c>
      <c r="L35" s="210" t="s">
        <v>1022</v>
      </c>
      <c r="M35" s="210"/>
      <c r="N35" s="9" t="s">
        <v>1022</v>
      </c>
      <c r="O35" s="9"/>
      <c r="P35" s="10" t="s">
        <v>448</v>
      </c>
      <c r="Q35" s="9" t="s">
        <v>1218</v>
      </c>
      <c r="R35" s="9" t="s">
        <v>1022</v>
      </c>
      <c r="S35" s="9" t="s">
        <v>1022</v>
      </c>
      <c r="T35" s="9" t="s">
        <v>503</v>
      </c>
      <c r="U35" s="54"/>
      <c r="V35" s="377"/>
    </row>
    <row r="36" spans="1:22" customFormat="1" ht="16" x14ac:dyDescent="0.2">
      <c r="A36" s="210">
        <v>5312</v>
      </c>
      <c r="B36" s="68" t="s">
        <v>1018</v>
      </c>
      <c r="C36" s="9" t="s">
        <v>1034</v>
      </c>
      <c r="D36" s="9" t="s">
        <v>1054</v>
      </c>
      <c r="E36" s="10" t="s">
        <v>34</v>
      </c>
      <c r="F36" s="211" t="s">
        <v>117</v>
      </c>
      <c r="G36" s="212" t="s">
        <v>1219</v>
      </c>
      <c r="H36" s="10" t="s">
        <v>37</v>
      </c>
      <c r="I36" s="10" t="s">
        <v>246</v>
      </c>
      <c r="J36" s="10"/>
      <c r="K36" s="13" t="s">
        <v>1136</v>
      </c>
      <c r="L36" s="210" t="s">
        <v>1022</v>
      </c>
      <c r="M36" s="210"/>
      <c r="N36" s="9" t="s">
        <v>1022</v>
      </c>
      <c r="O36" s="9"/>
      <c r="P36" s="10" t="s">
        <v>1178</v>
      </c>
      <c r="Q36" s="9" t="s">
        <v>1050</v>
      </c>
      <c r="R36" s="9" t="s">
        <v>1022</v>
      </c>
      <c r="S36" s="9" t="s">
        <v>1022</v>
      </c>
      <c r="T36" s="9" t="s">
        <v>503</v>
      </c>
      <c r="U36" s="54"/>
      <c r="V36" s="377"/>
    </row>
    <row r="37" spans="1:22" customFormat="1" ht="16" x14ac:dyDescent="0.2">
      <c r="A37" s="210">
        <v>5313</v>
      </c>
      <c r="B37" s="68" t="s">
        <v>1018</v>
      </c>
      <c r="C37" s="9" t="s">
        <v>1034</v>
      </c>
      <c r="D37" s="9" t="s">
        <v>1054</v>
      </c>
      <c r="E37" s="10" t="s">
        <v>34</v>
      </c>
      <c r="F37" s="211" t="s">
        <v>117</v>
      </c>
      <c r="G37" s="212" t="s">
        <v>1219</v>
      </c>
      <c r="H37" s="10" t="s">
        <v>37</v>
      </c>
      <c r="I37" s="10" t="s">
        <v>246</v>
      </c>
      <c r="J37" s="10"/>
      <c r="K37" s="13" t="s">
        <v>1136</v>
      </c>
      <c r="L37" s="210" t="s">
        <v>1022</v>
      </c>
      <c r="M37" s="210"/>
      <c r="N37" s="9" t="s">
        <v>1022</v>
      </c>
      <c r="O37" s="9"/>
      <c r="P37" s="10" t="s">
        <v>1178</v>
      </c>
      <c r="Q37" s="9" t="s">
        <v>1050</v>
      </c>
      <c r="R37" s="9" t="s">
        <v>1022</v>
      </c>
      <c r="S37" s="9" t="s">
        <v>1022</v>
      </c>
      <c r="T37" s="9" t="s">
        <v>503</v>
      </c>
      <c r="U37" s="54"/>
      <c r="V37" s="377"/>
    </row>
    <row r="38" spans="1:22" customFormat="1" ht="16" x14ac:dyDescent="0.2">
      <c r="A38" s="210">
        <v>1198</v>
      </c>
      <c r="B38" s="68" t="s">
        <v>1018</v>
      </c>
      <c r="C38" s="9" t="s">
        <v>1019</v>
      </c>
      <c r="D38" s="9" t="s">
        <v>1020</v>
      </c>
      <c r="E38" s="10" t="s">
        <v>34</v>
      </c>
      <c r="F38" s="211" t="s">
        <v>98</v>
      </c>
      <c r="G38" s="212" t="s">
        <v>1021</v>
      </c>
      <c r="H38" s="10" t="s">
        <v>50</v>
      </c>
      <c r="I38" s="10" t="s">
        <v>246</v>
      </c>
      <c r="J38" s="10"/>
      <c r="K38" s="13" t="s">
        <v>1136</v>
      </c>
      <c r="L38" s="210" t="s">
        <v>1022</v>
      </c>
      <c r="M38" s="210"/>
      <c r="N38" s="9" t="s">
        <v>1022</v>
      </c>
      <c r="O38" s="9"/>
      <c r="P38" s="10" t="s">
        <v>109</v>
      </c>
      <c r="Q38" s="9" t="s">
        <v>1220</v>
      </c>
      <c r="R38" s="9" t="s">
        <v>1024</v>
      </c>
      <c r="S38" s="9" t="s">
        <v>1025</v>
      </c>
      <c r="T38" s="9" t="s">
        <v>503</v>
      </c>
      <c r="U38" s="54"/>
      <c r="V38" s="377"/>
    </row>
    <row r="39" spans="1:22" customFormat="1" ht="16" x14ac:dyDescent="0.2">
      <c r="A39" s="210">
        <v>5316</v>
      </c>
      <c r="B39" s="68" t="s">
        <v>1018</v>
      </c>
      <c r="C39" s="9" t="s">
        <v>1034</v>
      </c>
      <c r="D39" s="9" t="s">
        <v>1030</v>
      </c>
      <c r="E39" s="10" t="s">
        <v>34</v>
      </c>
      <c r="F39" s="211" t="s">
        <v>98</v>
      </c>
      <c r="G39" s="212" t="s">
        <v>1113</v>
      </c>
      <c r="H39" s="10" t="s">
        <v>50</v>
      </c>
      <c r="I39" s="10" t="s">
        <v>246</v>
      </c>
      <c r="J39" s="10"/>
      <c r="K39" s="13" t="s">
        <v>1136</v>
      </c>
      <c r="L39" s="210" t="s">
        <v>1022</v>
      </c>
      <c r="M39" s="210"/>
      <c r="N39" s="9" t="s">
        <v>1022</v>
      </c>
      <c r="O39" s="9"/>
      <c r="P39" s="10" t="s">
        <v>448</v>
      </c>
      <c r="Q39" s="9" t="s">
        <v>1221</v>
      </c>
      <c r="R39" s="9" t="s">
        <v>1222</v>
      </c>
      <c r="S39" s="9" t="s">
        <v>1223</v>
      </c>
      <c r="T39" s="9" t="s">
        <v>142</v>
      </c>
      <c r="U39" s="54"/>
      <c r="V39" s="377"/>
    </row>
    <row r="40" spans="1:22" customFormat="1" ht="32" x14ac:dyDescent="0.2">
      <c r="A40" s="210">
        <v>5320</v>
      </c>
      <c r="B40" s="68" t="s">
        <v>1018</v>
      </c>
      <c r="C40" s="9" t="s">
        <v>1019</v>
      </c>
      <c r="D40" s="9" t="s">
        <v>1026</v>
      </c>
      <c r="E40" s="10" t="s">
        <v>34</v>
      </c>
      <c r="F40" s="211" t="s">
        <v>98</v>
      </c>
      <c r="G40" s="212" t="s">
        <v>1224</v>
      </c>
      <c r="H40" s="10" t="s">
        <v>50</v>
      </c>
      <c r="I40" s="10" t="s">
        <v>246</v>
      </c>
      <c r="J40" s="10"/>
      <c r="K40" s="13" t="s">
        <v>1136</v>
      </c>
      <c r="L40" s="210" t="s">
        <v>1022</v>
      </c>
      <c r="M40" s="210"/>
      <c r="N40" s="9" t="s">
        <v>1022</v>
      </c>
      <c r="O40" s="9"/>
      <c r="P40" s="10" t="s">
        <v>109</v>
      </c>
      <c r="Q40" s="9" t="s">
        <v>1081</v>
      </c>
      <c r="R40" s="9" t="s">
        <v>1225</v>
      </c>
      <c r="S40" s="9" t="s">
        <v>1225</v>
      </c>
      <c r="T40" s="9" t="s">
        <v>503</v>
      </c>
      <c r="U40" s="54"/>
      <c r="V40" s="377"/>
    </row>
    <row r="41" spans="1:22" customFormat="1" ht="16" x14ac:dyDescent="0.2">
      <c r="A41" s="210">
        <v>5322</v>
      </c>
      <c r="B41" s="68" t="s">
        <v>1018</v>
      </c>
      <c r="C41" s="9" t="s">
        <v>1019</v>
      </c>
      <c r="D41" s="9" t="s">
        <v>1026</v>
      </c>
      <c r="E41" s="10" t="s">
        <v>34</v>
      </c>
      <c r="F41" s="211" t="s">
        <v>81</v>
      </c>
      <c r="G41" s="212" t="s">
        <v>1203</v>
      </c>
      <c r="H41" s="10" t="s">
        <v>37</v>
      </c>
      <c r="I41" s="10" t="s">
        <v>246</v>
      </c>
      <c r="J41" s="10"/>
      <c r="K41" s="13" t="s">
        <v>1136</v>
      </c>
      <c r="L41" s="210" t="s">
        <v>1022</v>
      </c>
      <c r="M41" s="210"/>
      <c r="N41" s="9" t="s">
        <v>1022</v>
      </c>
      <c r="O41" s="9"/>
      <c r="P41" s="10" t="s">
        <v>371</v>
      </c>
      <c r="Q41" s="9" t="s">
        <v>1081</v>
      </c>
      <c r="R41" s="9" t="s">
        <v>1204</v>
      </c>
      <c r="S41" s="9" t="s">
        <v>1204</v>
      </c>
      <c r="T41" s="9" t="s">
        <v>503</v>
      </c>
      <c r="U41" s="54"/>
      <c r="V41" s="377"/>
    </row>
    <row r="42" spans="1:22" customFormat="1" ht="48" x14ac:dyDescent="0.2">
      <c r="A42" s="210">
        <v>5325</v>
      </c>
      <c r="B42" s="68" t="s">
        <v>1018</v>
      </c>
      <c r="C42" s="9" t="s">
        <v>1019</v>
      </c>
      <c r="D42" s="9" t="s">
        <v>1207</v>
      </c>
      <c r="E42" s="10" t="s">
        <v>34</v>
      </c>
      <c r="F42" s="211" t="s">
        <v>98</v>
      </c>
      <c r="G42" s="212" t="s">
        <v>1226</v>
      </c>
      <c r="H42" s="10" t="s">
        <v>50</v>
      </c>
      <c r="I42" s="10" t="s">
        <v>246</v>
      </c>
      <c r="J42" s="10"/>
      <c r="K42" s="13" t="s">
        <v>1136</v>
      </c>
      <c r="L42" s="210" t="s">
        <v>1022</v>
      </c>
      <c r="M42" s="210"/>
      <c r="N42" s="9" t="s">
        <v>1022</v>
      </c>
      <c r="O42" s="9"/>
      <c r="P42" s="10" t="s">
        <v>109</v>
      </c>
      <c r="Q42" s="9" t="s">
        <v>1208</v>
      </c>
      <c r="R42" s="9" t="s">
        <v>1209</v>
      </c>
      <c r="S42" s="9" t="s">
        <v>1227</v>
      </c>
      <c r="T42" s="9" t="s">
        <v>1022</v>
      </c>
      <c r="U42" s="54"/>
      <c r="V42" s="377"/>
    </row>
    <row r="43" spans="1:22" customFormat="1" ht="32" x14ac:dyDescent="0.2">
      <c r="A43" s="210">
        <v>5297</v>
      </c>
      <c r="B43" s="68" t="s">
        <v>1018</v>
      </c>
      <c r="C43" s="9" t="s">
        <v>1034</v>
      </c>
      <c r="D43" s="9" t="s">
        <v>1177</v>
      </c>
      <c r="E43" s="10" t="s">
        <v>34</v>
      </c>
      <c r="F43" s="211" t="s">
        <v>98</v>
      </c>
      <c r="G43" s="12" t="s">
        <v>1228</v>
      </c>
      <c r="H43" s="10" t="s">
        <v>50</v>
      </c>
      <c r="I43" s="10" t="s">
        <v>246</v>
      </c>
      <c r="J43" s="10"/>
      <c r="K43" s="13" t="s">
        <v>1229</v>
      </c>
      <c r="L43" s="210" t="s">
        <v>1022</v>
      </c>
      <c r="M43" s="210"/>
      <c r="N43" s="9" t="s">
        <v>1022</v>
      </c>
      <c r="O43" s="9"/>
      <c r="P43" s="10" t="s">
        <v>1189</v>
      </c>
      <c r="Q43" s="9" t="s">
        <v>1230</v>
      </c>
      <c r="R43" s="9" t="s">
        <v>1022</v>
      </c>
      <c r="S43" s="9" t="s">
        <v>1231</v>
      </c>
      <c r="T43" s="9" t="s">
        <v>503</v>
      </c>
      <c r="U43" s="54"/>
      <c r="V43" s="377"/>
    </row>
    <row r="44" spans="1:22" customFormat="1" ht="32" x14ac:dyDescent="0.2">
      <c r="A44" s="210">
        <v>5317</v>
      </c>
      <c r="B44" s="68" t="s">
        <v>1018</v>
      </c>
      <c r="C44" s="9" t="s">
        <v>1034</v>
      </c>
      <c r="D44" s="9" t="s">
        <v>1030</v>
      </c>
      <c r="E44" s="10" t="s">
        <v>34</v>
      </c>
      <c r="F44" s="211" t="s">
        <v>98</v>
      </c>
      <c r="G44" s="212" t="s">
        <v>1113</v>
      </c>
      <c r="H44" s="10" t="s">
        <v>50</v>
      </c>
      <c r="I44" s="10" t="s">
        <v>246</v>
      </c>
      <c r="J44" s="10"/>
      <c r="K44" s="13" t="s">
        <v>1229</v>
      </c>
      <c r="L44" s="210" t="s">
        <v>1022</v>
      </c>
      <c r="M44" s="210"/>
      <c r="N44" s="9" t="s">
        <v>1022</v>
      </c>
      <c r="O44" s="9"/>
      <c r="P44" s="10" t="s">
        <v>1232</v>
      </c>
      <c r="Q44" s="9" t="s">
        <v>1221</v>
      </c>
      <c r="R44" s="9" t="s">
        <v>1233</v>
      </c>
      <c r="S44" s="9" t="s">
        <v>1223</v>
      </c>
      <c r="T44" s="9" t="s">
        <v>142</v>
      </c>
      <c r="U44" s="54"/>
      <c r="V44" s="377"/>
    </row>
    <row r="45" spans="1:22" customFormat="1" ht="16" x14ac:dyDescent="0.2">
      <c r="A45" s="210">
        <v>5321</v>
      </c>
      <c r="B45" s="68" t="s">
        <v>1018</v>
      </c>
      <c r="C45" s="9" t="s">
        <v>1019</v>
      </c>
      <c r="D45" s="9" t="s">
        <v>1026</v>
      </c>
      <c r="E45" s="10" t="s">
        <v>34</v>
      </c>
      <c r="F45" s="211" t="s">
        <v>117</v>
      </c>
      <c r="G45" s="212" t="s">
        <v>1035</v>
      </c>
      <c r="H45" s="10" t="s">
        <v>37</v>
      </c>
      <c r="I45" s="10" t="s">
        <v>246</v>
      </c>
      <c r="J45" s="10"/>
      <c r="K45" s="13" t="s">
        <v>1229</v>
      </c>
      <c r="L45" s="210" t="s">
        <v>1022</v>
      </c>
      <c r="M45" s="210"/>
      <c r="N45" s="9" t="s">
        <v>1022</v>
      </c>
      <c r="O45" s="9"/>
      <c r="P45" s="10" t="s">
        <v>1189</v>
      </c>
      <c r="Q45" s="9" t="s">
        <v>1081</v>
      </c>
      <c r="R45" s="9" t="s">
        <v>1204</v>
      </c>
      <c r="S45" s="9" t="s">
        <v>1204</v>
      </c>
      <c r="T45" s="9" t="s">
        <v>503</v>
      </c>
      <c r="U45" s="54"/>
      <c r="V45" s="377"/>
    </row>
    <row r="46" spans="1:22" customFormat="1" ht="32" x14ac:dyDescent="0.2">
      <c r="A46" s="210">
        <v>5326</v>
      </c>
      <c r="B46" s="68" t="s">
        <v>1018</v>
      </c>
      <c r="C46" s="9" t="s">
        <v>1019</v>
      </c>
      <c r="D46" s="9" t="s">
        <v>1207</v>
      </c>
      <c r="E46" s="10" t="s">
        <v>34</v>
      </c>
      <c r="F46" s="211" t="s">
        <v>138</v>
      </c>
      <c r="G46" s="212" t="s">
        <v>1234</v>
      </c>
      <c r="H46" s="10" t="s">
        <v>50</v>
      </c>
      <c r="I46" s="10" t="s">
        <v>246</v>
      </c>
      <c r="J46" s="10"/>
      <c r="K46" s="13" t="s">
        <v>1229</v>
      </c>
      <c r="L46" s="210" t="s">
        <v>1022</v>
      </c>
      <c r="M46" s="210"/>
      <c r="N46" s="9" t="s">
        <v>1022</v>
      </c>
      <c r="O46" s="9"/>
      <c r="P46" s="10" t="s">
        <v>109</v>
      </c>
      <c r="Q46" s="9" t="s">
        <v>1235</v>
      </c>
      <c r="R46" s="9" t="s">
        <v>1236</v>
      </c>
      <c r="S46" s="9" t="s">
        <v>1237</v>
      </c>
      <c r="T46" s="9" t="s">
        <v>1022</v>
      </c>
      <c r="U46" s="54"/>
      <c r="V46" s="377"/>
    </row>
    <row r="47" spans="1:22" customFormat="1" ht="48" x14ac:dyDescent="0.2">
      <c r="A47" s="210">
        <v>5333</v>
      </c>
      <c r="B47" s="68" t="s">
        <v>1018</v>
      </c>
      <c r="C47" s="9" t="s">
        <v>1034</v>
      </c>
      <c r="D47" s="9" t="s">
        <v>1100</v>
      </c>
      <c r="E47" s="10" t="s">
        <v>34</v>
      </c>
      <c r="F47" s="211" t="s">
        <v>58</v>
      </c>
      <c r="G47" s="212" t="s">
        <v>1106</v>
      </c>
      <c r="H47" s="10" t="s">
        <v>50</v>
      </c>
      <c r="I47" s="10" t="s">
        <v>246</v>
      </c>
      <c r="J47" s="10"/>
      <c r="K47" s="13" t="s">
        <v>101</v>
      </c>
      <c r="L47" s="210" t="s">
        <v>1022</v>
      </c>
      <c r="M47" s="210"/>
      <c r="N47" s="9" t="s">
        <v>1022</v>
      </c>
      <c r="O47" s="9"/>
      <c r="P47" s="10" t="s">
        <v>1178</v>
      </c>
      <c r="Q47" s="9" t="s">
        <v>1107</v>
      </c>
      <c r="R47" s="9" t="s">
        <v>1108</v>
      </c>
      <c r="S47" s="9" t="s">
        <v>1238</v>
      </c>
      <c r="T47" s="9" t="s">
        <v>142</v>
      </c>
      <c r="U47" s="54"/>
      <c r="V47" s="377"/>
    </row>
    <row r="48" spans="1:22" customFormat="1" ht="48" x14ac:dyDescent="0.2">
      <c r="A48" s="210">
        <v>5334</v>
      </c>
      <c r="B48" s="68" t="s">
        <v>1018</v>
      </c>
      <c r="C48" s="9" t="s">
        <v>1034</v>
      </c>
      <c r="D48" s="9" t="s">
        <v>1100</v>
      </c>
      <c r="E48" s="10" t="s">
        <v>34</v>
      </c>
      <c r="F48" s="211" t="s">
        <v>117</v>
      </c>
      <c r="G48" s="212" t="s">
        <v>1211</v>
      </c>
      <c r="H48" s="10" t="s">
        <v>50</v>
      </c>
      <c r="I48" s="10" t="s">
        <v>1197</v>
      </c>
      <c r="J48" s="10"/>
      <c r="K48" s="13" t="s">
        <v>101</v>
      </c>
      <c r="L48" s="210" t="s">
        <v>1022</v>
      </c>
      <c r="M48" s="210"/>
      <c r="N48" s="9" t="s">
        <v>1022</v>
      </c>
      <c r="O48" s="9"/>
      <c r="P48" s="10" t="s">
        <v>1178</v>
      </c>
      <c r="Q48" s="9" t="s">
        <v>1103</v>
      </c>
      <c r="R48" s="9" t="s">
        <v>1104</v>
      </c>
      <c r="S48" s="9" t="s">
        <v>1238</v>
      </c>
      <c r="T48" s="9" t="s">
        <v>142</v>
      </c>
      <c r="U48" s="54"/>
      <c r="V48" s="377"/>
    </row>
    <row r="49" spans="1:22" s="73" customFormat="1" ht="80" x14ac:dyDescent="0.2">
      <c r="A49" s="8">
        <v>5342</v>
      </c>
      <c r="B49" s="9" t="s">
        <v>1128</v>
      </c>
      <c r="C49" s="9" t="s">
        <v>1239</v>
      </c>
      <c r="D49" s="55" t="s">
        <v>556</v>
      </c>
      <c r="E49" s="10" t="s">
        <v>34</v>
      </c>
      <c r="F49" s="8" t="s">
        <v>81</v>
      </c>
      <c r="G49" s="55" t="s">
        <v>1240</v>
      </c>
      <c r="H49" s="11" t="s">
        <v>50</v>
      </c>
      <c r="I49" s="10"/>
      <c r="J49" s="10"/>
      <c r="K49" s="13" t="s">
        <v>1131</v>
      </c>
      <c r="L49" s="8"/>
      <c r="M49" s="8"/>
      <c r="N49" s="55"/>
      <c r="O49" s="55"/>
      <c r="P49" s="10" t="s">
        <v>64</v>
      </c>
      <c r="Q49" s="9" t="s">
        <v>1241</v>
      </c>
      <c r="R49" s="55"/>
      <c r="S49" s="55"/>
      <c r="T49" s="8" t="s">
        <v>1242</v>
      </c>
      <c r="U49" s="54"/>
      <c r="V49" s="378"/>
    </row>
    <row r="50" spans="1:22" s="73" customFormat="1" ht="16" x14ac:dyDescent="0.2">
      <c r="A50" s="8">
        <v>5341</v>
      </c>
      <c r="B50" s="9" t="s">
        <v>1128</v>
      </c>
      <c r="C50" s="9" t="s">
        <v>1239</v>
      </c>
      <c r="D50" s="54" t="s">
        <v>556</v>
      </c>
      <c r="E50" s="10" t="s">
        <v>34</v>
      </c>
      <c r="F50" s="8" t="s">
        <v>197</v>
      </c>
      <c r="G50" s="55" t="s">
        <v>1243</v>
      </c>
      <c r="H50" s="11" t="s">
        <v>50</v>
      </c>
      <c r="I50" s="10"/>
      <c r="J50" s="10"/>
      <c r="K50" s="13" t="s">
        <v>1131</v>
      </c>
      <c r="L50" s="8"/>
      <c r="M50" s="8"/>
      <c r="N50" s="54"/>
      <c r="O50" s="54"/>
      <c r="P50" s="10" t="s">
        <v>64</v>
      </c>
      <c r="Q50" s="9" t="s">
        <v>1244</v>
      </c>
      <c r="R50" s="54"/>
      <c r="S50" s="54"/>
      <c r="T50" s="54"/>
      <c r="U50" s="54"/>
      <c r="V50" s="378"/>
    </row>
    <row r="51" spans="1:22" s="73" customFormat="1" ht="48" x14ac:dyDescent="0.2">
      <c r="A51" s="8">
        <v>5181</v>
      </c>
      <c r="B51" s="9" t="s">
        <v>1128</v>
      </c>
      <c r="C51" s="9" t="s">
        <v>1239</v>
      </c>
      <c r="D51" s="54" t="s">
        <v>556</v>
      </c>
      <c r="E51" s="10" t="s">
        <v>34</v>
      </c>
      <c r="F51" s="8" t="s">
        <v>98</v>
      </c>
      <c r="G51" s="55" t="s">
        <v>1245</v>
      </c>
      <c r="H51" s="11" t="s">
        <v>37</v>
      </c>
      <c r="I51" s="10"/>
      <c r="J51" s="10"/>
      <c r="K51" s="13" t="s">
        <v>1136</v>
      </c>
      <c r="L51" s="8"/>
      <c r="M51" s="8"/>
      <c r="N51" s="54"/>
      <c r="O51" s="54"/>
      <c r="P51" s="10" t="s">
        <v>64</v>
      </c>
      <c r="Q51" s="9" t="s">
        <v>1246</v>
      </c>
      <c r="R51" s="54" t="s">
        <v>1247</v>
      </c>
      <c r="S51" s="54" t="s">
        <v>1247</v>
      </c>
      <c r="T51" s="54"/>
      <c r="U51" s="54"/>
      <c r="V51" s="378"/>
    </row>
    <row r="52" spans="1:22" s="73" customFormat="1" ht="64" x14ac:dyDescent="0.2">
      <c r="A52" s="8">
        <v>5343</v>
      </c>
      <c r="B52" s="9" t="s">
        <v>1128</v>
      </c>
      <c r="C52" s="9" t="s">
        <v>1239</v>
      </c>
      <c r="D52" s="55" t="s">
        <v>556</v>
      </c>
      <c r="E52" s="10" t="s">
        <v>34</v>
      </c>
      <c r="F52" s="8" t="s">
        <v>81</v>
      </c>
      <c r="G52" s="55" t="s">
        <v>1240</v>
      </c>
      <c r="H52" s="11" t="s">
        <v>50</v>
      </c>
      <c r="I52" s="10"/>
      <c r="J52" s="10"/>
      <c r="K52" s="13" t="s">
        <v>1136</v>
      </c>
      <c r="L52" s="8"/>
      <c r="M52" s="8"/>
      <c r="N52" s="55"/>
      <c r="O52" s="55"/>
      <c r="P52" s="10" t="s">
        <v>64</v>
      </c>
      <c r="Q52" s="9" t="s">
        <v>1248</v>
      </c>
      <c r="R52" s="55"/>
      <c r="S52" s="55"/>
      <c r="T52" s="8" t="s">
        <v>1242</v>
      </c>
      <c r="U52" s="54"/>
      <c r="V52" s="378"/>
    </row>
    <row r="53" spans="1:22" s="73" customFormat="1" ht="48" x14ac:dyDescent="0.2">
      <c r="A53" s="8">
        <v>5182</v>
      </c>
      <c r="B53" s="9" t="s">
        <v>1128</v>
      </c>
      <c r="C53" s="9" t="s">
        <v>1239</v>
      </c>
      <c r="D53" s="54" t="s">
        <v>556</v>
      </c>
      <c r="E53" s="10" t="s">
        <v>34</v>
      </c>
      <c r="F53" s="8" t="s">
        <v>98</v>
      </c>
      <c r="G53" s="55" t="s">
        <v>1249</v>
      </c>
      <c r="H53" s="11" t="s">
        <v>37</v>
      </c>
      <c r="I53" s="10"/>
      <c r="J53" s="10"/>
      <c r="K53" s="13" t="s">
        <v>1140</v>
      </c>
      <c r="L53" s="8"/>
      <c r="M53" s="8"/>
      <c r="N53" s="54"/>
      <c r="O53" s="54"/>
      <c r="P53" s="10" t="s">
        <v>64</v>
      </c>
      <c r="Q53" s="9" t="s">
        <v>1250</v>
      </c>
      <c r="R53" s="54"/>
      <c r="S53" s="54"/>
      <c r="T53" s="54"/>
      <c r="U53" s="54"/>
      <c r="V53" s="379"/>
    </row>
    <row r="54" spans="1:22" s="73" customFormat="1" ht="48" x14ac:dyDescent="0.2">
      <c r="A54" s="8">
        <v>5183</v>
      </c>
      <c r="B54" s="9" t="s">
        <v>1128</v>
      </c>
      <c r="C54" s="9" t="s">
        <v>1239</v>
      </c>
      <c r="D54" s="54" t="s">
        <v>556</v>
      </c>
      <c r="E54" s="10" t="s">
        <v>34</v>
      </c>
      <c r="F54" s="8" t="s">
        <v>98</v>
      </c>
      <c r="G54" s="55" t="s">
        <v>1251</v>
      </c>
      <c r="H54" s="11" t="s">
        <v>37</v>
      </c>
      <c r="I54" s="10"/>
      <c r="J54" s="10"/>
      <c r="K54" s="13" t="s">
        <v>1252</v>
      </c>
      <c r="L54" s="8"/>
      <c r="M54" s="8"/>
      <c r="N54" s="54"/>
      <c r="O54" s="54"/>
      <c r="P54" s="10" t="s">
        <v>64</v>
      </c>
      <c r="Q54" s="9" t="s">
        <v>1253</v>
      </c>
      <c r="R54" s="54" t="s">
        <v>1247</v>
      </c>
      <c r="S54" s="54" t="s">
        <v>1247</v>
      </c>
      <c r="T54" s="54"/>
      <c r="U54" s="54"/>
      <c r="V54" s="379"/>
    </row>
    <row r="55" spans="1:22" ht="32" x14ac:dyDescent="0.2">
      <c r="A55" s="74">
        <v>1078</v>
      </c>
      <c r="B55" s="75" t="s">
        <v>1128</v>
      </c>
      <c r="C55" s="75" t="s">
        <v>606</v>
      </c>
      <c r="D55" s="76" t="s">
        <v>610</v>
      </c>
      <c r="E55" s="53" t="s">
        <v>180</v>
      </c>
      <c r="F55" s="77" t="s">
        <v>81</v>
      </c>
      <c r="G55" s="78" t="s">
        <v>1254</v>
      </c>
      <c r="H55" s="77" t="s">
        <v>50</v>
      </c>
      <c r="I55" s="53"/>
      <c r="J55" s="53"/>
      <c r="K55" s="53" t="s">
        <v>1136</v>
      </c>
      <c r="L55" s="74" t="s">
        <v>1255</v>
      </c>
      <c r="M55" s="74"/>
      <c r="N55" s="76"/>
      <c r="O55" s="76"/>
      <c r="P55" s="53" t="s">
        <v>64</v>
      </c>
      <c r="Q55" s="75" t="s">
        <v>623</v>
      </c>
      <c r="R55" s="75"/>
      <c r="S55" s="76" t="s">
        <v>1256</v>
      </c>
      <c r="T55" s="54"/>
      <c r="U55" s="54"/>
      <c r="V55" s="104"/>
    </row>
    <row r="56" spans="1:22" ht="32" x14ac:dyDescent="0.2">
      <c r="A56" s="8">
        <v>1350</v>
      </c>
      <c r="B56" s="14" t="s">
        <v>1128</v>
      </c>
      <c r="C56" s="14" t="s">
        <v>606</v>
      </c>
      <c r="D56" s="79" t="s">
        <v>610</v>
      </c>
      <c r="E56" s="18" t="s">
        <v>34</v>
      </c>
      <c r="F56" s="49" t="s">
        <v>1257</v>
      </c>
      <c r="G56" s="50" t="s">
        <v>1258</v>
      </c>
      <c r="H56" s="49" t="s">
        <v>37</v>
      </c>
      <c r="I56" s="18"/>
      <c r="J56" s="18"/>
      <c r="K56" s="18" t="s">
        <v>1140</v>
      </c>
      <c r="L56" s="28" t="s">
        <v>1255</v>
      </c>
      <c r="M56" s="28"/>
      <c r="N56" s="79"/>
      <c r="O56" s="79"/>
      <c r="P56" s="18" t="s">
        <v>64</v>
      </c>
      <c r="Q56" s="14" t="s">
        <v>1259</v>
      </c>
      <c r="R56" s="14"/>
      <c r="S56" s="79"/>
      <c r="T56" s="54"/>
      <c r="U56" s="54"/>
      <c r="V56" s="104"/>
    </row>
    <row r="57" spans="1:22" ht="16" x14ac:dyDescent="0.2">
      <c r="A57" s="8">
        <v>5174</v>
      </c>
      <c r="B57" s="80" t="s">
        <v>1128</v>
      </c>
      <c r="C57" s="80" t="s">
        <v>606</v>
      </c>
      <c r="D57" s="80" t="s">
        <v>610</v>
      </c>
      <c r="E57" s="81" t="s">
        <v>180</v>
      </c>
      <c r="F57" s="81" t="s">
        <v>81</v>
      </c>
      <c r="G57" s="80" t="s">
        <v>1258</v>
      </c>
      <c r="H57" s="81" t="s">
        <v>37</v>
      </c>
      <c r="I57" s="80" t="s">
        <v>1260</v>
      </c>
      <c r="J57" s="80"/>
      <c r="K57" s="81" t="s">
        <v>1131</v>
      </c>
      <c r="L57" s="81"/>
      <c r="M57" s="81"/>
      <c r="N57" s="80"/>
      <c r="O57" s="227"/>
      <c r="P57" s="81" t="s">
        <v>64</v>
      </c>
      <c r="Q57" s="80" t="s">
        <v>1261</v>
      </c>
      <c r="R57" s="80" t="s">
        <v>1262</v>
      </c>
      <c r="S57" s="80" t="s">
        <v>1263</v>
      </c>
      <c r="T57" s="82"/>
      <c r="U57" s="54"/>
      <c r="V57" s="104"/>
    </row>
    <row r="58" spans="1:22" ht="16" x14ac:dyDescent="0.2">
      <c r="A58" s="8">
        <v>5175</v>
      </c>
      <c r="B58" s="80" t="s">
        <v>1128</v>
      </c>
      <c r="C58" s="80" t="s">
        <v>606</v>
      </c>
      <c r="D58" s="80" t="s">
        <v>610</v>
      </c>
      <c r="E58" s="81" t="s">
        <v>34</v>
      </c>
      <c r="F58" s="81" t="s">
        <v>81</v>
      </c>
      <c r="G58" s="80" t="s">
        <v>1264</v>
      </c>
      <c r="H58" s="81" t="s">
        <v>37</v>
      </c>
      <c r="I58" s="80" t="s">
        <v>1197</v>
      </c>
      <c r="J58" s="80"/>
      <c r="K58" s="81" t="s">
        <v>1136</v>
      </c>
      <c r="L58" s="81"/>
      <c r="M58" s="81"/>
      <c r="N58" s="80"/>
      <c r="O58" s="227"/>
      <c r="P58" s="81" t="s">
        <v>64</v>
      </c>
      <c r="Q58" s="80" t="s">
        <v>1265</v>
      </c>
      <c r="R58" s="80" t="s">
        <v>1266</v>
      </c>
      <c r="S58" s="80" t="s">
        <v>1267</v>
      </c>
      <c r="T58" s="82"/>
      <c r="U58" s="54"/>
      <c r="V58" s="104"/>
    </row>
    <row r="59" spans="1:22" ht="16" x14ac:dyDescent="0.2">
      <c r="A59" s="8">
        <v>5176</v>
      </c>
      <c r="B59" s="80" t="s">
        <v>1128</v>
      </c>
      <c r="C59" s="80" t="s">
        <v>606</v>
      </c>
      <c r="D59" s="80" t="s">
        <v>610</v>
      </c>
      <c r="E59" s="81" t="s">
        <v>180</v>
      </c>
      <c r="F59" s="81" t="s">
        <v>81</v>
      </c>
      <c r="G59" s="80" t="s">
        <v>1268</v>
      </c>
      <c r="H59" s="81" t="s">
        <v>50</v>
      </c>
      <c r="I59" s="80" t="s">
        <v>1260</v>
      </c>
      <c r="J59" s="80"/>
      <c r="K59" s="81" t="s">
        <v>1229</v>
      </c>
      <c r="L59" s="81"/>
      <c r="M59" s="81"/>
      <c r="N59" s="80"/>
      <c r="O59" s="227"/>
      <c r="P59" s="81" t="s">
        <v>64</v>
      </c>
      <c r="Q59" s="80" t="s">
        <v>1269</v>
      </c>
      <c r="R59" s="80" t="s">
        <v>1270</v>
      </c>
      <c r="S59" s="80" t="s">
        <v>1271</v>
      </c>
      <c r="T59" s="82"/>
      <c r="U59" s="54"/>
      <c r="V59" s="104"/>
    </row>
    <row r="60" spans="1:22" ht="16" x14ac:dyDescent="0.2">
      <c r="A60" s="8">
        <v>5177</v>
      </c>
      <c r="B60" s="80" t="s">
        <v>1128</v>
      </c>
      <c r="C60" s="80" t="s">
        <v>606</v>
      </c>
      <c r="D60" s="80" t="s">
        <v>610</v>
      </c>
      <c r="E60" s="81" t="s">
        <v>180</v>
      </c>
      <c r="F60" s="81" t="s">
        <v>81</v>
      </c>
      <c r="G60" s="80" t="s">
        <v>1272</v>
      </c>
      <c r="H60" s="81" t="s">
        <v>37</v>
      </c>
      <c r="I60" s="80" t="s">
        <v>246</v>
      </c>
      <c r="J60" s="80"/>
      <c r="K60" s="81" t="s">
        <v>1136</v>
      </c>
      <c r="L60" s="81"/>
      <c r="M60" s="81"/>
      <c r="N60" s="80"/>
      <c r="O60" s="227"/>
      <c r="P60" s="81" t="s">
        <v>64</v>
      </c>
      <c r="Q60" s="80" t="s">
        <v>1273</v>
      </c>
      <c r="R60" s="80" t="s">
        <v>1274</v>
      </c>
      <c r="S60" s="80" t="s">
        <v>1275</v>
      </c>
      <c r="T60" s="82"/>
      <c r="U60" s="54"/>
      <c r="V60" s="104"/>
    </row>
    <row r="61" spans="1:22" ht="16" x14ac:dyDescent="0.2">
      <c r="A61" s="8">
        <v>5212</v>
      </c>
      <c r="B61" s="9" t="s">
        <v>1128</v>
      </c>
      <c r="C61" s="9" t="s">
        <v>750</v>
      </c>
      <c r="D61" s="9" t="s">
        <v>751</v>
      </c>
      <c r="E61" s="10" t="s">
        <v>34</v>
      </c>
      <c r="F61" s="11" t="s">
        <v>117</v>
      </c>
      <c r="G61" s="9" t="s">
        <v>1276</v>
      </c>
      <c r="H61" s="11" t="s">
        <v>50</v>
      </c>
      <c r="I61" s="10"/>
      <c r="J61" s="10"/>
      <c r="K61" s="13" t="s">
        <v>1131</v>
      </c>
      <c r="L61" s="10"/>
      <c r="M61" s="10"/>
      <c r="N61" s="9"/>
      <c r="O61" s="9"/>
      <c r="P61" s="10" t="s">
        <v>64</v>
      </c>
      <c r="Q61" s="9" t="s">
        <v>761</v>
      </c>
      <c r="R61" s="9"/>
      <c r="S61" s="9"/>
      <c r="T61" s="9"/>
      <c r="U61" s="9"/>
      <c r="V61" s="104"/>
    </row>
    <row r="62" spans="1:22" ht="32" x14ac:dyDescent="0.2">
      <c r="A62" s="8">
        <v>5213</v>
      </c>
      <c r="B62" s="9" t="s">
        <v>1128</v>
      </c>
      <c r="C62" s="9" t="s">
        <v>750</v>
      </c>
      <c r="D62" s="9" t="s">
        <v>751</v>
      </c>
      <c r="E62" s="10" t="s">
        <v>34</v>
      </c>
      <c r="F62" s="11" t="s">
        <v>138</v>
      </c>
      <c r="G62" s="9" t="s">
        <v>1277</v>
      </c>
      <c r="H62" s="11" t="s">
        <v>37</v>
      </c>
      <c r="I62" s="10"/>
      <c r="J62" s="10"/>
      <c r="K62" s="13" t="s">
        <v>1131</v>
      </c>
      <c r="L62" s="10"/>
      <c r="M62" s="10"/>
      <c r="N62" s="9"/>
      <c r="O62" s="9"/>
      <c r="P62" s="10" t="s">
        <v>64</v>
      </c>
      <c r="Q62" s="9" t="s">
        <v>1278</v>
      </c>
      <c r="R62" s="9"/>
      <c r="S62" s="9"/>
      <c r="T62" s="9"/>
      <c r="U62" s="9"/>
      <c r="V62" s="104"/>
    </row>
    <row r="63" spans="1:22" s="27" customFormat="1" ht="16" x14ac:dyDescent="0.2">
      <c r="A63" s="8">
        <v>5366</v>
      </c>
      <c r="B63" s="9" t="s">
        <v>77</v>
      </c>
      <c r="C63" s="9" t="s">
        <v>303</v>
      </c>
      <c r="D63" s="54" t="s">
        <v>307</v>
      </c>
      <c r="E63" s="10" t="s">
        <v>34</v>
      </c>
      <c r="F63" s="11" t="s">
        <v>117</v>
      </c>
      <c r="G63" s="12" t="s">
        <v>1279</v>
      </c>
      <c r="H63" s="70" t="s">
        <v>359</v>
      </c>
      <c r="I63" s="208"/>
      <c r="J63" s="208"/>
      <c r="K63" s="13" t="s">
        <v>1131</v>
      </c>
      <c r="L63" s="10"/>
      <c r="M63" s="10"/>
      <c r="N63" s="9"/>
      <c r="O63" s="9"/>
      <c r="P63" s="10" t="s">
        <v>132</v>
      </c>
      <c r="Q63" s="9" t="s">
        <v>1280</v>
      </c>
      <c r="R63" s="9"/>
      <c r="S63" s="102" t="s">
        <v>1281</v>
      </c>
      <c r="T63" s="54"/>
      <c r="U63" s="83" t="s">
        <v>120</v>
      </c>
      <c r="V63" s="380"/>
    </row>
    <row r="64" spans="1:22" s="27" customFormat="1" ht="16" x14ac:dyDescent="0.2">
      <c r="A64" s="8">
        <v>5373</v>
      </c>
      <c r="B64" s="9" t="s">
        <v>77</v>
      </c>
      <c r="C64" s="9" t="s">
        <v>303</v>
      </c>
      <c r="D64" s="54" t="s">
        <v>307</v>
      </c>
      <c r="E64" s="10" t="s">
        <v>34</v>
      </c>
      <c r="F64" s="11" t="s">
        <v>117</v>
      </c>
      <c r="G64" s="12" t="s">
        <v>1279</v>
      </c>
      <c r="H64" s="70" t="s">
        <v>359</v>
      </c>
      <c r="I64" s="208"/>
      <c r="J64" s="208"/>
      <c r="K64" s="13" t="s">
        <v>1131</v>
      </c>
      <c r="L64" s="10"/>
      <c r="M64" s="10"/>
      <c r="N64" s="9"/>
      <c r="O64" s="9"/>
      <c r="P64" s="10" t="s">
        <v>159</v>
      </c>
      <c r="Q64" s="9" t="s">
        <v>1282</v>
      </c>
      <c r="R64" s="9"/>
      <c r="S64" s="102" t="s">
        <v>1281</v>
      </c>
      <c r="T64" s="54"/>
      <c r="U64" s="83" t="s">
        <v>120</v>
      </c>
      <c r="V64" s="380"/>
    </row>
    <row r="65" spans="1:22" s="27" customFormat="1" ht="16" x14ac:dyDescent="0.2">
      <c r="A65" s="8">
        <v>5049</v>
      </c>
      <c r="B65" s="9" t="s">
        <v>77</v>
      </c>
      <c r="C65" s="9" t="s">
        <v>122</v>
      </c>
      <c r="D65" s="54" t="s">
        <v>134</v>
      </c>
      <c r="E65" s="10" t="s">
        <v>34</v>
      </c>
      <c r="F65" s="10" t="s">
        <v>81</v>
      </c>
      <c r="G65" s="12" t="s">
        <v>252</v>
      </c>
      <c r="H65" s="10" t="s">
        <v>37</v>
      </c>
      <c r="I65" s="10"/>
      <c r="J65" s="10"/>
      <c r="K65" s="10" t="s">
        <v>1131</v>
      </c>
      <c r="L65" s="10"/>
      <c r="M65" s="10"/>
      <c r="N65" s="54"/>
      <c r="O65" s="54"/>
      <c r="P65" s="10" t="s">
        <v>159</v>
      </c>
      <c r="Q65" s="9" t="s">
        <v>1283</v>
      </c>
      <c r="R65" s="9"/>
      <c r="S65" s="54"/>
      <c r="T65" s="54"/>
      <c r="U65" s="83" t="s">
        <v>120</v>
      </c>
      <c r="V65" s="380"/>
    </row>
    <row r="66" spans="1:22" s="27" customFormat="1" ht="16" x14ac:dyDescent="0.2">
      <c r="A66" s="8">
        <v>5053</v>
      </c>
      <c r="B66" s="9" t="s">
        <v>77</v>
      </c>
      <c r="C66" s="9" t="s">
        <v>122</v>
      </c>
      <c r="D66" s="54" t="s">
        <v>1284</v>
      </c>
      <c r="E66" s="10" t="s">
        <v>34</v>
      </c>
      <c r="F66" s="10" t="s">
        <v>98</v>
      </c>
      <c r="G66" s="12" t="s">
        <v>1285</v>
      </c>
      <c r="H66" s="10" t="s">
        <v>50</v>
      </c>
      <c r="I66" s="10"/>
      <c r="J66" s="10"/>
      <c r="K66" s="10" t="s">
        <v>1131</v>
      </c>
      <c r="L66" s="48"/>
      <c r="M66" s="48"/>
      <c r="N66" s="54"/>
      <c r="O66" s="54"/>
      <c r="P66" s="10" t="s">
        <v>159</v>
      </c>
      <c r="Q66" s="9" t="s">
        <v>1286</v>
      </c>
      <c r="R66" s="9"/>
      <c r="S66" s="54"/>
      <c r="T66" s="54"/>
      <c r="U66" s="209" t="s">
        <v>269</v>
      </c>
      <c r="V66" s="380"/>
    </row>
    <row r="67" spans="1:22" s="27" customFormat="1" ht="16" x14ac:dyDescent="0.2">
      <c r="A67" s="8">
        <v>5054</v>
      </c>
      <c r="B67" s="9" t="s">
        <v>77</v>
      </c>
      <c r="C67" s="9" t="s">
        <v>122</v>
      </c>
      <c r="D67" s="54" t="s">
        <v>134</v>
      </c>
      <c r="E67" s="10" t="s">
        <v>34</v>
      </c>
      <c r="F67" s="10" t="s">
        <v>138</v>
      </c>
      <c r="G67" s="12" t="s">
        <v>194</v>
      </c>
      <c r="H67" s="10" t="s">
        <v>50</v>
      </c>
      <c r="I67" s="10"/>
      <c r="J67" s="10"/>
      <c r="K67" s="10" t="s">
        <v>1131</v>
      </c>
      <c r="L67" s="10"/>
      <c r="M67" s="10"/>
      <c r="N67" s="54"/>
      <c r="O67" s="54"/>
      <c r="P67" s="10" t="s">
        <v>159</v>
      </c>
      <c r="Q67" s="9" t="s">
        <v>1287</v>
      </c>
      <c r="R67" s="9"/>
      <c r="S67" s="54"/>
      <c r="T67" s="54"/>
      <c r="U67" s="209" t="s">
        <v>269</v>
      </c>
      <c r="V67" s="380"/>
    </row>
    <row r="68" spans="1:22" s="27" customFormat="1" ht="16" x14ac:dyDescent="0.2">
      <c r="A68" s="8">
        <v>5055</v>
      </c>
      <c r="B68" s="9" t="s">
        <v>77</v>
      </c>
      <c r="C68" s="9" t="s">
        <v>122</v>
      </c>
      <c r="D68" s="54" t="s">
        <v>134</v>
      </c>
      <c r="E68" s="10" t="s">
        <v>34</v>
      </c>
      <c r="F68" s="10" t="s">
        <v>138</v>
      </c>
      <c r="G68" s="12" t="s">
        <v>194</v>
      </c>
      <c r="H68" s="10" t="s">
        <v>50</v>
      </c>
      <c r="I68" s="10"/>
      <c r="J68" s="10"/>
      <c r="K68" s="10" t="s">
        <v>1131</v>
      </c>
      <c r="L68" s="10"/>
      <c r="M68" s="10"/>
      <c r="N68" s="54"/>
      <c r="O68" s="54"/>
      <c r="P68" s="10" t="s">
        <v>159</v>
      </c>
      <c r="Q68" s="9" t="s">
        <v>1288</v>
      </c>
      <c r="R68" s="9"/>
      <c r="S68" s="54"/>
      <c r="T68" s="54"/>
      <c r="U68" s="209" t="s">
        <v>269</v>
      </c>
      <c r="V68" s="380"/>
    </row>
    <row r="69" spans="1:22" s="27" customFormat="1" ht="16" x14ac:dyDescent="0.2">
      <c r="A69" s="8">
        <v>5058</v>
      </c>
      <c r="B69" s="9" t="s">
        <v>77</v>
      </c>
      <c r="C69" s="9" t="s">
        <v>122</v>
      </c>
      <c r="D69" s="54" t="s">
        <v>134</v>
      </c>
      <c r="E69" s="10" t="s">
        <v>34</v>
      </c>
      <c r="F69" s="10" t="s">
        <v>197</v>
      </c>
      <c r="G69" s="12" t="s">
        <v>198</v>
      </c>
      <c r="H69" s="10" t="s">
        <v>50</v>
      </c>
      <c r="I69" s="10"/>
      <c r="J69" s="10"/>
      <c r="K69" s="10" t="s">
        <v>1131</v>
      </c>
      <c r="L69" s="10"/>
      <c r="M69" s="10"/>
      <c r="N69" s="54"/>
      <c r="O69" s="54"/>
      <c r="P69" s="10" t="s">
        <v>159</v>
      </c>
      <c r="Q69" s="9" t="s">
        <v>1289</v>
      </c>
      <c r="R69" s="9"/>
      <c r="S69" s="54"/>
      <c r="T69" s="54"/>
      <c r="U69" s="209" t="s">
        <v>269</v>
      </c>
      <c r="V69" s="380"/>
    </row>
    <row r="70" spans="1:22" s="27" customFormat="1" ht="16" x14ac:dyDescent="0.2">
      <c r="A70" s="8">
        <v>5059</v>
      </c>
      <c r="B70" s="9" t="s">
        <v>77</v>
      </c>
      <c r="C70" s="9" t="s">
        <v>122</v>
      </c>
      <c r="D70" s="54" t="s">
        <v>134</v>
      </c>
      <c r="E70" s="10" t="s">
        <v>34</v>
      </c>
      <c r="F70" s="10" t="s">
        <v>81</v>
      </c>
      <c r="G70" s="12" t="s">
        <v>252</v>
      </c>
      <c r="H70" s="10" t="s">
        <v>50</v>
      </c>
      <c r="I70" s="10"/>
      <c r="J70" s="10"/>
      <c r="K70" s="10" t="s">
        <v>1131</v>
      </c>
      <c r="L70" s="10"/>
      <c r="M70" s="10"/>
      <c r="N70" s="54"/>
      <c r="O70" s="54"/>
      <c r="P70" s="10" t="s">
        <v>159</v>
      </c>
      <c r="Q70" s="9" t="s">
        <v>1290</v>
      </c>
      <c r="R70" s="9"/>
      <c r="S70" s="54"/>
      <c r="T70" s="54"/>
      <c r="U70" s="209" t="s">
        <v>269</v>
      </c>
      <c r="V70" s="380"/>
    </row>
    <row r="71" spans="1:22" s="27" customFormat="1" ht="16" x14ac:dyDescent="0.2">
      <c r="A71" s="8">
        <v>5060</v>
      </c>
      <c r="B71" s="9" t="s">
        <v>77</v>
      </c>
      <c r="C71" s="9" t="s">
        <v>122</v>
      </c>
      <c r="D71" s="54" t="s">
        <v>134</v>
      </c>
      <c r="E71" s="10" t="s">
        <v>34</v>
      </c>
      <c r="F71" s="10" t="s">
        <v>138</v>
      </c>
      <c r="G71" s="12" t="s">
        <v>194</v>
      </c>
      <c r="H71" s="10" t="s">
        <v>50</v>
      </c>
      <c r="I71" s="10"/>
      <c r="J71" s="10"/>
      <c r="K71" s="10" t="s">
        <v>1131</v>
      </c>
      <c r="L71" s="10"/>
      <c r="M71" s="10"/>
      <c r="N71" s="54"/>
      <c r="O71" s="54"/>
      <c r="P71" s="10" t="s">
        <v>159</v>
      </c>
      <c r="Q71" s="9" t="s">
        <v>1291</v>
      </c>
      <c r="R71" s="9"/>
      <c r="S71" s="54"/>
      <c r="T71" s="54"/>
      <c r="U71" s="209" t="s">
        <v>269</v>
      </c>
      <c r="V71" s="380"/>
    </row>
    <row r="72" spans="1:22" s="27" customFormat="1" ht="16" x14ac:dyDescent="0.2">
      <c r="A72" s="8">
        <v>5061</v>
      </c>
      <c r="B72" s="9" t="s">
        <v>77</v>
      </c>
      <c r="C72" s="9" t="s">
        <v>122</v>
      </c>
      <c r="D72" s="54" t="s">
        <v>134</v>
      </c>
      <c r="E72" s="10" t="s">
        <v>34</v>
      </c>
      <c r="F72" s="10" t="s">
        <v>197</v>
      </c>
      <c r="G72" s="12" t="s">
        <v>198</v>
      </c>
      <c r="H72" s="10" t="s">
        <v>50</v>
      </c>
      <c r="I72" s="10"/>
      <c r="J72" s="10"/>
      <c r="K72" s="10" t="s">
        <v>1131</v>
      </c>
      <c r="L72" s="10"/>
      <c r="M72" s="10"/>
      <c r="N72" s="54"/>
      <c r="O72" s="54"/>
      <c r="P72" s="10" t="s">
        <v>159</v>
      </c>
      <c r="Q72" s="9" t="s">
        <v>1292</v>
      </c>
      <c r="R72" s="9"/>
      <c r="S72" s="54"/>
      <c r="T72" s="54"/>
      <c r="U72" s="209" t="s">
        <v>269</v>
      </c>
      <c r="V72" s="380"/>
    </row>
    <row r="73" spans="1:22" s="27" customFormat="1" ht="32" x14ac:dyDescent="0.2">
      <c r="A73" s="8">
        <v>5065</v>
      </c>
      <c r="B73" s="9" t="s">
        <v>77</v>
      </c>
      <c r="C73" s="9" t="s">
        <v>122</v>
      </c>
      <c r="D73" s="54" t="s">
        <v>134</v>
      </c>
      <c r="E73" s="10" t="s">
        <v>34</v>
      </c>
      <c r="F73" s="10" t="s">
        <v>58</v>
      </c>
      <c r="G73" s="12" t="s">
        <v>1293</v>
      </c>
      <c r="H73" s="10" t="s">
        <v>50</v>
      </c>
      <c r="I73" s="10"/>
      <c r="J73" s="10"/>
      <c r="K73" s="10" t="s">
        <v>1131</v>
      </c>
      <c r="L73" s="10"/>
      <c r="M73" s="10"/>
      <c r="N73" s="54"/>
      <c r="O73" s="54"/>
      <c r="P73" s="10" t="s">
        <v>1294</v>
      </c>
      <c r="Q73" s="9" t="s">
        <v>1295</v>
      </c>
      <c r="R73" s="9"/>
      <c r="S73" s="54"/>
      <c r="T73" s="54"/>
      <c r="U73" s="209" t="s">
        <v>269</v>
      </c>
      <c r="V73" s="380"/>
    </row>
    <row r="74" spans="1:22" s="27" customFormat="1" ht="16" x14ac:dyDescent="0.2">
      <c r="A74" s="8">
        <v>5072</v>
      </c>
      <c r="B74" s="9" t="s">
        <v>77</v>
      </c>
      <c r="C74" s="9" t="s">
        <v>122</v>
      </c>
      <c r="D74" s="54" t="s">
        <v>134</v>
      </c>
      <c r="E74" s="10" t="s">
        <v>34</v>
      </c>
      <c r="F74" s="10" t="s">
        <v>98</v>
      </c>
      <c r="G74" s="12" t="s">
        <v>1296</v>
      </c>
      <c r="H74" s="10" t="s">
        <v>50</v>
      </c>
      <c r="I74" s="10"/>
      <c r="J74" s="10"/>
      <c r="K74" s="10" t="s">
        <v>1131</v>
      </c>
      <c r="L74" s="10"/>
      <c r="M74" s="10"/>
      <c r="N74" s="54"/>
      <c r="O74" s="54"/>
      <c r="P74" s="10" t="s">
        <v>64</v>
      </c>
      <c r="Q74" s="9"/>
      <c r="R74" s="91"/>
      <c r="S74" s="90"/>
      <c r="T74" s="54"/>
      <c r="U74" s="9"/>
      <c r="V74" s="380"/>
    </row>
    <row r="75" spans="1:22" s="27" customFormat="1" ht="16" x14ac:dyDescent="0.2">
      <c r="A75" s="8">
        <v>5076</v>
      </c>
      <c r="B75" s="9" t="s">
        <v>77</v>
      </c>
      <c r="C75" s="9" t="s">
        <v>122</v>
      </c>
      <c r="D75" s="54" t="s">
        <v>134</v>
      </c>
      <c r="E75" s="10" t="s">
        <v>34</v>
      </c>
      <c r="F75" s="10" t="s">
        <v>197</v>
      </c>
      <c r="G75" s="12" t="s">
        <v>198</v>
      </c>
      <c r="H75" s="10" t="s">
        <v>50</v>
      </c>
      <c r="I75" s="10"/>
      <c r="J75" s="10"/>
      <c r="K75" s="10" t="s">
        <v>1131</v>
      </c>
      <c r="L75" s="10"/>
      <c r="M75" s="10"/>
      <c r="N75" s="54"/>
      <c r="O75" s="54"/>
      <c r="P75" s="10" t="s">
        <v>64</v>
      </c>
      <c r="Q75" s="9" t="s">
        <v>1297</v>
      </c>
      <c r="R75" s="9"/>
      <c r="S75" s="54"/>
      <c r="T75" s="54"/>
      <c r="U75" s="9"/>
      <c r="V75" s="380"/>
    </row>
    <row r="76" spans="1:22" s="27" customFormat="1" ht="16" x14ac:dyDescent="0.2">
      <c r="A76" s="8">
        <v>5081</v>
      </c>
      <c r="B76" s="9" t="s">
        <v>77</v>
      </c>
      <c r="C76" s="9" t="s">
        <v>122</v>
      </c>
      <c r="D76" s="54" t="s">
        <v>134</v>
      </c>
      <c r="E76" s="10" t="s">
        <v>34</v>
      </c>
      <c r="F76" s="10" t="s">
        <v>117</v>
      </c>
      <c r="G76" s="12" t="s">
        <v>250</v>
      </c>
      <c r="H76" s="48" t="s">
        <v>50</v>
      </c>
      <c r="I76" s="10"/>
      <c r="J76" s="10"/>
      <c r="K76" s="10" t="s">
        <v>1131</v>
      </c>
      <c r="L76" s="10"/>
      <c r="M76" s="10"/>
      <c r="N76" s="54"/>
      <c r="O76" s="54"/>
      <c r="P76" s="10" t="s">
        <v>64</v>
      </c>
      <c r="Q76" s="9"/>
      <c r="R76" s="9"/>
      <c r="S76" s="54"/>
      <c r="T76" s="54"/>
      <c r="U76" s="9"/>
      <c r="V76" s="380"/>
    </row>
    <row r="77" spans="1:22" s="27" customFormat="1" ht="16" x14ac:dyDescent="0.2">
      <c r="A77" s="8">
        <v>5082</v>
      </c>
      <c r="B77" s="9" t="s">
        <v>77</v>
      </c>
      <c r="C77" s="9" t="s">
        <v>122</v>
      </c>
      <c r="D77" s="54" t="s">
        <v>134</v>
      </c>
      <c r="E77" s="10" t="s">
        <v>34</v>
      </c>
      <c r="F77" s="10" t="s">
        <v>81</v>
      </c>
      <c r="G77" s="12" t="s">
        <v>253</v>
      </c>
      <c r="H77" s="48" t="s">
        <v>50</v>
      </c>
      <c r="I77" s="10"/>
      <c r="J77" s="10"/>
      <c r="K77" s="10" t="s">
        <v>1131</v>
      </c>
      <c r="L77" s="10"/>
      <c r="M77" s="10"/>
      <c r="N77" s="54"/>
      <c r="O77" s="54"/>
      <c r="P77" s="10" t="s">
        <v>64</v>
      </c>
      <c r="Q77" s="9"/>
      <c r="R77" s="9"/>
      <c r="S77" s="54"/>
      <c r="T77" s="54"/>
      <c r="U77" s="9"/>
      <c r="V77" s="380"/>
    </row>
    <row r="78" spans="1:22" s="27" customFormat="1" ht="16" x14ac:dyDescent="0.2">
      <c r="A78" s="8">
        <v>5084</v>
      </c>
      <c r="B78" s="9" t="s">
        <v>77</v>
      </c>
      <c r="C78" s="9" t="s">
        <v>122</v>
      </c>
      <c r="D78" s="54" t="s">
        <v>134</v>
      </c>
      <c r="E78" s="10" t="s">
        <v>34</v>
      </c>
      <c r="F78" s="10" t="s">
        <v>58</v>
      </c>
      <c r="G78" s="12" t="s">
        <v>1298</v>
      </c>
      <c r="H78" s="10" t="s">
        <v>50</v>
      </c>
      <c r="I78" s="10"/>
      <c r="J78" s="10"/>
      <c r="K78" s="10" t="s">
        <v>1131</v>
      </c>
      <c r="L78" s="10"/>
      <c r="M78" s="10"/>
      <c r="N78" s="54"/>
      <c r="O78" s="54"/>
      <c r="P78" s="10" t="s">
        <v>64</v>
      </c>
      <c r="Q78" s="9"/>
      <c r="R78" s="9"/>
      <c r="S78" s="54"/>
      <c r="T78" s="54"/>
      <c r="U78" s="9"/>
      <c r="V78" s="380"/>
    </row>
    <row r="79" spans="1:22" s="27" customFormat="1" ht="16" x14ac:dyDescent="0.2">
      <c r="A79" s="8">
        <v>5099</v>
      </c>
      <c r="B79" s="9" t="s">
        <v>77</v>
      </c>
      <c r="C79" s="9" t="s">
        <v>122</v>
      </c>
      <c r="D79" s="54" t="s">
        <v>134</v>
      </c>
      <c r="E79" s="10" t="s">
        <v>34</v>
      </c>
      <c r="F79" s="10" t="s">
        <v>138</v>
      </c>
      <c r="G79" s="12" t="s">
        <v>194</v>
      </c>
      <c r="H79" s="48" t="s">
        <v>50</v>
      </c>
      <c r="I79" s="10" t="s">
        <v>1299</v>
      </c>
      <c r="J79" s="10"/>
      <c r="K79" s="10" t="s">
        <v>1131</v>
      </c>
      <c r="L79" s="10"/>
      <c r="M79" s="10"/>
      <c r="N79" s="54"/>
      <c r="O79" s="54"/>
      <c r="P79" s="10" t="s">
        <v>128</v>
      </c>
      <c r="Q79" s="9" t="s">
        <v>1300</v>
      </c>
      <c r="R79" s="9"/>
      <c r="S79" s="54"/>
      <c r="T79" s="54"/>
      <c r="U79" s="9"/>
      <c r="V79" s="380"/>
    </row>
    <row r="80" spans="1:22" s="27" customFormat="1" ht="16" x14ac:dyDescent="0.2">
      <c r="A80" s="8">
        <v>5100</v>
      </c>
      <c r="B80" s="9" t="s">
        <v>77</v>
      </c>
      <c r="C80" s="9" t="s">
        <v>122</v>
      </c>
      <c r="D80" s="54" t="s">
        <v>134</v>
      </c>
      <c r="E80" s="10" t="s">
        <v>34</v>
      </c>
      <c r="F80" s="10" t="s">
        <v>197</v>
      </c>
      <c r="G80" s="12" t="s">
        <v>198</v>
      </c>
      <c r="H80" s="10" t="s">
        <v>50</v>
      </c>
      <c r="I80" s="10"/>
      <c r="J80" s="10"/>
      <c r="K80" s="10" t="s">
        <v>1131</v>
      </c>
      <c r="L80" s="10"/>
      <c r="M80" s="10"/>
      <c r="N80" s="54"/>
      <c r="O80" s="54"/>
      <c r="P80" s="10" t="s">
        <v>128</v>
      </c>
      <c r="Q80" s="9" t="s">
        <v>1301</v>
      </c>
      <c r="R80" s="9"/>
      <c r="S80" s="54"/>
      <c r="T80" s="54"/>
      <c r="U80" s="9"/>
      <c r="V80" s="380"/>
    </row>
    <row r="81" spans="1:22" s="27" customFormat="1" ht="16" x14ac:dyDescent="0.2">
      <c r="A81" s="8">
        <v>5101</v>
      </c>
      <c r="B81" s="9" t="s">
        <v>77</v>
      </c>
      <c r="C81" s="9" t="s">
        <v>122</v>
      </c>
      <c r="D81" s="54" t="s">
        <v>134</v>
      </c>
      <c r="E81" s="10" t="s">
        <v>34</v>
      </c>
      <c r="F81" s="10" t="s">
        <v>81</v>
      </c>
      <c r="G81" s="12" t="s">
        <v>252</v>
      </c>
      <c r="H81" s="10" t="s">
        <v>50</v>
      </c>
      <c r="I81" s="10"/>
      <c r="J81" s="10"/>
      <c r="K81" s="10" t="s">
        <v>1131</v>
      </c>
      <c r="L81" s="10"/>
      <c r="M81" s="10"/>
      <c r="N81" s="54"/>
      <c r="O81" s="54"/>
      <c r="P81" s="10" t="s">
        <v>128</v>
      </c>
      <c r="Q81" s="9" t="s">
        <v>1302</v>
      </c>
      <c r="R81" s="9"/>
      <c r="S81" s="54"/>
      <c r="T81" s="54"/>
      <c r="U81" s="9"/>
      <c r="V81" s="380"/>
    </row>
    <row r="82" spans="1:22" s="27" customFormat="1" ht="16" x14ac:dyDescent="0.2">
      <c r="A82" s="8">
        <v>5106</v>
      </c>
      <c r="B82" s="9" t="s">
        <v>77</v>
      </c>
      <c r="C82" s="9" t="s">
        <v>122</v>
      </c>
      <c r="D82" s="54" t="s">
        <v>134</v>
      </c>
      <c r="E82" s="10" t="s">
        <v>34</v>
      </c>
      <c r="F82" s="10" t="s">
        <v>138</v>
      </c>
      <c r="G82" s="12" t="s">
        <v>194</v>
      </c>
      <c r="H82" s="10" t="s">
        <v>50</v>
      </c>
      <c r="I82" s="10"/>
      <c r="J82" s="10"/>
      <c r="K82" s="10" t="s">
        <v>1131</v>
      </c>
      <c r="L82" s="10"/>
      <c r="M82" s="10"/>
      <c r="N82" s="54"/>
      <c r="O82" s="54"/>
      <c r="P82" s="10" t="s">
        <v>64</v>
      </c>
      <c r="Q82" s="9" t="s">
        <v>1297</v>
      </c>
      <c r="R82" s="9"/>
      <c r="S82" s="54"/>
      <c r="T82" s="54"/>
      <c r="U82" s="9"/>
      <c r="V82" s="380"/>
    </row>
    <row r="83" spans="1:22" s="27" customFormat="1" ht="16" x14ac:dyDescent="0.2">
      <c r="A83" s="8">
        <v>5056</v>
      </c>
      <c r="B83" s="9" t="s">
        <v>77</v>
      </c>
      <c r="C83" s="9" t="s">
        <v>122</v>
      </c>
      <c r="D83" s="54" t="s">
        <v>134</v>
      </c>
      <c r="E83" s="10" t="s">
        <v>180</v>
      </c>
      <c r="F83" s="10" t="s">
        <v>81</v>
      </c>
      <c r="G83" s="12" t="s">
        <v>210</v>
      </c>
      <c r="H83" s="10" t="s">
        <v>50</v>
      </c>
      <c r="I83" s="95"/>
      <c r="J83" s="95"/>
      <c r="K83" s="10" t="s">
        <v>1131</v>
      </c>
      <c r="L83" s="10"/>
      <c r="M83" s="10"/>
      <c r="N83" s="54"/>
      <c r="O83" s="54"/>
      <c r="P83" s="10" t="s">
        <v>159</v>
      </c>
      <c r="Q83" s="9" t="s">
        <v>1303</v>
      </c>
      <c r="R83" s="9"/>
      <c r="S83" s="54"/>
      <c r="T83" s="54"/>
      <c r="U83" s="209" t="s">
        <v>269</v>
      </c>
      <c r="V83" s="380"/>
    </row>
    <row r="84" spans="1:22" s="27" customFormat="1" ht="16" x14ac:dyDescent="0.2">
      <c r="A84" s="8">
        <v>5078</v>
      </c>
      <c r="B84" s="9" t="s">
        <v>77</v>
      </c>
      <c r="C84" s="9" t="s">
        <v>122</v>
      </c>
      <c r="D84" s="54" t="s">
        <v>234</v>
      </c>
      <c r="E84" s="10" t="s">
        <v>180</v>
      </c>
      <c r="F84" s="10" t="s">
        <v>197</v>
      </c>
      <c r="G84" s="12" t="s">
        <v>1304</v>
      </c>
      <c r="H84" s="10" t="s">
        <v>50</v>
      </c>
      <c r="I84" s="10"/>
      <c r="J84" s="10"/>
      <c r="K84" s="10" t="s">
        <v>1131</v>
      </c>
      <c r="L84" s="10"/>
      <c r="M84" s="10"/>
      <c r="N84" s="54"/>
      <c r="O84" s="54"/>
      <c r="P84" s="10" t="s">
        <v>64</v>
      </c>
      <c r="Q84" s="9"/>
      <c r="R84" s="9"/>
      <c r="S84" s="54"/>
      <c r="T84" s="54"/>
      <c r="U84" s="83" t="s">
        <v>120</v>
      </c>
      <c r="V84" s="380"/>
    </row>
    <row r="85" spans="1:22" s="27" customFormat="1" ht="48" x14ac:dyDescent="0.2">
      <c r="A85" s="8">
        <v>5044</v>
      </c>
      <c r="B85" s="9" t="s">
        <v>77</v>
      </c>
      <c r="C85" s="9" t="s">
        <v>256</v>
      </c>
      <c r="D85" s="54" t="s">
        <v>144</v>
      </c>
      <c r="E85" s="10" t="s">
        <v>34</v>
      </c>
      <c r="F85" s="11" t="s">
        <v>48</v>
      </c>
      <c r="G85" s="12" t="s">
        <v>1305</v>
      </c>
      <c r="H85" s="214" t="s">
        <v>50</v>
      </c>
      <c r="I85" s="10" t="s">
        <v>265</v>
      </c>
      <c r="J85" s="10"/>
      <c r="K85" s="13" t="s">
        <v>1131</v>
      </c>
      <c r="L85" s="10"/>
      <c r="M85" s="10"/>
      <c r="N85" s="54"/>
      <c r="O85" s="54"/>
      <c r="P85" s="10" t="s">
        <v>1306</v>
      </c>
      <c r="Q85" s="347" t="s">
        <v>1307</v>
      </c>
      <c r="R85" s="9" t="s">
        <v>1308</v>
      </c>
      <c r="S85" s="54" t="s">
        <v>1309</v>
      </c>
      <c r="T85" s="54" t="s">
        <v>111</v>
      </c>
      <c r="U85" s="209" t="s">
        <v>269</v>
      </c>
      <c r="V85" s="380"/>
    </row>
    <row r="86" spans="1:22" s="84" customFormat="1" ht="29.25" customHeight="1" x14ac:dyDescent="0.2">
      <c r="A86" s="87">
        <v>5003</v>
      </c>
      <c r="B86" s="86" t="s">
        <v>77</v>
      </c>
      <c r="C86" s="69" t="s">
        <v>303</v>
      </c>
      <c r="D86" s="69" t="s">
        <v>385</v>
      </c>
      <c r="E86" s="87" t="s">
        <v>34</v>
      </c>
      <c r="F86" s="70" t="s">
        <v>138</v>
      </c>
      <c r="G86" s="86" t="s">
        <v>1310</v>
      </c>
      <c r="H86" s="97" t="s">
        <v>359</v>
      </c>
      <c r="I86" s="86"/>
      <c r="J86" s="86"/>
      <c r="K86" s="13" t="s">
        <v>1131</v>
      </c>
      <c r="L86" s="87" t="s">
        <v>1311</v>
      </c>
      <c r="M86" s="87"/>
      <c r="N86" s="86"/>
      <c r="O86" s="86"/>
      <c r="P86" s="87" t="s">
        <v>64</v>
      </c>
      <c r="Q86" s="86" t="s">
        <v>1312</v>
      </c>
      <c r="R86" s="86" t="s">
        <v>1313</v>
      </c>
      <c r="S86" s="86" t="s">
        <v>1314</v>
      </c>
      <c r="T86" s="86"/>
      <c r="U86" s="209" t="s">
        <v>1315</v>
      </c>
      <c r="V86" s="383"/>
    </row>
    <row r="87" spans="1:22" s="84" customFormat="1" ht="32" x14ac:dyDescent="0.2">
      <c r="A87" s="8">
        <v>5027</v>
      </c>
      <c r="B87" s="86" t="s">
        <v>77</v>
      </c>
      <c r="C87" s="69" t="s">
        <v>303</v>
      </c>
      <c r="D87" s="69" t="s">
        <v>373</v>
      </c>
      <c r="E87" s="70" t="s">
        <v>34</v>
      </c>
      <c r="F87" s="87" t="s">
        <v>117</v>
      </c>
      <c r="G87" s="86" t="s">
        <v>401</v>
      </c>
      <c r="H87" s="97" t="s">
        <v>37</v>
      </c>
      <c r="I87" s="86"/>
      <c r="J87" s="86"/>
      <c r="K87" s="13" t="s">
        <v>1131</v>
      </c>
      <c r="L87" s="87" t="s">
        <v>1315</v>
      </c>
      <c r="M87" s="87"/>
      <c r="N87" s="86"/>
      <c r="O87" s="86"/>
      <c r="P87" s="87" t="s">
        <v>159</v>
      </c>
      <c r="Q87" s="96" t="s">
        <v>1316</v>
      </c>
      <c r="R87" s="86" t="s">
        <v>1317</v>
      </c>
      <c r="S87" s="86" t="s">
        <v>1318</v>
      </c>
      <c r="T87" s="86"/>
      <c r="U87" s="209" t="s">
        <v>269</v>
      </c>
      <c r="V87" s="383"/>
    </row>
    <row r="88" spans="1:22" s="94" customFormat="1" ht="32" x14ac:dyDescent="0.2">
      <c r="A88" s="8">
        <v>5030</v>
      </c>
      <c r="B88" s="86" t="s">
        <v>77</v>
      </c>
      <c r="C88" s="69" t="s">
        <v>303</v>
      </c>
      <c r="D88" s="69" t="s">
        <v>373</v>
      </c>
      <c r="E88" s="70" t="s">
        <v>34</v>
      </c>
      <c r="F88" s="87" t="s">
        <v>117</v>
      </c>
      <c r="G88" s="86" t="s">
        <v>401</v>
      </c>
      <c r="H88" s="97" t="s">
        <v>359</v>
      </c>
      <c r="I88" s="86"/>
      <c r="J88" s="86"/>
      <c r="K88" s="13" t="s">
        <v>1131</v>
      </c>
      <c r="L88" s="87" t="s">
        <v>1311</v>
      </c>
      <c r="M88" s="87"/>
      <c r="N88" s="86"/>
      <c r="O88" s="86"/>
      <c r="P88" s="87" t="s">
        <v>159</v>
      </c>
      <c r="Q88" s="86" t="s">
        <v>1319</v>
      </c>
      <c r="R88" s="86" t="s">
        <v>1320</v>
      </c>
      <c r="S88" s="86" t="s">
        <v>1320</v>
      </c>
      <c r="T88" s="86"/>
      <c r="U88" s="209" t="s">
        <v>269</v>
      </c>
      <c r="V88" s="381"/>
    </row>
    <row r="89" spans="1:22" s="27" customFormat="1" ht="32" x14ac:dyDescent="0.2">
      <c r="A89" s="8">
        <v>5034</v>
      </c>
      <c r="B89" s="86" t="s">
        <v>77</v>
      </c>
      <c r="C89" s="69" t="s">
        <v>303</v>
      </c>
      <c r="D89" s="69" t="s">
        <v>373</v>
      </c>
      <c r="E89" s="87" t="s">
        <v>34</v>
      </c>
      <c r="F89" s="70" t="s">
        <v>138</v>
      </c>
      <c r="G89" s="86" t="s">
        <v>1310</v>
      </c>
      <c r="H89" s="97" t="s">
        <v>359</v>
      </c>
      <c r="I89" s="86"/>
      <c r="J89" s="86"/>
      <c r="K89" s="13" t="s">
        <v>1131</v>
      </c>
      <c r="L89" s="46" t="s">
        <v>1311</v>
      </c>
      <c r="M89" s="46"/>
      <c r="N89" s="86"/>
      <c r="O89" s="86"/>
      <c r="P89" s="87" t="s">
        <v>64</v>
      </c>
      <c r="Q89" s="86" t="s">
        <v>1321</v>
      </c>
      <c r="R89" s="86"/>
      <c r="S89" s="86"/>
      <c r="T89" s="86"/>
      <c r="U89" s="86"/>
      <c r="V89" s="380"/>
    </row>
    <row r="90" spans="1:22" s="27" customFormat="1" ht="32" x14ac:dyDescent="0.2">
      <c r="A90" s="8">
        <v>1018</v>
      </c>
      <c r="B90" s="9" t="s">
        <v>77</v>
      </c>
      <c r="C90" s="9" t="s">
        <v>303</v>
      </c>
      <c r="D90" s="54" t="s">
        <v>307</v>
      </c>
      <c r="E90" s="10" t="s">
        <v>34</v>
      </c>
      <c r="F90" s="11" t="s">
        <v>98</v>
      </c>
      <c r="G90" s="12" t="s">
        <v>313</v>
      </c>
      <c r="H90" s="214" t="s">
        <v>37</v>
      </c>
      <c r="I90" s="10"/>
      <c r="J90" s="10"/>
      <c r="K90" s="13" t="s">
        <v>1131</v>
      </c>
      <c r="L90" s="10"/>
      <c r="M90" s="10"/>
      <c r="N90" s="54"/>
      <c r="O90" s="54"/>
      <c r="P90" s="10" t="s">
        <v>64</v>
      </c>
      <c r="Q90" s="9" t="s">
        <v>1322</v>
      </c>
      <c r="R90" s="9"/>
      <c r="S90" s="54"/>
      <c r="T90" s="54" t="s">
        <v>111</v>
      </c>
      <c r="U90" s="54"/>
      <c r="V90" s="380"/>
    </row>
    <row r="91" spans="1:22" s="27" customFormat="1" ht="32" x14ac:dyDescent="0.2">
      <c r="A91" s="8">
        <v>5005</v>
      </c>
      <c r="B91" s="9" t="s">
        <v>77</v>
      </c>
      <c r="C91" s="9" t="s">
        <v>303</v>
      </c>
      <c r="D91" s="54" t="s">
        <v>307</v>
      </c>
      <c r="E91" s="10" t="s">
        <v>34</v>
      </c>
      <c r="F91" s="11" t="s">
        <v>58</v>
      </c>
      <c r="G91" s="12" t="s">
        <v>1323</v>
      </c>
      <c r="H91" s="214" t="s">
        <v>37</v>
      </c>
      <c r="I91" s="208"/>
      <c r="J91" s="208"/>
      <c r="K91" s="13" t="s">
        <v>1131</v>
      </c>
      <c r="L91" s="10"/>
      <c r="M91" s="10"/>
      <c r="N91" s="9"/>
      <c r="O91" s="9"/>
      <c r="P91" s="10" t="s">
        <v>64</v>
      </c>
      <c r="Q91" s="9" t="s">
        <v>1324</v>
      </c>
      <c r="R91" s="9"/>
      <c r="S91" s="54"/>
      <c r="T91" s="54"/>
      <c r="U91" s="89" t="s">
        <v>445</v>
      </c>
      <c r="V91" s="380"/>
    </row>
    <row r="92" spans="1:22" s="27" customFormat="1" ht="16" x14ac:dyDescent="0.2">
      <c r="A92" s="215">
        <v>5007</v>
      </c>
      <c r="B92" s="9" t="s">
        <v>77</v>
      </c>
      <c r="C92" s="9" t="s">
        <v>303</v>
      </c>
      <c r="D92" s="54" t="s">
        <v>307</v>
      </c>
      <c r="E92" s="10" t="s">
        <v>34</v>
      </c>
      <c r="F92" s="11" t="s">
        <v>138</v>
      </c>
      <c r="G92" s="12" t="s">
        <v>1325</v>
      </c>
      <c r="H92" s="97" t="s">
        <v>359</v>
      </c>
      <c r="I92" s="208"/>
      <c r="J92" s="208"/>
      <c r="K92" s="13" t="s">
        <v>1131</v>
      </c>
      <c r="L92" s="10"/>
      <c r="M92" s="10"/>
      <c r="N92" s="9"/>
      <c r="O92" s="9"/>
      <c r="P92" s="10" t="s">
        <v>159</v>
      </c>
      <c r="Q92" s="9" t="s">
        <v>1326</v>
      </c>
      <c r="R92" s="9"/>
      <c r="S92" s="54" t="s">
        <v>1327</v>
      </c>
      <c r="T92" s="54"/>
      <c r="U92" s="209" t="s">
        <v>269</v>
      </c>
      <c r="V92" s="380"/>
    </row>
    <row r="93" spans="1:22" s="27" customFormat="1" ht="16" x14ac:dyDescent="0.2">
      <c r="A93" s="215">
        <v>5008</v>
      </c>
      <c r="B93" s="9" t="s">
        <v>77</v>
      </c>
      <c r="C93" s="9" t="s">
        <v>303</v>
      </c>
      <c r="D93" s="54" t="s">
        <v>307</v>
      </c>
      <c r="E93" s="10" t="s">
        <v>34</v>
      </c>
      <c r="F93" s="11" t="s">
        <v>117</v>
      </c>
      <c r="G93" s="12" t="s">
        <v>1279</v>
      </c>
      <c r="H93" s="70" t="s">
        <v>359</v>
      </c>
      <c r="I93" s="208"/>
      <c r="J93" s="208"/>
      <c r="K93" s="13" t="s">
        <v>1131</v>
      </c>
      <c r="L93" s="10"/>
      <c r="M93" s="10"/>
      <c r="N93" s="9"/>
      <c r="O93" s="9"/>
      <c r="P93" s="10" t="s">
        <v>159</v>
      </c>
      <c r="Q93" s="9" t="s">
        <v>1328</v>
      </c>
      <c r="R93" s="9"/>
      <c r="S93" s="54" t="s">
        <v>1327</v>
      </c>
      <c r="T93" s="54"/>
      <c r="U93" s="209" t="s">
        <v>269</v>
      </c>
      <c r="V93" s="380"/>
    </row>
    <row r="94" spans="1:22" s="27" customFormat="1" ht="16" x14ac:dyDescent="0.2">
      <c r="A94" s="215">
        <v>5010</v>
      </c>
      <c r="B94" s="9" t="s">
        <v>77</v>
      </c>
      <c r="C94" s="9" t="s">
        <v>303</v>
      </c>
      <c r="D94" s="54" t="s">
        <v>307</v>
      </c>
      <c r="E94" s="10" t="s">
        <v>34</v>
      </c>
      <c r="F94" s="11" t="s">
        <v>117</v>
      </c>
      <c r="G94" s="12" t="s">
        <v>1279</v>
      </c>
      <c r="H94" s="70" t="s">
        <v>359</v>
      </c>
      <c r="I94" s="208"/>
      <c r="J94" s="208"/>
      <c r="K94" s="13" t="s">
        <v>1131</v>
      </c>
      <c r="L94" s="10"/>
      <c r="M94" s="10"/>
      <c r="N94" s="9"/>
      <c r="O94" s="9"/>
      <c r="P94" s="10" t="s">
        <v>132</v>
      </c>
      <c r="Q94" s="9" t="s">
        <v>1329</v>
      </c>
      <c r="R94" s="9"/>
      <c r="S94" s="54" t="s">
        <v>361</v>
      </c>
      <c r="T94" s="54"/>
      <c r="U94" s="209" t="s">
        <v>269</v>
      </c>
      <c r="V94" s="380"/>
    </row>
    <row r="95" spans="1:22" s="27" customFormat="1" ht="32" x14ac:dyDescent="0.2">
      <c r="A95" s="8">
        <v>5012</v>
      </c>
      <c r="B95" s="9" t="s">
        <v>77</v>
      </c>
      <c r="C95" s="9" t="s">
        <v>303</v>
      </c>
      <c r="D95" s="54" t="s">
        <v>307</v>
      </c>
      <c r="E95" s="10" t="s">
        <v>34</v>
      </c>
      <c r="F95" s="11" t="s">
        <v>138</v>
      </c>
      <c r="G95" s="12" t="s">
        <v>352</v>
      </c>
      <c r="H95" s="70" t="s">
        <v>359</v>
      </c>
      <c r="I95" s="208"/>
      <c r="J95" s="208"/>
      <c r="K95" s="13" t="s">
        <v>1131</v>
      </c>
      <c r="L95" s="10"/>
      <c r="M95" s="10"/>
      <c r="N95" s="9"/>
      <c r="O95" s="9"/>
      <c r="P95" s="10" t="s">
        <v>64</v>
      </c>
      <c r="Q95" s="9" t="s">
        <v>1330</v>
      </c>
      <c r="R95" s="9"/>
      <c r="S95" s="54"/>
      <c r="T95" s="54"/>
      <c r="U95" s="89" t="s">
        <v>445</v>
      </c>
      <c r="V95" s="380"/>
    </row>
    <row r="96" spans="1:22" s="27" customFormat="1" ht="16" x14ac:dyDescent="0.2">
      <c r="A96" s="8">
        <v>5014</v>
      </c>
      <c r="B96" s="9" t="s">
        <v>77</v>
      </c>
      <c r="C96" s="9" t="s">
        <v>303</v>
      </c>
      <c r="D96" s="54" t="s">
        <v>307</v>
      </c>
      <c r="E96" s="10" t="s">
        <v>34</v>
      </c>
      <c r="F96" s="11" t="s">
        <v>138</v>
      </c>
      <c r="G96" s="12" t="s">
        <v>1331</v>
      </c>
      <c r="H96" s="70" t="s">
        <v>359</v>
      </c>
      <c r="I96" s="208"/>
      <c r="J96" s="208"/>
      <c r="K96" s="13" t="s">
        <v>1131</v>
      </c>
      <c r="L96" s="10"/>
      <c r="M96" s="10"/>
      <c r="N96" s="9"/>
      <c r="O96" s="9"/>
      <c r="P96" s="10" t="s">
        <v>64</v>
      </c>
      <c r="Q96" s="9" t="s">
        <v>338</v>
      </c>
      <c r="R96" s="9"/>
      <c r="S96" s="54"/>
      <c r="T96" s="54"/>
      <c r="U96" s="54"/>
      <c r="V96" s="380"/>
    </row>
    <row r="97" spans="1:22" s="94" customFormat="1" ht="48" x14ac:dyDescent="0.2">
      <c r="A97" s="8">
        <v>5017</v>
      </c>
      <c r="B97" s="9" t="s">
        <v>77</v>
      </c>
      <c r="C97" s="9" t="s">
        <v>303</v>
      </c>
      <c r="D97" s="54" t="s">
        <v>307</v>
      </c>
      <c r="E97" s="10" t="s">
        <v>34</v>
      </c>
      <c r="F97" s="11" t="s">
        <v>98</v>
      </c>
      <c r="G97" s="12" t="s">
        <v>317</v>
      </c>
      <c r="H97" s="70" t="s">
        <v>359</v>
      </c>
      <c r="I97" s="208"/>
      <c r="J97" s="208"/>
      <c r="K97" s="13" t="s">
        <v>1131</v>
      </c>
      <c r="L97" s="10"/>
      <c r="M97" s="10"/>
      <c r="N97" s="9"/>
      <c r="O97" s="9"/>
      <c r="P97" s="10" t="s">
        <v>1332</v>
      </c>
      <c r="Q97" s="9" t="s">
        <v>1333</v>
      </c>
      <c r="R97" s="9"/>
      <c r="S97" s="54"/>
      <c r="T97" s="54"/>
      <c r="U97" s="83" t="s">
        <v>120</v>
      </c>
      <c r="V97" s="381"/>
    </row>
    <row r="98" spans="1:22" ht="16" customHeight="1" x14ac:dyDescent="0.2">
      <c r="A98" s="8">
        <v>5018</v>
      </c>
      <c r="B98" s="9" t="s">
        <v>77</v>
      </c>
      <c r="C98" s="9" t="s">
        <v>303</v>
      </c>
      <c r="D98" s="54" t="s">
        <v>307</v>
      </c>
      <c r="E98" s="10" t="s">
        <v>34</v>
      </c>
      <c r="F98" s="11" t="s">
        <v>117</v>
      </c>
      <c r="G98" s="12" t="s">
        <v>1334</v>
      </c>
      <c r="H98" s="70" t="s">
        <v>359</v>
      </c>
      <c r="I98" s="208"/>
      <c r="J98" s="208"/>
      <c r="K98" s="13" t="s">
        <v>1131</v>
      </c>
      <c r="L98" s="10"/>
      <c r="M98" s="10"/>
      <c r="N98" s="9"/>
      <c r="O98" s="9"/>
      <c r="P98" s="10" t="s">
        <v>1332</v>
      </c>
      <c r="Q98" s="9" t="s">
        <v>1335</v>
      </c>
      <c r="R98" s="9"/>
      <c r="S98" s="54"/>
      <c r="T98" s="54"/>
      <c r="U98" s="83" t="s">
        <v>120</v>
      </c>
      <c r="V98" s="104"/>
    </row>
    <row r="99" spans="1:22" ht="32" x14ac:dyDescent="0.2">
      <c r="A99" s="8">
        <v>5019</v>
      </c>
      <c r="B99" s="9" t="s">
        <v>77</v>
      </c>
      <c r="C99" s="9" t="s">
        <v>303</v>
      </c>
      <c r="D99" s="54" t="s">
        <v>307</v>
      </c>
      <c r="E99" s="10" t="s">
        <v>34</v>
      </c>
      <c r="F99" s="11" t="s">
        <v>138</v>
      </c>
      <c r="G99" s="12" t="s">
        <v>352</v>
      </c>
      <c r="H99" s="70" t="s">
        <v>359</v>
      </c>
      <c r="I99" s="208"/>
      <c r="J99" s="208"/>
      <c r="K99" s="13" t="s">
        <v>1131</v>
      </c>
      <c r="L99" s="10"/>
      <c r="M99" s="10"/>
      <c r="N99" s="9"/>
      <c r="O99" s="9"/>
      <c r="P99" s="10" t="s">
        <v>1332</v>
      </c>
      <c r="Q99" s="9" t="s">
        <v>1336</v>
      </c>
      <c r="R99" s="9"/>
      <c r="S99" s="54"/>
      <c r="T99" s="54"/>
      <c r="U99" s="83" t="s">
        <v>120</v>
      </c>
      <c r="V99" s="104"/>
    </row>
    <row r="100" spans="1:22" ht="32" x14ac:dyDescent="0.2">
      <c r="A100" s="8">
        <v>5020</v>
      </c>
      <c r="B100" s="9" t="s">
        <v>77</v>
      </c>
      <c r="C100" s="9" t="s">
        <v>303</v>
      </c>
      <c r="D100" s="54" t="s">
        <v>307</v>
      </c>
      <c r="E100" s="10" t="s">
        <v>34</v>
      </c>
      <c r="F100" s="11" t="s">
        <v>117</v>
      </c>
      <c r="G100" s="12" t="s">
        <v>1337</v>
      </c>
      <c r="H100" s="70" t="s">
        <v>359</v>
      </c>
      <c r="I100" s="208"/>
      <c r="J100" s="208"/>
      <c r="K100" s="13" t="s">
        <v>1131</v>
      </c>
      <c r="L100" s="10"/>
      <c r="M100" s="10"/>
      <c r="N100" s="9"/>
      <c r="O100" s="9"/>
      <c r="P100" s="10" t="s">
        <v>1332</v>
      </c>
      <c r="Q100" s="9" t="s">
        <v>1336</v>
      </c>
      <c r="R100" s="9"/>
      <c r="S100" s="54"/>
      <c r="T100" s="54"/>
      <c r="U100" s="83" t="s">
        <v>120</v>
      </c>
      <c r="V100" s="104"/>
    </row>
    <row r="101" spans="1:22" ht="32" x14ac:dyDescent="0.2">
      <c r="A101" s="8">
        <v>6000</v>
      </c>
      <c r="B101" s="9" t="s">
        <v>77</v>
      </c>
      <c r="C101" s="9" t="s">
        <v>303</v>
      </c>
      <c r="D101" s="54" t="s">
        <v>307</v>
      </c>
      <c r="E101" s="10" t="s">
        <v>34</v>
      </c>
      <c r="F101" s="70" t="s">
        <v>138</v>
      </c>
      <c r="G101" s="12" t="s">
        <v>1338</v>
      </c>
      <c r="H101" s="70" t="s">
        <v>359</v>
      </c>
      <c r="I101" s="208"/>
      <c r="J101" s="208"/>
      <c r="K101" s="13" t="s">
        <v>1131</v>
      </c>
      <c r="L101" s="10"/>
      <c r="M101" s="10"/>
      <c r="N101" s="9"/>
      <c r="O101" s="9"/>
      <c r="P101" s="10" t="s">
        <v>64</v>
      </c>
      <c r="Q101" s="9" t="s">
        <v>1339</v>
      </c>
      <c r="R101" s="9"/>
      <c r="S101" s="54"/>
      <c r="T101" s="54"/>
      <c r="U101" s="92" t="s">
        <v>445</v>
      </c>
      <c r="V101" s="104"/>
    </row>
    <row r="102" spans="1:22" ht="16" x14ac:dyDescent="0.2">
      <c r="A102" s="8">
        <v>6001</v>
      </c>
      <c r="B102" s="9" t="s">
        <v>77</v>
      </c>
      <c r="C102" s="9" t="s">
        <v>303</v>
      </c>
      <c r="D102" s="54" t="s">
        <v>307</v>
      </c>
      <c r="E102" s="10" t="s">
        <v>34</v>
      </c>
      <c r="F102" s="11" t="s">
        <v>117</v>
      </c>
      <c r="G102" s="12" t="s">
        <v>1340</v>
      </c>
      <c r="H102" s="70" t="s">
        <v>359</v>
      </c>
      <c r="I102" s="208"/>
      <c r="J102" s="208"/>
      <c r="K102" s="13" t="s">
        <v>1131</v>
      </c>
      <c r="L102" s="10"/>
      <c r="M102" s="10"/>
      <c r="N102" s="9"/>
      <c r="O102" s="9"/>
      <c r="P102" s="10" t="s">
        <v>159</v>
      </c>
      <c r="Q102" s="9" t="s">
        <v>1341</v>
      </c>
      <c r="R102" s="9"/>
      <c r="S102" s="54" t="s">
        <v>1342</v>
      </c>
      <c r="T102" s="54"/>
      <c r="U102" s="209" t="s">
        <v>269</v>
      </c>
      <c r="V102" s="104"/>
    </row>
    <row r="103" spans="1:22" ht="16" x14ac:dyDescent="0.2">
      <c r="A103" s="8">
        <v>5364</v>
      </c>
      <c r="B103" s="9" t="s">
        <v>77</v>
      </c>
      <c r="C103" s="9" t="s">
        <v>303</v>
      </c>
      <c r="D103" s="54" t="s">
        <v>307</v>
      </c>
      <c r="E103" s="10" t="s">
        <v>34</v>
      </c>
      <c r="F103" s="11" t="s">
        <v>117</v>
      </c>
      <c r="G103" s="12" t="s">
        <v>1279</v>
      </c>
      <c r="H103" s="70" t="s">
        <v>359</v>
      </c>
      <c r="I103" s="208"/>
      <c r="J103" s="208"/>
      <c r="K103" s="13" t="s">
        <v>1131</v>
      </c>
      <c r="L103" s="10"/>
      <c r="M103" s="10"/>
      <c r="N103" s="9"/>
      <c r="O103" s="9"/>
      <c r="P103" s="10" t="s">
        <v>128</v>
      </c>
      <c r="Q103" s="9" t="s">
        <v>1343</v>
      </c>
      <c r="R103" s="9"/>
      <c r="S103" s="54" t="s">
        <v>1344</v>
      </c>
      <c r="T103" s="54"/>
      <c r="U103" s="54"/>
      <c r="V103" s="104"/>
    </row>
    <row r="104" spans="1:22" ht="32" x14ac:dyDescent="0.2">
      <c r="A104" s="8">
        <v>5370</v>
      </c>
      <c r="B104" s="9" t="s">
        <v>77</v>
      </c>
      <c r="C104" s="9" t="s">
        <v>303</v>
      </c>
      <c r="D104" s="54" t="s">
        <v>307</v>
      </c>
      <c r="E104" s="10" t="s">
        <v>34</v>
      </c>
      <c r="F104" s="70" t="s">
        <v>138</v>
      </c>
      <c r="G104" s="12" t="s">
        <v>1338</v>
      </c>
      <c r="H104" s="70" t="s">
        <v>359</v>
      </c>
      <c r="I104" s="208"/>
      <c r="J104" s="208"/>
      <c r="K104" s="13" t="s">
        <v>1131</v>
      </c>
      <c r="L104" s="10"/>
      <c r="M104" s="10"/>
      <c r="N104" s="9"/>
      <c r="O104" s="9"/>
      <c r="P104" s="10" t="s">
        <v>64</v>
      </c>
      <c r="Q104" s="9" t="s">
        <v>1339</v>
      </c>
      <c r="R104" s="9"/>
      <c r="S104" s="54"/>
      <c r="T104" s="54"/>
      <c r="U104" s="92" t="s">
        <v>445</v>
      </c>
      <c r="V104" s="104"/>
    </row>
    <row r="105" spans="1:22" ht="51" x14ac:dyDescent="0.2">
      <c r="A105" s="8">
        <v>5028</v>
      </c>
      <c r="B105" s="86" t="s">
        <v>77</v>
      </c>
      <c r="C105" s="69" t="s">
        <v>303</v>
      </c>
      <c r="D105" s="69" t="s">
        <v>373</v>
      </c>
      <c r="E105" s="70" t="s">
        <v>180</v>
      </c>
      <c r="F105" s="87" t="s">
        <v>117</v>
      </c>
      <c r="G105" s="86" t="s">
        <v>401</v>
      </c>
      <c r="H105" s="70" t="s">
        <v>37</v>
      </c>
      <c r="I105" s="86"/>
      <c r="J105" s="86"/>
      <c r="K105" s="13" t="s">
        <v>1131</v>
      </c>
      <c r="L105" s="87" t="s">
        <v>1311</v>
      </c>
      <c r="M105" s="87"/>
      <c r="N105" s="86"/>
      <c r="O105" s="86"/>
      <c r="P105" s="87" t="s">
        <v>159</v>
      </c>
      <c r="Q105" s="86" t="s">
        <v>1345</v>
      </c>
      <c r="R105" s="86" t="s">
        <v>1346</v>
      </c>
      <c r="S105" s="86" t="s">
        <v>1346</v>
      </c>
      <c r="T105" s="86"/>
      <c r="U105" s="85" t="s">
        <v>324</v>
      </c>
      <c r="V105" s="104"/>
    </row>
    <row r="106" spans="1:22" ht="51" x14ac:dyDescent="0.2">
      <c r="A106" s="8">
        <v>5031</v>
      </c>
      <c r="B106" s="86" t="s">
        <v>77</v>
      </c>
      <c r="C106" s="69" t="s">
        <v>303</v>
      </c>
      <c r="D106" s="69" t="s">
        <v>373</v>
      </c>
      <c r="E106" s="70" t="s">
        <v>180</v>
      </c>
      <c r="F106" s="70" t="s">
        <v>117</v>
      </c>
      <c r="G106" s="69" t="s">
        <v>1347</v>
      </c>
      <c r="H106" s="70" t="s">
        <v>1348</v>
      </c>
      <c r="I106" s="86"/>
      <c r="J106" s="86"/>
      <c r="K106" s="13" t="s">
        <v>1131</v>
      </c>
      <c r="L106" s="87" t="s">
        <v>1311</v>
      </c>
      <c r="M106" s="87"/>
      <c r="N106" s="86"/>
      <c r="O106" s="86"/>
      <c r="P106" s="70" t="s">
        <v>64</v>
      </c>
      <c r="Q106" s="86" t="s">
        <v>1349</v>
      </c>
      <c r="R106" s="86" t="s">
        <v>1350</v>
      </c>
      <c r="S106" s="86" t="s">
        <v>1351</v>
      </c>
      <c r="T106" s="86"/>
      <c r="U106" s="85" t="s">
        <v>324</v>
      </c>
      <c r="V106" s="104"/>
    </row>
    <row r="107" spans="1:22" ht="51" x14ac:dyDescent="0.2">
      <c r="A107" s="8">
        <v>5033</v>
      </c>
      <c r="B107" s="86" t="s">
        <v>77</v>
      </c>
      <c r="C107" s="69" t="s">
        <v>303</v>
      </c>
      <c r="D107" s="69" t="s">
        <v>373</v>
      </c>
      <c r="E107" s="70" t="s">
        <v>180</v>
      </c>
      <c r="F107" s="87" t="s">
        <v>117</v>
      </c>
      <c r="G107" s="86" t="s">
        <v>386</v>
      </c>
      <c r="H107" s="70" t="s">
        <v>359</v>
      </c>
      <c r="I107" s="86"/>
      <c r="J107" s="86"/>
      <c r="K107" s="13" t="s">
        <v>1131</v>
      </c>
      <c r="L107" s="87" t="s">
        <v>1311</v>
      </c>
      <c r="M107" s="87"/>
      <c r="N107" s="86"/>
      <c r="O107" s="86"/>
      <c r="P107" s="87" t="s">
        <v>64</v>
      </c>
      <c r="Q107" s="86" t="s">
        <v>1352</v>
      </c>
      <c r="R107" s="86" t="s">
        <v>1353</v>
      </c>
      <c r="S107" s="86"/>
      <c r="T107" s="86"/>
      <c r="U107" s="85" t="s">
        <v>324</v>
      </c>
      <c r="V107" s="104"/>
    </row>
    <row r="108" spans="1:22" s="84" customFormat="1" ht="48" x14ac:dyDescent="0.2">
      <c r="A108" s="8">
        <v>5369</v>
      </c>
      <c r="B108" s="9" t="s">
        <v>77</v>
      </c>
      <c r="C108" s="69" t="s">
        <v>303</v>
      </c>
      <c r="D108" s="69" t="s">
        <v>373</v>
      </c>
      <c r="E108" s="70" t="s">
        <v>180</v>
      </c>
      <c r="F108" s="70" t="s">
        <v>138</v>
      </c>
      <c r="G108" s="86" t="s">
        <v>1310</v>
      </c>
      <c r="H108" s="70" t="s">
        <v>1348</v>
      </c>
      <c r="I108" s="46"/>
      <c r="J108" s="46"/>
      <c r="K108" s="13" t="s">
        <v>1131</v>
      </c>
      <c r="L108" s="46" t="s">
        <v>1311</v>
      </c>
      <c r="M108" s="46"/>
      <c r="N108" s="86"/>
      <c r="O108" s="86"/>
      <c r="P108" s="87" t="s">
        <v>64</v>
      </c>
      <c r="Q108" s="86" t="s">
        <v>1354</v>
      </c>
      <c r="R108" s="26" t="s">
        <v>1355</v>
      </c>
      <c r="S108" s="26"/>
      <c r="T108" s="26"/>
      <c r="U108" s="26"/>
      <c r="V108" s="383"/>
    </row>
    <row r="109" spans="1:22" ht="32" x14ac:dyDescent="0.2">
      <c r="A109" s="8">
        <v>5013</v>
      </c>
      <c r="B109" s="9" t="s">
        <v>77</v>
      </c>
      <c r="C109" s="9" t="s">
        <v>303</v>
      </c>
      <c r="D109" s="54" t="s">
        <v>307</v>
      </c>
      <c r="E109" s="10" t="s">
        <v>180</v>
      </c>
      <c r="F109" s="11" t="s">
        <v>117</v>
      </c>
      <c r="G109" s="12" t="s">
        <v>1356</v>
      </c>
      <c r="H109" s="11" t="s">
        <v>1348</v>
      </c>
      <c r="I109" s="208"/>
      <c r="J109" s="208"/>
      <c r="K109" s="13" t="s">
        <v>1131</v>
      </c>
      <c r="L109" s="10"/>
      <c r="M109" s="10"/>
      <c r="N109" s="9"/>
      <c r="O109" s="9"/>
      <c r="P109" s="10" t="s">
        <v>64</v>
      </c>
      <c r="Q109" s="9" t="s">
        <v>1330</v>
      </c>
      <c r="R109" s="9"/>
      <c r="S109" s="54"/>
      <c r="T109" s="54"/>
      <c r="U109" s="89" t="s">
        <v>445</v>
      </c>
      <c r="V109" s="104"/>
    </row>
    <row r="110" spans="1:22" ht="51" x14ac:dyDescent="0.2">
      <c r="A110" s="8">
        <v>5015</v>
      </c>
      <c r="B110" s="9" t="s">
        <v>77</v>
      </c>
      <c r="C110" s="9" t="s">
        <v>303</v>
      </c>
      <c r="D110" s="54" t="s">
        <v>307</v>
      </c>
      <c r="E110" s="10" t="s">
        <v>180</v>
      </c>
      <c r="F110" s="11" t="s">
        <v>117</v>
      </c>
      <c r="G110" s="12" t="s">
        <v>339</v>
      </c>
      <c r="H110" s="11" t="s">
        <v>1348</v>
      </c>
      <c r="I110" s="208"/>
      <c r="J110" s="208"/>
      <c r="K110" s="13" t="s">
        <v>1131</v>
      </c>
      <c r="L110" s="10"/>
      <c r="M110" s="10"/>
      <c r="N110" s="9"/>
      <c r="O110" s="9"/>
      <c r="P110" s="10" t="s">
        <v>128</v>
      </c>
      <c r="Q110" s="9" t="s">
        <v>1357</v>
      </c>
      <c r="R110" s="9"/>
      <c r="S110" s="54" t="s">
        <v>1358</v>
      </c>
      <c r="T110" s="54"/>
      <c r="U110" s="85" t="s">
        <v>324</v>
      </c>
      <c r="V110" s="104"/>
    </row>
    <row r="111" spans="1:22" ht="16" x14ac:dyDescent="0.2">
      <c r="A111" s="215">
        <v>5359</v>
      </c>
      <c r="B111" s="9" t="s">
        <v>77</v>
      </c>
      <c r="C111" s="9" t="s">
        <v>303</v>
      </c>
      <c r="D111" s="54" t="s">
        <v>307</v>
      </c>
      <c r="E111" s="10" t="s">
        <v>180</v>
      </c>
      <c r="F111" s="11" t="s">
        <v>117</v>
      </c>
      <c r="G111" s="12" t="s">
        <v>1359</v>
      </c>
      <c r="H111" s="11" t="s">
        <v>1348</v>
      </c>
      <c r="I111" s="208"/>
      <c r="J111" s="208"/>
      <c r="K111" s="13" t="s">
        <v>1131</v>
      </c>
      <c r="L111" s="10"/>
      <c r="M111" s="10"/>
      <c r="N111" s="9"/>
      <c r="O111" s="9"/>
      <c r="P111" s="10" t="s">
        <v>159</v>
      </c>
      <c r="Q111" s="9" t="s">
        <v>1360</v>
      </c>
      <c r="R111" s="9"/>
      <c r="S111" s="54" t="s">
        <v>1361</v>
      </c>
      <c r="T111" s="54"/>
      <c r="U111" s="209" t="s">
        <v>269</v>
      </c>
      <c r="V111" s="104"/>
    </row>
    <row r="112" spans="1:22" ht="16" x14ac:dyDescent="0.2">
      <c r="A112" s="215">
        <v>5362</v>
      </c>
      <c r="B112" s="9" t="s">
        <v>77</v>
      </c>
      <c r="C112" s="9" t="s">
        <v>303</v>
      </c>
      <c r="D112" s="54" t="s">
        <v>307</v>
      </c>
      <c r="E112" s="10" t="s">
        <v>180</v>
      </c>
      <c r="F112" s="11" t="s">
        <v>117</v>
      </c>
      <c r="G112" s="12" t="s">
        <v>1359</v>
      </c>
      <c r="H112" s="11" t="s">
        <v>1348</v>
      </c>
      <c r="I112" s="208"/>
      <c r="J112" s="208"/>
      <c r="K112" s="13" t="s">
        <v>1131</v>
      </c>
      <c r="L112" s="10"/>
      <c r="M112" s="10"/>
      <c r="N112" s="9"/>
      <c r="O112" s="9"/>
      <c r="P112" s="10" t="s">
        <v>132</v>
      </c>
      <c r="Q112" s="9" t="s">
        <v>1362</v>
      </c>
      <c r="R112" s="9"/>
      <c r="S112" s="54" t="s">
        <v>1363</v>
      </c>
      <c r="T112" s="54"/>
      <c r="U112" s="209" t="s">
        <v>269</v>
      </c>
      <c r="V112" s="104"/>
    </row>
    <row r="113" spans="1:22" s="93" customFormat="1" ht="16" x14ac:dyDescent="0.2">
      <c r="A113" s="8">
        <v>5363</v>
      </c>
      <c r="B113" s="9" t="s">
        <v>77</v>
      </c>
      <c r="C113" s="9" t="s">
        <v>303</v>
      </c>
      <c r="D113" s="54" t="s">
        <v>325</v>
      </c>
      <c r="E113" s="10" t="s">
        <v>180</v>
      </c>
      <c r="F113" s="10" t="s">
        <v>320</v>
      </c>
      <c r="G113" s="9" t="s">
        <v>329</v>
      </c>
      <c r="H113" s="10" t="s">
        <v>1348</v>
      </c>
      <c r="I113" s="208"/>
      <c r="J113" s="208"/>
      <c r="K113" s="13" t="s">
        <v>1131</v>
      </c>
      <c r="L113" s="10"/>
      <c r="M113" s="10"/>
      <c r="N113" s="9"/>
      <c r="O113" s="9"/>
      <c r="P113" s="10" t="s">
        <v>64</v>
      </c>
      <c r="Q113" s="9" t="s">
        <v>1364</v>
      </c>
      <c r="R113" s="9"/>
      <c r="S113" s="54"/>
      <c r="T113" s="54"/>
      <c r="U113" s="54"/>
      <c r="V113" s="382"/>
    </row>
    <row r="114" spans="1:22" ht="29.25" customHeight="1" x14ac:dyDescent="0.2">
      <c r="A114" s="8">
        <v>5367</v>
      </c>
      <c r="B114" s="9" t="s">
        <v>77</v>
      </c>
      <c r="C114" s="9" t="s">
        <v>303</v>
      </c>
      <c r="D114" s="54" t="s">
        <v>307</v>
      </c>
      <c r="E114" s="10" t="s">
        <v>180</v>
      </c>
      <c r="F114" s="11" t="s">
        <v>117</v>
      </c>
      <c r="G114" s="12" t="s">
        <v>1356</v>
      </c>
      <c r="H114" s="11" t="s">
        <v>1348</v>
      </c>
      <c r="I114" s="208"/>
      <c r="J114" s="208"/>
      <c r="K114" s="13" t="s">
        <v>1131</v>
      </c>
      <c r="L114" s="10"/>
      <c r="M114" s="10"/>
      <c r="N114" s="9"/>
      <c r="O114" s="9"/>
      <c r="P114" s="10" t="s">
        <v>1332</v>
      </c>
      <c r="Q114" s="9" t="s">
        <v>1336</v>
      </c>
      <c r="R114" s="9"/>
      <c r="S114" s="54"/>
      <c r="T114" s="54"/>
      <c r="U114" s="83" t="s">
        <v>120</v>
      </c>
      <c r="V114" s="104"/>
    </row>
    <row r="115" spans="1:22" ht="16" x14ac:dyDescent="0.2">
      <c r="A115" s="215">
        <v>5371</v>
      </c>
      <c r="B115" s="9" t="s">
        <v>77</v>
      </c>
      <c r="C115" s="9" t="s">
        <v>303</v>
      </c>
      <c r="D115" s="54" t="s">
        <v>307</v>
      </c>
      <c r="E115" s="10" t="s">
        <v>180</v>
      </c>
      <c r="F115" s="11" t="s">
        <v>117</v>
      </c>
      <c r="G115" s="12" t="s">
        <v>1356</v>
      </c>
      <c r="H115" s="11" t="s">
        <v>1348</v>
      </c>
      <c r="I115" s="208"/>
      <c r="J115" s="208"/>
      <c r="K115" s="13" t="s">
        <v>1131</v>
      </c>
      <c r="L115" s="10"/>
      <c r="M115" s="10"/>
      <c r="N115" s="9"/>
      <c r="O115" s="9"/>
      <c r="P115" s="10" t="s">
        <v>159</v>
      </c>
      <c r="Q115" s="9" t="s">
        <v>1365</v>
      </c>
      <c r="R115" s="9"/>
      <c r="S115" s="54"/>
      <c r="T115" s="54"/>
      <c r="U115" s="209" t="s">
        <v>269</v>
      </c>
      <c r="V115" s="104"/>
    </row>
    <row r="116" spans="1:22" ht="48" x14ac:dyDescent="0.2">
      <c r="A116" s="8">
        <v>5110</v>
      </c>
      <c r="B116" s="9" t="s">
        <v>77</v>
      </c>
      <c r="C116" s="9" t="s">
        <v>104</v>
      </c>
      <c r="D116" s="54" t="s">
        <v>1366</v>
      </c>
      <c r="E116" s="10" t="s">
        <v>34</v>
      </c>
      <c r="F116" s="10" t="s">
        <v>1367</v>
      </c>
      <c r="G116" s="12" t="s">
        <v>1368</v>
      </c>
      <c r="H116" s="10" t="s">
        <v>50</v>
      </c>
      <c r="I116" s="10" t="s">
        <v>1130</v>
      </c>
      <c r="J116" s="10"/>
      <c r="K116" s="13" t="s">
        <v>1131</v>
      </c>
      <c r="L116" s="10"/>
      <c r="M116" s="10"/>
      <c r="N116" s="54"/>
      <c r="O116" s="54"/>
      <c r="P116" s="10" t="s">
        <v>64</v>
      </c>
      <c r="Q116" s="9" t="s">
        <v>110</v>
      </c>
      <c r="R116" s="9" t="s">
        <v>1369</v>
      </c>
      <c r="S116" s="54" t="s">
        <v>1370</v>
      </c>
      <c r="T116" s="54"/>
      <c r="U116" s="54"/>
      <c r="V116" s="104"/>
    </row>
    <row r="117" spans="1:22" ht="32" x14ac:dyDescent="0.2">
      <c r="A117" s="8">
        <v>5111</v>
      </c>
      <c r="B117" s="9" t="s">
        <v>77</v>
      </c>
      <c r="C117" s="9" t="s">
        <v>104</v>
      </c>
      <c r="D117" s="54" t="s">
        <v>1366</v>
      </c>
      <c r="E117" s="10" t="s">
        <v>34</v>
      </c>
      <c r="F117" s="10" t="s">
        <v>1371</v>
      </c>
      <c r="G117" s="12" t="s">
        <v>1372</v>
      </c>
      <c r="H117" s="10" t="s">
        <v>50</v>
      </c>
      <c r="I117" s="10" t="s">
        <v>1130</v>
      </c>
      <c r="J117" s="10"/>
      <c r="K117" s="13" t="s">
        <v>1131</v>
      </c>
      <c r="L117" s="10"/>
      <c r="M117" s="10"/>
      <c r="N117" s="54"/>
      <c r="O117" s="54"/>
      <c r="P117" s="10" t="s">
        <v>64</v>
      </c>
      <c r="Q117" s="9" t="s">
        <v>110</v>
      </c>
      <c r="R117" s="9" t="s">
        <v>1373</v>
      </c>
      <c r="S117" s="54" t="s">
        <v>1374</v>
      </c>
      <c r="T117" s="54" t="s">
        <v>1375</v>
      </c>
      <c r="U117" s="54"/>
      <c r="V117" s="104"/>
    </row>
    <row r="118" spans="1:22" ht="80" x14ac:dyDescent="0.2">
      <c r="A118" s="8">
        <v>5124</v>
      </c>
      <c r="B118" s="9" t="s">
        <v>77</v>
      </c>
      <c r="C118" s="9" t="s">
        <v>405</v>
      </c>
      <c r="D118" s="54" t="s">
        <v>409</v>
      </c>
      <c r="E118" s="10" t="s">
        <v>34</v>
      </c>
      <c r="F118" s="10" t="s">
        <v>58</v>
      </c>
      <c r="G118" s="12" t="s">
        <v>1376</v>
      </c>
      <c r="H118" s="10" t="s">
        <v>50</v>
      </c>
      <c r="I118" s="10" t="s">
        <v>246</v>
      </c>
      <c r="J118" s="10"/>
      <c r="K118" s="13" t="s">
        <v>1131</v>
      </c>
      <c r="L118" s="10" t="s">
        <v>1377</v>
      </c>
      <c r="M118" s="10"/>
      <c r="N118" s="54"/>
      <c r="O118" s="54"/>
      <c r="P118" s="10" t="s">
        <v>64</v>
      </c>
      <c r="Q118" s="9" t="s">
        <v>1378</v>
      </c>
      <c r="R118" s="9" t="s">
        <v>1379</v>
      </c>
      <c r="S118" s="54" t="s">
        <v>1380</v>
      </c>
      <c r="T118" s="54" t="s">
        <v>111</v>
      </c>
      <c r="U118" s="83" t="s">
        <v>120</v>
      </c>
      <c r="V118" s="104"/>
    </row>
    <row r="119" spans="1:22" ht="64" x14ac:dyDescent="0.2">
      <c r="A119" s="8">
        <v>5125</v>
      </c>
      <c r="B119" s="9" t="s">
        <v>77</v>
      </c>
      <c r="C119" s="9" t="s">
        <v>405</v>
      </c>
      <c r="D119" s="54" t="s">
        <v>420</v>
      </c>
      <c r="E119" s="10" t="s">
        <v>34</v>
      </c>
      <c r="F119" s="10" t="s">
        <v>138</v>
      </c>
      <c r="G119" s="12" t="s">
        <v>1381</v>
      </c>
      <c r="H119" s="10" t="s">
        <v>50</v>
      </c>
      <c r="I119" s="10" t="s">
        <v>1382</v>
      </c>
      <c r="J119" s="10"/>
      <c r="K119" s="13" t="s">
        <v>1131</v>
      </c>
      <c r="L119" s="10" t="s">
        <v>1377</v>
      </c>
      <c r="M119" s="10"/>
      <c r="N119" s="54"/>
      <c r="O119" s="54"/>
      <c r="P119" s="10" t="s">
        <v>64</v>
      </c>
      <c r="Q119" s="9" t="s">
        <v>1383</v>
      </c>
      <c r="R119" s="9" t="s">
        <v>1384</v>
      </c>
      <c r="S119" s="54" t="s">
        <v>1385</v>
      </c>
      <c r="T119" s="54" t="s">
        <v>1386</v>
      </c>
      <c r="U119" s="83" t="s">
        <v>120</v>
      </c>
      <c r="V119" s="104"/>
    </row>
    <row r="120" spans="1:22" ht="96" x14ac:dyDescent="0.2">
      <c r="A120" s="8">
        <v>5126</v>
      </c>
      <c r="B120" s="9" t="s">
        <v>77</v>
      </c>
      <c r="C120" s="9" t="s">
        <v>405</v>
      </c>
      <c r="D120" s="54" t="s">
        <v>409</v>
      </c>
      <c r="E120" s="10" t="s">
        <v>34</v>
      </c>
      <c r="F120" s="10" t="s">
        <v>117</v>
      </c>
      <c r="G120" s="12" t="s">
        <v>1387</v>
      </c>
      <c r="H120" s="10" t="s">
        <v>50</v>
      </c>
      <c r="I120" s="10" t="s">
        <v>1197</v>
      </c>
      <c r="J120" s="10"/>
      <c r="K120" s="13" t="s">
        <v>1131</v>
      </c>
      <c r="L120" s="10" t="s">
        <v>1377</v>
      </c>
      <c r="M120" s="10"/>
      <c r="N120" s="54"/>
      <c r="O120" s="54"/>
      <c r="P120" s="10" t="s">
        <v>64</v>
      </c>
      <c r="Q120" s="9" t="s">
        <v>1388</v>
      </c>
      <c r="R120" s="9" t="s">
        <v>1389</v>
      </c>
      <c r="S120" s="54" t="s">
        <v>1390</v>
      </c>
      <c r="T120" s="54" t="s">
        <v>1391</v>
      </c>
      <c r="U120" s="83" t="s">
        <v>120</v>
      </c>
      <c r="V120" s="104"/>
    </row>
    <row r="121" spans="1:22" ht="80" x14ac:dyDescent="0.2">
      <c r="A121" s="8">
        <v>5127</v>
      </c>
      <c r="B121" s="9" t="s">
        <v>77</v>
      </c>
      <c r="C121" s="9" t="s">
        <v>405</v>
      </c>
      <c r="D121" s="54" t="s">
        <v>409</v>
      </c>
      <c r="E121" s="10" t="s">
        <v>34</v>
      </c>
      <c r="F121" s="10" t="s">
        <v>117</v>
      </c>
      <c r="G121" s="12" t="s">
        <v>1392</v>
      </c>
      <c r="H121" s="10" t="s">
        <v>50</v>
      </c>
      <c r="I121" s="10" t="s">
        <v>1382</v>
      </c>
      <c r="J121" s="10"/>
      <c r="K121" s="13" t="s">
        <v>1131</v>
      </c>
      <c r="L121" s="10" t="s">
        <v>1377</v>
      </c>
      <c r="M121" s="10"/>
      <c r="N121" s="54"/>
      <c r="O121" s="54"/>
      <c r="P121" s="10" t="s">
        <v>64</v>
      </c>
      <c r="Q121" s="9" t="s">
        <v>1393</v>
      </c>
      <c r="R121" s="9" t="s">
        <v>1394</v>
      </c>
      <c r="S121" s="54" t="s">
        <v>1395</v>
      </c>
      <c r="T121" s="54" t="s">
        <v>1396</v>
      </c>
      <c r="U121" s="83" t="s">
        <v>120</v>
      </c>
      <c r="V121" s="104"/>
    </row>
    <row r="122" spans="1:22" ht="80" x14ac:dyDescent="0.2">
      <c r="A122" s="8">
        <v>5128</v>
      </c>
      <c r="B122" s="9" t="s">
        <v>77</v>
      </c>
      <c r="C122" s="9" t="s">
        <v>405</v>
      </c>
      <c r="D122" s="54" t="s">
        <v>409</v>
      </c>
      <c r="E122" s="10" t="s">
        <v>34</v>
      </c>
      <c r="F122" s="10" t="s">
        <v>197</v>
      </c>
      <c r="G122" s="12" t="s">
        <v>1397</v>
      </c>
      <c r="H122" s="10" t="s">
        <v>50</v>
      </c>
      <c r="I122" s="10" t="s">
        <v>1382</v>
      </c>
      <c r="J122" s="10"/>
      <c r="K122" s="13" t="s">
        <v>1131</v>
      </c>
      <c r="L122" s="10" t="s">
        <v>1377</v>
      </c>
      <c r="M122" s="10"/>
      <c r="N122" s="54"/>
      <c r="O122" s="54"/>
      <c r="P122" s="10" t="s">
        <v>64</v>
      </c>
      <c r="Q122" s="9" t="s">
        <v>1398</v>
      </c>
      <c r="R122" s="9" t="s">
        <v>1379</v>
      </c>
      <c r="S122" s="54" t="s">
        <v>1380</v>
      </c>
      <c r="T122" s="54" t="s">
        <v>1399</v>
      </c>
      <c r="U122" s="54"/>
      <c r="V122" s="104"/>
    </row>
    <row r="123" spans="1:22" ht="64" x14ac:dyDescent="0.2">
      <c r="A123" s="8">
        <v>5146</v>
      </c>
      <c r="B123" s="9" t="s">
        <v>77</v>
      </c>
      <c r="C123" s="9" t="s">
        <v>405</v>
      </c>
      <c r="D123" s="54" t="s">
        <v>409</v>
      </c>
      <c r="E123" s="10" t="s">
        <v>34</v>
      </c>
      <c r="F123" s="10" t="s">
        <v>117</v>
      </c>
      <c r="G123" s="12" t="s">
        <v>1400</v>
      </c>
      <c r="H123" s="10" t="s">
        <v>50</v>
      </c>
      <c r="I123" s="10" t="s">
        <v>1197</v>
      </c>
      <c r="J123" s="10"/>
      <c r="K123" s="13" t="s">
        <v>1131</v>
      </c>
      <c r="L123" s="10" t="s">
        <v>1377</v>
      </c>
      <c r="M123" s="10"/>
      <c r="N123" s="54"/>
      <c r="O123" s="54"/>
      <c r="P123" s="10" t="s">
        <v>64</v>
      </c>
      <c r="Q123" s="9" t="s">
        <v>1401</v>
      </c>
      <c r="R123" s="9" t="s">
        <v>1402</v>
      </c>
      <c r="S123" s="54" t="s">
        <v>1403</v>
      </c>
      <c r="T123" s="54" t="s">
        <v>1404</v>
      </c>
      <c r="U123" s="54"/>
      <c r="V123" s="104"/>
    </row>
    <row r="124" spans="1:22" ht="64" x14ac:dyDescent="0.2">
      <c r="A124" s="8">
        <v>5129</v>
      </c>
      <c r="B124" s="9" t="s">
        <v>77</v>
      </c>
      <c r="C124" s="9" t="s">
        <v>405</v>
      </c>
      <c r="D124" s="54" t="s">
        <v>409</v>
      </c>
      <c r="E124" s="10" t="s">
        <v>34</v>
      </c>
      <c r="F124" s="10" t="s">
        <v>58</v>
      </c>
      <c r="G124" s="12" t="s">
        <v>1405</v>
      </c>
      <c r="H124" s="10" t="s">
        <v>50</v>
      </c>
      <c r="I124" s="10" t="s">
        <v>246</v>
      </c>
      <c r="J124" s="10"/>
      <c r="K124" s="13" t="s">
        <v>1131</v>
      </c>
      <c r="L124" s="10" t="s">
        <v>1406</v>
      </c>
      <c r="M124" s="10"/>
      <c r="N124" s="54"/>
      <c r="O124" s="54"/>
      <c r="P124" s="10" t="s">
        <v>64</v>
      </c>
      <c r="Q124" s="9" t="s">
        <v>415</v>
      </c>
      <c r="R124" s="9" t="s">
        <v>416</v>
      </c>
      <c r="S124" s="54" t="s">
        <v>417</v>
      </c>
      <c r="T124" s="54" t="s">
        <v>111</v>
      </c>
      <c r="U124" s="83" t="s">
        <v>120</v>
      </c>
      <c r="V124" s="104"/>
    </row>
    <row r="125" spans="1:22" ht="96" x14ac:dyDescent="0.2">
      <c r="A125" s="8">
        <v>5130</v>
      </c>
      <c r="B125" s="9" t="s">
        <v>77</v>
      </c>
      <c r="C125" s="9" t="s">
        <v>405</v>
      </c>
      <c r="D125" s="54" t="s">
        <v>420</v>
      </c>
      <c r="E125" s="10" t="s">
        <v>34</v>
      </c>
      <c r="F125" s="10" t="s">
        <v>117</v>
      </c>
      <c r="G125" s="12" t="s">
        <v>1407</v>
      </c>
      <c r="H125" s="10" t="s">
        <v>50</v>
      </c>
      <c r="I125" s="10" t="s">
        <v>1197</v>
      </c>
      <c r="J125" s="10"/>
      <c r="K125" s="13" t="s">
        <v>1131</v>
      </c>
      <c r="L125" s="10" t="s">
        <v>1406</v>
      </c>
      <c r="M125" s="10"/>
      <c r="N125" s="54"/>
      <c r="O125" s="54"/>
      <c r="P125" s="10" t="s">
        <v>64</v>
      </c>
      <c r="Q125" s="9" t="s">
        <v>1408</v>
      </c>
      <c r="R125" s="9" t="s">
        <v>1409</v>
      </c>
      <c r="S125" s="54" t="s">
        <v>1410</v>
      </c>
      <c r="T125" s="54" t="s">
        <v>1411</v>
      </c>
      <c r="U125" s="54"/>
      <c r="V125" s="104"/>
    </row>
    <row r="126" spans="1:22" ht="64" x14ac:dyDescent="0.2">
      <c r="A126" s="8">
        <v>5131</v>
      </c>
      <c r="B126" s="9" t="s">
        <v>77</v>
      </c>
      <c r="C126" s="9" t="s">
        <v>405</v>
      </c>
      <c r="D126" s="54" t="s">
        <v>409</v>
      </c>
      <c r="E126" s="10" t="s">
        <v>34</v>
      </c>
      <c r="F126" s="10" t="s">
        <v>98</v>
      </c>
      <c r="G126" s="12" t="s">
        <v>1412</v>
      </c>
      <c r="H126" s="10" t="s">
        <v>50</v>
      </c>
      <c r="I126" s="10" t="s">
        <v>246</v>
      </c>
      <c r="J126" s="10"/>
      <c r="K126" s="13" t="s">
        <v>1131</v>
      </c>
      <c r="L126" s="10" t="s">
        <v>1406</v>
      </c>
      <c r="M126" s="10"/>
      <c r="N126" s="54"/>
      <c r="O126" s="54"/>
      <c r="P126" s="10" t="s">
        <v>64</v>
      </c>
      <c r="Q126" s="9" t="s">
        <v>1413</v>
      </c>
      <c r="R126" s="9" t="s">
        <v>416</v>
      </c>
      <c r="S126" s="54" t="s">
        <v>417</v>
      </c>
      <c r="T126" s="54" t="s">
        <v>1414</v>
      </c>
      <c r="U126" s="209" t="s">
        <v>269</v>
      </c>
      <c r="V126" s="104"/>
    </row>
    <row r="127" spans="1:22" ht="80" x14ac:dyDescent="0.2">
      <c r="A127" s="8">
        <v>5132</v>
      </c>
      <c r="B127" s="9" t="s">
        <v>77</v>
      </c>
      <c r="C127" s="9" t="s">
        <v>405</v>
      </c>
      <c r="D127" s="54" t="s">
        <v>409</v>
      </c>
      <c r="E127" s="10" t="s">
        <v>34</v>
      </c>
      <c r="F127" s="10" t="s">
        <v>197</v>
      </c>
      <c r="G127" s="12" t="s">
        <v>1397</v>
      </c>
      <c r="H127" s="10" t="s">
        <v>50</v>
      </c>
      <c r="I127" s="10" t="s">
        <v>1382</v>
      </c>
      <c r="J127" s="10"/>
      <c r="K127" s="13" t="s">
        <v>1131</v>
      </c>
      <c r="L127" s="10" t="s">
        <v>1406</v>
      </c>
      <c r="M127" s="10"/>
      <c r="N127" s="54"/>
      <c r="O127" s="54"/>
      <c r="P127" s="10" t="s">
        <v>64</v>
      </c>
      <c r="Q127" s="9" t="s">
        <v>1398</v>
      </c>
      <c r="R127" s="9" t="s">
        <v>1379</v>
      </c>
      <c r="S127" s="54" t="s">
        <v>1380</v>
      </c>
      <c r="T127" s="54" t="s">
        <v>1399</v>
      </c>
      <c r="U127" s="209" t="s">
        <v>269</v>
      </c>
      <c r="V127" s="104"/>
    </row>
    <row r="128" spans="1:22" ht="32" x14ac:dyDescent="0.2">
      <c r="A128" s="8">
        <v>5161</v>
      </c>
      <c r="B128" s="9" t="s">
        <v>77</v>
      </c>
      <c r="C128" s="9" t="s">
        <v>429</v>
      </c>
      <c r="D128" s="54" t="s">
        <v>1415</v>
      </c>
      <c r="E128" s="10" t="s">
        <v>34</v>
      </c>
      <c r="F128" s="10" t="s">
        <v>138</v>
      </c>
      <c r="G128" s="12" t="s">
        <v>1416</v>
      </c>
      <c r="H128" s="10" t="s">
        <v>37</v>
      </c>
      <c r="I128" s="10"/>
      <c r="J128" s="10"/>
      <c r="K128" s="13" t="s">
        <v>1417</v>
      </c>
      <c r="L128" s="10" t="s">
        <v>1418</v>
      </c>
      <c r="M128" s="10"/>
      <c r="N128" s="54"/>
      <c r="O128" s="54"/>
      <c r="P128" s="10" t="s">
        <v>64</v>
      </c>
      <c r="Q128" s="9" t="s">
        <v>449</v>
      </c>
      <c r="R128" s="9"/>
      <c r="S128" s="54" t="s">
        <v>1419</v>
      </c>
      <c r="T128" s="54"/>
      <c r="U128" s="92" t="s">
        <v>445</v>
      </c>
      <c r="V128" s="104"/>
    </row>
    <row r="129" spans="1:22" s="84" customFormat="1" ht="32" x14ac:dyDescent="0.2">
      <c r="A129" s="8">
        <v>5154</v>
      </c>
      <c r="B129" s="9" t="s">
        <v>77</v>
      </c>
      <c r="C129" s="9" t="s">
        <v>429</v>
      </c>
      <c r="D129" s="54" t="s">
        <v>440</v>
      </c>
      <c r="E129" s="10" t="s">
        <v>34</v>
      </c>
      <c r="F129" s="10" t="s">
        <v>138</v>
      </c>
      <c r="G129" s="12" t="s">
        <v>1420</v>
      </c>
      <c r="H129" s="10" t="s">
        <v>37</v>
      </c>
      <c r="I129" s="10"/>
      <c r="J129" s="10"/>
      <c r="K129" s="13" t="s">
        <v>1131</v>
      </c>
      <c r="L129" s="10" t="s">
        <v>1421</v>
      </c>
      <c r="M129" s="10"/>
      <c r="N129" s="54"/>
      <c r="O129" s="54"/>
      <c r="P129" s="10" t="s">
        <v>64</v>
      </c>
      <c r="Q129" s="9" t="s">
        <v>433</v>
      </c>
      <c r="R129" s="9"/>
      <c r="S129" s="54" t="s">
        <v>460</v>
      </c>
      <c r="T129" s="54"/>
      <c r="U129" s="54"/>
      <c r="V129" s="104"/>
    </row>
    <row r="130" spans="1:22" ht="32" x14ac:dyDescent="0.2">
      <c r="A130" s="8">
        <v>5165</v>
      </c>
      <c r="B130" s="9" t="s">
        <v>77</v>
      </c>
      <c r="C130" s="9" t="s">
        <v>429</v>
      </c>
      <c r="D130" s="54" t="s">
        <v>440</v>
      </c>
      <c r="E130" s="10" t="s">
        <v>34</v>
      </c>
      <c r="F130" s="10" t="s">
        <v>138</v>
      </c>
      <c r="G130" s="12" t="s">
        <v>1420</v>
      </c>
      <c r="H130" s="10" t="s">
        <v>37</v>
      </c>
      <c r="I130" s="10"/>
      <c r="J130" s="10"/>
      <c r="K130" s="13" t="s">
        <v>1131</v>
      </c>
      <c r="L130" s="8" t="s">
        <v>1421</v>
      </c>
      <c r="M130" s="8"/>
      <c r="N130" s="54"/>
      <c r="O130" s="54"/>
      <c r="P130" s="10" t="s">
        <v>64</v>
      </c>
      <c r="Q130" s="9" t="s">
        <v>433</v>
      </c>
      <c r="R130" s="9"/>
      <c r="S130" s="54" t="s">
        <v>1422</v>
      </c>
      <c r="T130" s="54"/>
      <c r="U130" s="92" t="s">
        <v>445</v>
      </c>
      <c r="V130" s="104"/>
    </row>
    <row r="131" spans="1:22" ht="32" x14ac:dyDescent="0.2">
      <c r="A131" s="8">
        <v>5151</v>
      </c>
      <c r="B131" s="9" t="s">
        <v>77</v>
      </c>
      <c r="C131" s="9" t="s">
        <v>429</v>
      </c>
      <c r="D131" s="54" t="s">
        <v>430</v>
      </c>
      <c r="E131" s="10" t="s">
        <v>34</v>
      </c>
      <c r="F131" s="10" t="s">
        <v>138</v>
      </c>
      <c r="G131" s="12" t="s">
        <v>1423</v>
      </c>
      <c r="H131" s="10" t="s">
        <v>37</v>
      </c>
      <c r="I131" s="10"/>
      <c r="J131" s="10"/>
      <c r="K131" s="13" t="s">
        <v>1131</v>
      </c>
      <c r="L131" s="10" t="s">
        <v>1421</v>
      </c>
      <c r="M131" s="10"/>
      <c r="N131" s="54"/>
      <c r="O131" s="54"/>
      <c r="P131" s="10" t="s">
        <v>64</v>
      </c>
      <c r="Q131" s="9" t="s">
        <v>439</v>
      </c>
      <c r="R131" s="9"/>
      <c r="S131" s="54" t="s">
        <v>460</v>
      </c>
      <c r="T131" s="54"/>
      <c r="U131" s="54"/>
      <c r="V131" s="104"/>
    </row>
    <row r="132" spans="1:22" ht="32" x14ac:dyDescent="0.2">
      <c r="A132" s="8">
        <v>5166</v>
      </c>
      <c r="B132" s="9" t="s">
        <v>77</v>
      </c>
      <c r="C132" s="9" t="s">
        <v>429</v>
      </c>
      <c r="D132" s="54" t="s">
        <v>430</v>
      </c>
      <c r="E132" s="10" t="s">
        <v>34</v>
      </c>
      <c r="F132" s="10" t="s">
        <v>138</v>
      </c>
      <c r="G132" s="12" t="s">
        <v>1423</v>
      </c>
      <c r="H132" s="10" t="s">
        <v>37</v>
      </c>
      <c r="I132" s="10"/>
      <c r="J132" s="10"/>
      <c r="K132" s="13" t="s">
        <v>1131</v>
      </c>
      <c r="L132" s="8" t="s">
        <v>1421</v>
      </c>
      <c r="M132" s="8"/>
      <c r="N132" s="54"/>
      <c r="O132" s="54"/>
      <c r="P132" s="10" t="s">
        <v>64</v>
      </c>
      <c r="Q132" s="9" t="s">
        <v>439</v>
      </c>
      <c r="R132" s="9"/>
      <c r="S132" s="54" t="s">
        <v>1422</v>
      </c>
      <c r="T132" s="54"/>
      <c r="U132" s="92" t="s">
        <v>445</v>
      </c>
      <c r="V132" s="104"/>
    </row>
    <row r="133" spans="1:22" ht="32" x14ac:dyDescent="0.2">
      <c r="A133" s="8">
        <v>5173</v>
      </c>
      <c r="B133" s="9" t="s">
        <v>77</v>
      </c>
      <c r="C133" s="9" t="s">
        <v>429</v>
      </c>
      <c r="D133" s="54" t="s">
        <v>430</v>
      </c>
      <c r="E133" s="10" t="s">
        <v>34</v>
      </c>
      <c r="F133" s="10" t="s">
        <v>98</v>
      </c>
      <c r="G133" s="12" t="s">
        <v>1424</v>
      </c>
      <c r="H133" s="10" t="s">
        <v>37</v>
      </c>
      <c r="I133" s="10"/>
      <c r="J133" s="10"/>
      <c r="K133" s="13" t="s">
        <v>1425</v>
      </c>
      <c r="L133" s="10" t="s">
        <v>1426</v>
      </c>
      <c r="M133" s="10"/>
      <c r="N133" s="54"/>
      <c r="O133" s="54"/>
      <c r="P133" s="10" t="s">
        <v>64</v>
      </c>
      <c r="Q133" s="9" t="s">
        <v>1427</v>
      </c>
      <c r="R133" s="9"/>
      <c r="S133" s="54" t="s">
        <v>1428</v>
      </c>
      <c r="T133" s="54"/>
      <c r="U133" s="209" t="s">
        <v>269</v>
      </c>
      <c r="V133" s="104"/>
    </row>
    <row r="134" spans="1:22" s="84" customFormat="1" ht="32" x14ac:dyDescent="0.2">
      <c r="A134" s="8">
        <v>5113</v>
      </c>
      <c r="B134" s="9" t="s">
        <v>77</v>
      </c>
      <c r="C134" s="9" t="s">
        <v>143</v>
      </c>
      <c r="D134" s="54" t="s">
        <v>144</v>
      </c>
      <c r="E134" s="10" t="s">
        <v>34</v>
      </c>
      <c r="F134" s="10" t="s">
        <v>98</v>
      </c>
      <c r="G134" s="12" t="s">
        <v>1429</v>
      </c>
      <c r="H134" s="10" t="s">
        <v>1348</v>
      </c>
      <c r="I134" s="10" t="s">
        <v>491</v>
      </c>
      <c r="J134" s="10"/>
      <c r="K134" s="13" t="s">
        <v>1131</v>
      </c>
      <c r="L134" s="10"/>
      <c r="M134" s="10"/>
      <c r="N134" s="54"/>
      <c r="O134" s="54"/>
      <c r="P134" s="10" t="s">
        <v>64</v>
      </c>
      <c r="Q134" s="9" t="s">
        <v>1430</v>
      </c>
      <c r="R134" s="9" t="s">
        <v>1431</v>
      </c>
      <c r="S134" s="54" t="s">
        <v>1432</v>
      </c>
      <c r="T134" s="54" t="s">
        <v>1433</v>
      </c>
      <c r="U134" s="54"/>
      <c r="V134" s="383"/>
    </row>
    <row r="135" spans="1:22" ht="32" x14ac:dyDescent="0.2">
      <c r="A135" s="8">
        <v>5114</v>
      </c>
      <c r="B135" s="9" t="s">
        <v>77</v>
      </c>
      <c r="C135" s="9" t="s">
        <v>143</v>
      </c>
      <c r="D135" s="54" t="s">
        <v>1434</v>
      </c>
      <c r="E135" s="10" t="s">
        <v>34</v>
      </c>
      <c r="F135" s="10"/>
      <c r="G135" s="12" t="s">
        <v>1435</v>
      </c>
      <c r="H135" s="10" t="s">
        <v>50</v>
      </c>
      <c r="I135" s="10" t="s">
        <v>491</v>
      </c>
      <c r="J135" s="10"/>
      <c r="K135" s="13" t="s">
        <v>1131</v>
      </c>
      <c r="L135" s="10"/>
      <c r="M135" s="10"/>
      <c r="N135" s="54"/>
      <c r="O135" s="54"/>
      <c r="P135" s="10" t="s">
        <v>64</v>
      </c>
      <c r="Q135" s="9" t="s">
        <v>1436</v>
      </c>
      <c r="R135" s="9" t="s">
        <v>1437</v>
      </c>
      <c r="S135" s="54" t="s">
        <v>1438</v>
      </c>
      <c r="T135" s="54" t="s">
        <v>111</v>
      </c>
      <c r="U135" s="83" t="s">
        <v>120</v>
      </c>
      <c r="V135" s="104"/>
    </row>
    <row r="136" spans="1:22" ht="64" x14ac:dyDescent="0.2">
      <c r="A136" s="8">
        <v>5115</v>
      </c>
      <c r="B136" s="9" t="s">
        <v>77</v>
      </c>
      <c r="C136" s="9" t="s">
        <v>143</v>
      </c>
      <c r="D136" s="54" t="s">
        <v>144</v>
      </c>
      <c r="E136" s="10" t="s">
        <v>34</v>
      </c>
      <c r="F136" s="10"/>
      <c r="G136" s="12" t="s">
        <v>1439</v>
      </c>
      <c r="H136" s="70" t="s">
        <v>359</v>
      </c>
      <c r="I136" s="10" t="s">
        <v>1260</v>
      </c>
      <c r="J136" s="10"/>
      <c r="K136" s="13" t="s">
        <v>1131</v>
      </c>
      <c r="L136" s="10"/>
      <c r="M136" s="10"/>
      <c r="N136" s="54"/>
      <c r="O136" s="54"/>
      <c r="P136" s="10" t="s">
        <v>64</v>
      </c>
      <c r="Q136" s="9" t="s">
        <v>1440</v>
      </c>
      <c r="R136" s="9" t="s">
        <v>1441</v>
      </c>
      <c r="S136" s="54" t="s">
        <v>1438</v>
      </c>
      <c r="T136" s="54" t="s">
        <v>1442</v>
      </c>
      <c r="U136" s="89" t="s">
        <v>445</v>
      </c>
      <c r="V136" s="104"/>
    </row>
    <row r="137" spans="1:22" ht="32" x14ac:dyDescent="0.2">
      <c r="A137" s="8">
        <v>5116</v>
      </c>
      <c r="B137" s="9" t="s">
        <v>77</v>
      </c>
      <c r="C137" s="9" t="s">
        <v>143</v>
      </c>
      <c r="D137" s="54" t="s">
        <v>144</v>
      </c>
      <c r="E137" s="10" t="s">
        <v>34</v>
      </c>
      <c r="F137" s="10"/>
      <c r="G137" s="12" t="s">
        <v>1443</v>
      </c>
      <c r="H137" s="10" t="s">
        <v>50</v>
      </c>
      <c r="I137" s="10" t="s">
        <v>246</v>
      </c>
      <c r="J137" s="10"/>
      <c r="K137" s="13" t="s">
        <v>1131</v>
      </c>
      <c r="L137" s="10"/>
      <c r="M137" s="10"/>
      <c r="N137" s="54"/>
      <c r="O137" s="54"/>
      <c r="P137" s="10" t="s">
        <v>64</v>
      </c>
      <c r="Q137" s="9" t="s">
        <v>1444</v>
      </c>
      <c r="R137" s="9" t="s">
        <v>1431</v>
      </c>
      <c r="S137" s="54" t="s">
        <v>1438</v>
      </c>
      <c r="T137" s="54" t="s">
        <v>111</v>
      </c>
      <c r="U137" s="89" t="s">
        <v>445</v>
      </c>
      <c r="V137" s="104"/>
    </row>
    <row r="138" spans="1:22" ht="48" x14ac:dyDescent="0.2">
      <c r="A138" s="8">
        <v>5117</v>
      </c>
      <c r="B138" s="9" t="s">
        <v>77</v>
      </c>
      <c r="C138" s="9" t="s">
        <v>143</v>
      </c>
      <c r="D138" s="54" t="s">
        <v>144</v>
      </c>
      <c r="E138" s="10" t="s">
        <v>34</v>
      </c>
      <c r="F138" s="10"/>
      <c r="G138" s="12" t="s">
        <v>1445</v>
      </c>
      <c r="H138" s="70" t="s">
        <v>359</v>
      </c>
      <c r="I138" s="10" t="s">
        <v>480</v>
      </c>
      <c r="J138" s="10"/>
      <c r="K138" s="13" t="s">
        <v>1131</v>
      </c>
      <c r="L138" s="10"/>
      <c r="M138" s="10"/>
      <c r="N138" s="54"/>
      <c r="O138" s="54"/>
      <c r="P138" s="10" t="s">
        <v>64</v>
      </c>
      <c r="Q138" s="9" t="s">
        <v>1446</v>
      </c>
      <c r="R138" s="9" t="s">
        <v>1437</v>
      </c>
      <c r="S138" s="54" t="s">
        <v>1438</v>
      </c>
      <c r="T138" s="54" t="s">
        <v>111</v>
      </c>
      <c r="U138" s="89" t="s">
        <v>445</v>
      </c>
      <c r="V138" s="104"/>
    </row>
    <row r="139" spans="1:22" s="84" customFormat="1" ht="43.5" customHeight="1" x14ac:dyDescent="0.2">
      <c r="A139" s="8">
        <v>5120</v>
      </c>
      <c r="B139" s="9" t="s">
        <v>77</v>
      </c>
      <c r="C139" s="9" t="s">
        <v>143</v>
      </c>
      <c r="D139" s="54" t="s">
        <v>144</v>
      </c>
      <c r="E139" s="10" t="s">
        <v>34</v>
      </c>
      <c r="F139" s="10" t="s">
        <v>98</v>
      </c>
      <c r="G139" s="12" t="s">
        <v>1447</v>
      </c>
      <c r="H139" s="10" t="s">
        <v>1348</v>
      </c>
      <c r="I139" s="10" t="s">
        <v>480</v>
      </c>
      <c r="J139" s="10"/>
      <c r="K139" s="13" t="s">
        <v>1131</v>
      </c>
      <c r="L139" s="10"/>
      <c r="M139" s="10"/>
      <c r="N139" s="54"/>
      <c r="O139" s="54"/>
      <c r="P139" s="10" t="s">
        <v>64</v>
      </c>
      <c r="Q139" s="9" t="s">
        <v>1448</v>
      </c>
      <c r="R139" s="9" t="s">
        <v>1449</v>
      </c>
      <c r="S139" s="54" t="s">
        <v>1450</v>
      </c>
      <c r="T139" s="54" t="s">
        <v>1451</v>
      </c>
      <c r="U139" s="83" t="s">
        <v>120</v>
      </c>
      <c r="V139" s="383"/>
    </row>
    <row r="140" spans="1:22" ht="16" x14ac:dyDescent="0.2">
      <c r="A140" s="8">
        <v>5057</v>
      </c>
      <c r="B140" s="9" t="s">
        <v>77</v>
      </c>
      <c r="C140" s="9" t="s">
        <v>122</v>
      </c>
      <c r="D140" s="54" t="s">
        <v>134</v>
      </c>
      <c r="E140" s="10" t="s">
        <v>34</v>
      </c>
      <c r="F140" s="10" t="s">
        <v>117</v>
      </c>
      <c r="G140" s="12" t="s">
        <v>194</v>
      </c>
      <c r="H140" s="10" t="s">
        <v>50</v>
      </c>
      <c r="I140" s="10"/>
      <c r="J140" s="10"/>
      <c r="K140" s="10" t="s">
        <v>1136</v>
      </c>
      <c r="L140" s="10"/>
      <c r="M140" s="10"/>
      <c r="N140" s="54"/>
      <c r="O140" s="54"/>
      <c r="P140" s="10" t="s">
        <v>159</v>
      </c>
      <c r="Q140" s="9" t="s">
        <v>1452</v>
      </c>
      <c r="R140" s="9"/>
      <c r="S140" s="54"/>
      <c r="T140" s="54"/>
      <c r="U140" s="209" t="s">
        <v>269</v>
      </c>
      <c r="V140" s="104"/>
    </row>
    <row r="141" spans="1:22" s="84" customFormat="1" ht="16" x14ac:dyDescent="0.2">
      <c r="A141" s="8">
        <v>5062</v>
      </c>
      <c r="B141" s="9" t="s">
        <v>77</v>
      </c>
      <c r="C141" s="9" t="s">
        <v>122</v>
      </c>
      <c r="D141" s="54" t="s">
        <v>134</v>
      </c>
      <c r="E141" s="10" t="s">
        <v>34</v>
      </c>
      <c r="F141" s="10" t="s">
        <v>197</v>
      </c>
      <c r="G141" s="12" t="s">
        <v>198</v>
      </c>
      <c r="H141" s="10" t="s">
        <v>50</v>
      </c>
      <c r="I141" s="10"/>
      <c r="J141" s="10"/>
      <c r="K141" s="10" t="s">
        <v>1136</v>
      </c>
      <c r="L141" s="10"/>
      <c r="M141" s="10"/>
      <c r="N141" s="54"/>
      <c r="O141" s="54"/>
      <c r="P141" s="10" t="s">
        <v>159</v>
      </c>
      <c r="Q141" s="9" t="s">
        <v>1453</v>
      </c>
      <c r="R141" s="9"/>
      <c r="S141" s="54"/>
      <c r="T141" s="54"/>
      <c r="U141" s="209" t="s">
        <v>269</v>
      </c>
      <c r="V141" s="383"/>
    </row>
    <row r="142" spans="1:22" s="84" customFormat="1" ht="16" x14ac:dyDescent="0.2">
      <c r="A142" s="8">
        <v>5063</v>
      </c>
      <c r="B142" s="9" t="s">
        <v>77</v>
      </c>
      <c r="C142" s="9" t="s">
        <v>122</v>
      </c>
      <c r="D142" s="54" t="s">
        <v>134</v>
      </c>
      <c r="E142" s="10" t="s">
        <v>34</v>
      </c>
      <c r="F142" s="10" t="s">
        <v>81</v>
      </c>
      <c r="G142" s="12" t="s">
        <v>252</v>
      </c>
      <c r="H142" s="10" t="s">
        <v>50</v>
      </c>
      <c r="I142" s="10"/>
      <c r="J142" s="10"/>
      <c r="K142" s="10" t="s">
        <v>1136</v>
      </c>
      <c r="L142" s="10"/>
      <c r="M142" s="10"/>
      <c r="N142" s="54"/>
      <c r="O142" s="54"/>
      <c r="P142" s="10" t="s">
        <v>159</v>
      </c>
      <c r="Q142" s="9" t="s">
        <v>1454</v>
      </c>
      <c r="R142" s="9"/>
      <c r="S142" s="54"/>
      <c r="T142" s="54"/>
      <c r="U142" s="209" t="s">
        <v>269</v>
      </c>
      <c r="V142" s="383"/>
    </row>
    <row r="143" spans="1:22" ht="16" x14ac:dyDescent="0.2">
      <c r="A143" s="8">
        <v>5066</v>
      </c>
      <c r="B143" s="9" t="s">
        <v>77</v>
      </c>
      <c r="C143" s="9" t="s">
        <v>122</v>
      </c>
      <c r="D143" s="54" t="s">
        <v>134</v>
      </c>
      <c r="E143" s="10" t="s">
        <v>34</v>
      </c>
      <c r="F143" s="10" t="s">
        <v>138</v>
      </c>
      <c r="G143" s="12" t="s">
        <v>194</v>
      </c>
      <c r="H143" s="10" t="s">
        <v>50</v>
      </c>
      <c r="I143" s="10"/>
      <c r="J143" s="10"/>
      <c r="K143" s="10" t="s">
        <v>1136</v>
      </c>
      <c r="L143" s="10"/>
      <c r="M143" s="10"/>
      <c r="N143" s="54"/>
      <c r="O143" s="54"/>
      <c r="P143" s="10" t="s">
        <v>1294</v>
      </c>
      <c r="Q143" s="9" t="s">
        <v>1455</v>
      </c>
      <c r="R143" s="9"/>
      <c r="S143" s="54"/>
      <c r="T143" s="54"/>
      <c r="U143" s="209" t="s">
        <v>269</v>
      </c>
      <c r="V143" s="104"/>
    </row>
    <row r="144" spans="1:22" s="84" customFormat="1" ht="16" x14ac:dyDescent="0.2">
      <c r="A144" s="8">
        <v>5067</v>
      </c>
      <c r="B144" s="9" t="s">
        <v>77</v>
      </c>
      <c r="C144" s="9" t="s">
        <v>122</v>
      </c>
      <c r="D144" s="54" t="s">
        <v>134</v>
      </c>
      <c r="E144" s="10" t="s">
        <v>34</v>
      </c>
      <c r="F144" s="10" t="s">
        <v>197</v>
      </c>
      <c r="G144" s="12" t="s">
        <v>198</v>
      </c>
      <c r="H144" s="10" t="s">
        <v>50</v>
      </c>
      <c r="I144" s="10"/>
      <c r="J144" s="10"/>
      <c r="K144" s="10" t="s">
        <v>1136</v>
      </c>
      <c r="L144" s="10"/>
      <c r="M144" s="10"/>
      <c r="N144" s="54"/>
      <c r="O144" s="54"/>
      <c r="P144" s="10" t="s">
        <v>1294</v>
      </c>
      <c r="Q144" s="9" t="s">
        <v>1456</v>
      </c>
      <c r="R144" s="9"/>
      <c r="S144" s="54"/>
      <c r="T144" s="54"/>
      <c r="U144" s="209" t="s">
        <v>269</v>
      </c>
      <c r="V144" s="383"/>
    </row>
    <row r="145" spans="1:22" ht="16" x14ac:dyDescent="0.2">
      <c r="A145" s="8">
        <v>5068</v>
      </c>
      <c r="B145" s="9" t="s">
        <v>77</v>
      </c>
      <c r="C145" s="9" t="s">
        <v>122</v>
      </c>
      <c r="D145" s="54" t="s">
        <v>134</v>
      </c>
      <c r="E145" s="10" t="s">
        <v>34</v>
      </c>
      <c r="F145" s="10" t="s">
        <v>81</v>
      </c>
      <c r="G145" s="12" t="s">
        <v>1457</v>
      </c>
      <c r="H145" s="10" t="s">
        <v>50</v>
      </c>
      <c r="I145" s="10"/>
      <c r="J145" s="10"/>
      <c r="K145" s="10" t="s">
        <v>1136</v>
      </c>
      <c r="L145" s="10"/>
      <c r="M145" s="10"/>
      <c r="N145" s="54"/>
      <c r="O145" s="54"/>
      <c r="P145" s="10" t="s">
        <v>1294</v>
      </c>
      <c r="Q145" s="9" t="s">
        <v>1458</v>
      </c>
      <c r="R145" s="9"/>
      <c r="S145" s="54"/>
      <c r="T145" s="54"/>
      <c r="U145" s="209" t="s">
        <v>269</v>
      </c>
      <c r="V145" s="104"/>
    </row>
    <row r="146" spans="1:22" ht="16" x14ac:dyDescent="0.2">
      <c r="A146" s="8">
        <v>5079</v>
      </c>
      <c r="B146" s="9" t="s">
        <v>77</v>
      </c>
      <c r="C146" s="9" t="s">
        <v>122</v>
      </c>
      <c r="D146" s="54" t="s">
        <v>202</v>
      </c>
      <c r="E146" s="10" t="s">
        <v>34</v>
      </c>
      <c r="F146" s="10" t="s">
        <v>117</v>
      </c>
      <c r="G146" s="12" t="s">
        <v>1298</v>
      </c>
      <c r="H146" s="10" t="s">
        <v>50</v>
      </c>
      <c r="I146" s="10"/>
      <c r="J146" s="10"/>
      <c r="K146" s="10" t="s">
        <v>1136</v>
      </c>
      <c r="L146" s="10"/>
      <c r="M146" s="10"/>
      <c r="N146" s="54"/>
      <c r="O146" s="54"/>
      <c r="P146" s="10" t="s">
        <v>64</v>
      </c>
      <c r="Q146" s="9"/>
      <c r="R146" s="91"/>
      <c r="S146" s="90"/>
      <c r="T146" s="54"/>
      <c r="U146" s="9"/>
      <c r="V146" s="104"/>
    </row>
    <row r="147" spans="1:22" s="84" customFormat="1" ht="16" x14ac:dyDescent="0.2">
      <c r="A147" s="8">
        <v>5080</v>
      </c>
      <c r="B147" s="9" t="s">
        <v>77</v>
      </c>
      <c r="C147" s="9" t="s">
        <v>122</v>
      </c>
      <c r="D147" s="54" t="s">
        <v>134</v>
      </c>
      <c r="E147" s="10" t="s">
        <v>34</v>
      </c>
      <c r="F147" s="10" t="s">
        <v>81</v>
      </c>
      <c r="G147" s="12" t="s">
        <v>1457</v>
      </c>
      <c r="H147" s="10" t="s">
        <v>50</v>
      </c>
      <c r="I147" s="10"/>
      <c r="J147" s="10"/>
      <c r="K147" s="10" t="s">
        <v>1136</v>
      </c>
      <c r="L147" s="10"/>
      <c r="M147" s="10"/>
      <c r="N147" s="54"/>
      <c r="O147" s="54"/>
      <c r="P147" s="10" t="s">
        <v>64</v>
      </c>
      <c r="Q147" s="9" t="s">
        <v>1297</v>
      </c>
      <c r="R147" s="9"/>
      <c r="S147" s="54"/>
      <c r="T147" s="54"/>
      <c r="U147" s="83" t="s">
        <v>120</v>
      </c>
      <c r="V147" s="383"/>
    </row>
    <row r="148" spans="1:22" ht="16" x14ac:dyDescent="0.2">
      <c r="A148" s="8">
        <v>5087</v>
      </c>
      <c r="B148" s="9" t="s">
        <v>77</v>
      </c>
      <c r="C148" s="9" t="s">
        <v>122</v>
      </c>
      <c r="D148" s="54" t="s">
        <v>161</v>
      </c>
      <c r="E148" s="10" t="s">
        <v>34</v>
      </c>
      <c r="F148" s="10" t="s">
        <v>98</v>
      </c>
      <c r="G148" s="12" t="s">
        <v>1459</v>
      </c>
      <c r="H148" s="10" t="s">
        <v>50</v>
      </c>
      <c r="I148" s="10"/>
      <c r="J148" s="10"/>
      <c r="K148" s="10" t="s">
        <v>1136</v>
      </c>
      <c r="L148" s="10"/>
      <c r="M148" s="10"/>
      <c r="N148" s="54"/>
      <c r="O148" s="54"/>
      <c r="P148" s="10" t="s">
        <v>132</v>
      </c>
      <c r="Q148" s="9"/>
      <c r="R148" s="9"/>
      <c r="S148" s="54"/>
      <c r="T148" s="54"/>
      <c r="U148" s="9"/>
      <c r="V148" s="104"/>
    </row>
    <row r="149" spans="1:22" ht="16" x14ac:dyDescent="0.2">
      <c r="A149" s="8">
        <v>5093</v>
      </c>
      <c r="B149" s="9" t="s">
        <v>77</v>
      </c>
      <c r="C149" s="9" t="s">
        <v>122</v>
      </c>
      <c r="D149" s="54" t="s">
        <v>161</v>
      </c>
      <c r="E149" s="10" t="s">
        <v>34</v>
      </c>
      <c r="F149" s="10" t="s">
        <v>138</v>
      </c>
      <c r="G149" s="12" t="s">
        <v>1460</v>
      </c>
      <c r="H149" s="10" t="s">
        <v>50</v>
      </c>
      <c r="I149" s="10"/>
      <c r="J149" s="10"/>
      <c r="K149" s="10" t="s">
        <v>1136</v>
      </c>
      <c r="L149" s="10"/>
      <c r="M149" s="10"/>
      <c r="N149" s="54"/>
      <c r="O149" s="54"/>
      <c r="P149" s="10" t="s">
        <v>132</v>
      </c>
      <c r="Q149" s="9"/>
      <c r="R149" s="9"/>
      <c r="S149" s="54"/>
      <c r="T149" s="54"/>
      <c r="U149" s="9"/>
      <c r="V149" s="104"/>
    </row>
    <row r="150" spans="1:22" ht="16" x14ac:dyDescent="0.2">
      <c r="A150" s="8">
        <v>5353</v>
      </c>
      <c r="B150" s="9" t="s">
        <v>77</v>
      </c>
      <c r="C150" s="9" t="s">
        <v>122</v>
      </c>
      <c r="D150" s="54" t="s">
        <v>134</v>
      </c>
      <c r="E150" s="10" t="s">
        <v>34</v>
      </c>
      <c r="F150" s="10" t="s">
        <v>1461</v>
      </c>
      <c r="G150" s="12" t="s">
        <v>160</v>
      </c>
      <c r="H150" s="10" t="s">
        <v>50</v>
      </c>
      <c r="I150" s="10"/>
      <c r="J150" s="10"/>
      <c r="K150" s="10" t="s">
        <v>1136</v>
      </c>
      <c r="L150" s="10"/>
      <c r="M150" s="10"/>
      <c r="N150" s="54"/>
      <c r="O150" s="54"/>
      <c r="P150" s="10" t="s">
        <v>64</v>
      </c>
      <c r="Q150" s="9"/>
      <c r="R150" s="9"/>
      <c r="S150" s="54"/>
      <c r="T150" s="9"/>
      <c r="U150" s="72"/>
      <c r="V150" s="104"/>
    </row>
    <row r="151" spans="1:22" ht="32" x14ac:dyDescent="0.2">
      <c r="A151" s="8">
        <v>5038</v>
      </c>
      <c r="B151" s="9" t="s">
        <v>77</v>
      </c>
      <c r="C151" s="9" t="s">
        <v>256</v>
      </c>
      <c r="D151" s="54" t="s">
        <v>275</v>
      </c>
      <c r="E151" s="10" t="s">
        <v>34</v>
      </c>
      <c r="F151" s="11" t="s">
        <v>98</v>
      </c>
      <c r="G151" s="12" t="s">
        <v>1462</v>
      </c>
      <c r="H151" s="11" t="s">
        <v>50</v>
      </c>
      <c r="I151" s="10"/>
      <c r="J151" s="10"/>
      <c r="K151" s="13" t="s">
        <v>1136</v>
      </c>
      <c r="L151" s="10"/>
      <c r="M151" s="10"/>
      <c r="N151" s="54"/>
      <c r="O151" s="54"/>
      <c r="P151" s="10" t="s">
        <v>1463</v>
      </c>
      <c r="Q151" s="9" t="s">
        <v>1464</v>
      </c>
      <c r="R151" s="9" t="s">
        <v>1465</v>
      </c>
      <c r="S151" s="54" t="s">
        <v>1466</v>
      </c>
      <c r="T151" s="54" t="s">
        <v>288</v>
      </c>
      <c r="U151" s="83" t="s">
        <v>120</v>
      </c>
      <c r="V151" s="104"/>
    </row>
    <row r="152" spans="1:22" ht="32" x14ac:dyDescent="0.2">
      <c r="A152" s="8">
        <v>5365</v>
      </c>
      <c r="B152" s="9" t="s">
        <v>77</v>
      </c>
      <c r="C152" s="9" t="s">
        <v>303</v>
      </c>
      <c r="D152" s="54" t="s">
        <v>307</v>
      </c>
      <c r="E152" s="10" t="s">
        <v>180</v>
      </c>
      <c r="F152" s="11" t="s">
        <v>117</v>
      </c>
      <c r="G152" s="12" t="s">
        <v>339</v>
      </c>
      <c r="H152" s="11" t="s">
        <v>1348</v>
      </c>
      <c r="I152" s="208"/>
      <c r="J152" s="208"/>
      <c r="K152" s="13" t="s">
        <v>1136</v>
      </c>
      <c r="L152" s="10"/>
      <c r="M152" s="10"/>
      <c r="N152" s="9"/>
      <c r="O152" s="9"/>
      <c r="P152" s="10" t="s">
        <v>1332</v>
      </c>
      <c r="Q152" s="9" t="s">
        <v>1335</v>
      </c>
      <c r="R152" s="9"/>
      <c r="S152" s="54"/>
      <c r="T152" s="54"/>
      <c r="U152" s="83" t="s">
        <v>120</v>
      </c>
      <c r="V152" s="104"/>
    </row>
    <row r="153" spans="1:22" ht="64" x14ac:dyDescent="0.2">
      <c r="A153" s="8">
        <v>5133</v>
      </c>
      <c r="B153" s="9" t="s">
        <v>77</v>
      </c>
      <c r="C153" s="9" t="s">
        <v>405</v>
      </c>
      <c r="D153" s="54" t="s">
        <v>409</v>
      </c>
      <c r="E153" s="10" t="s">
        <v>34</v>
      </c>
      <c r="F153" s="10" t="s">
        <v>138</v>
      </c>
      <c r="G153" s="12" t="s">
        <v>1467</v>
      </c>
      <c r="H153" s="10" t="s">
        <v>50</v>
      </c>
      <c r="I153" s="10" t="s">
        <v>246</v>
      </c>
      <c r="J153" s="10"/>
      <c r="K153" s="13" t="s">
        <v>1136</v>
      </c>
      <c r="L153" s="10" t="s">
        <v>1406</v>
      </c>
      <c r="M153" s="10"/>
      <c r="N153" s="54"/>
      <c r="O153" s="54"/>
      <c r="P153" s="10" t="s">
        <v>64</v>
      </c>
      <c r="Q153" s="9" t="s">
        <v>415</v>
      </c>
      <c r="R153" s="9" t="s">
        <v>416</v>
      </c>
      <c r="S153" s="54" t="s">
        <v>417</v>
      </c>
      <c r="T153" s="54" t="s">
        <v>418</v>
      </c>
      <c r="U153" s="209" t="s">
        <v>269</v>
      </c>
      <c r="V153" s="104"/>
    </row>
    <row r="154" spans="1:22" ht="32" x14ac:dyDescent="0.2">
      <c r="A154" s="8">
        <v>5158</v>
      </c>
      <c r="B154" s="9" t="s">
        <v>77</v>
      </c>
      <c r="C154" s="9" t="s">
        <v>429</v>
      </c>
      <c r="D154" s="54" t="s">
        <v>1415</v>
      </c>
      <c r="E154" s="10" t="s">
        <v>34</v>
      </c>
      <c r="F154" s="10" t="s">
        <v>98</v>
      </c>
      <c r="G154" s="12" t="s">
        <v>1468</v>
      </c>
      <c r="H154" s="10" t="s">
        <v>37</v>
      </c>
      <c r="I154" s="10"/>
      <c r="J154" s="10"/>
      <c r="K154" s="13" t="s">
        <v>1131</v>
      </c>
      <c r="L154" s="10" t="s">
        <v>1421</v>
      </c>
      <c r="M154" s="10"/>
      <c r="N154" s="54"/>
      <c r="O154" s="54"/>
      <c r="P154" s="10" t="s">
        <v>64</v>
      </c>
      <c r="Q154" s="9" t="s">
        <v>449</v>
      </c>
      <c r="R154" s="9"/>
      <c r="S154" s="54" t="s">
        <v>1469</v>
      </c>
      <c r="T154" s="54"/>
      <c r="U154" s="92" t="s">
        <v>445</v>
      </c>
      <c r="V154" s="104"/>
    </row>
    <row r="155" spans="1:22" ht="32" x14ac:dyDescent="0.2">
      <c r="A155" s="8">
        <v>5168</v>
      </c>
      <c r="B155" s="9" t="s">
        <v>77</v>
      </c>
      <c r="C155" s="9" t="s">
        <v>429</v>
      </c>
      <c r="D155" s="54" t="s">
        <v>1415</v>
      </c>
      <c r="E155" s="10" t="s">
        <v>34</v>
      </c>
      <c r="F155" s="201" t="s">
        <v>117</v>
      </c>
      <c r="G155" s="12" t="s">
        <v>1470</v>
      </c>
      <c r="H155" s="10" t="s">
        <v>37</v>
      </c>
      <c r="I155" s="10"/>
      <c r="J155" s="10"/>
      <c r="K155" s="13" t="s">
        <v>1471</v>
      </c>
      <c r="L155" s="10" t="s">
        <v>1418</v>
      </c>
      <c r="M155" s="10"/>
      <c r="N155" s="54"/>
      <c r="O155" s="54"/>
      <c r="P155" s="10" t="s">
        <v>64</v>
      </c>
      <c r="Q155" s="9" t="s">
        <v>449</v>
      </c>
      <c r="R155" s="9"/>
      <c r="S155" s="54" t="s">
        <v>1472</v>
      </c>
      <c r="T155" s="54"/>
      <c r="U155" s="209" t="s">
        <v>269</v>
      </c>
      <c r="V155" s="104"/>
    </row>
    <row r="156" spans="1:22" ht="32" x14ac:dyDescent="0.2">
      <c r="A156" s="8">
        <v>5169</v>
      </c>
      <c r="B156" s="9" t="s">
        <v>77</v>
      </c>
      <c r="C156" s="9" t="s">
        <v>429</v>
      </c>
      <c r="D156" s="54" t="s">
        <v>1473</v>
      </c>
      <c r="E156" s="10" t="s">
        <v>180</v>
      </c>
      <c r="F156" s="201" t="s">
        <v>98</v>
      </c>
      <c r="G156" s="12" t="s">
        <v>1474</v>
      </c>
      <c r="H156" s="10" t="s">
        <v>37</v>
      </c>
      <c r="I156" s="10"/>
      <c r="J156" s="10"/>
      <c r="K156" s="13" t="s">
        <v>1475</v>
      </c>
      <c r="L156" s="8" t="s">
        <v>1418</v>
      </c>
      <c r="M156" s="8"/>
      <c r="N156" s="54"/>
      <c r="O156" s="54"/>
      <c r="P156" s="10" t="s">
        <v>64</v>
      </c>
      <c r="Q156" s="9" t="s">
        <v>1476</v>
      </c>
      <c r="R156" s="9"/>
      <c r="S156" s="54" t="s">
        <v>1477</v>
      </c>
      <c r="T156" s="54"/>
      <c r="U156" s="209" t="s">
        <v>269</v>
      </c>
      <c r="V156" s="104"/>
    </row>
    <row r="157" spans="1:22" ht="32" x14ac:dyDescent="0.2">
      <c r="A157" s="8">
        <v>5172</v>
      </c>
      <c r="B157" s="9" t="s">
        <v>77</v>
      </c>
      <c r="C157" s="9" t="s">
        <v>429</v>
      </c>
      <c r="D157" s="54" t="s">
        <v>1473</v>
      </c>
      <c r="E157" s="10" t="s">
        <v>180</v>
      </c>
      <c r="F157" s="201" t="s">
        <v>98</v>
      </c>
      <c r="G157" s="12" t="s">
        <v>1478</v>
      </c>
      <c r="H157" s="10" t="s">
        <v>37</v>
      </c>
      <c r="I157" s="10"/>
      <c r="J157" s="10"/>
      <c r="K157" s="13" t="s">
        <v>1479</v>
      </c>
      <c r="L157" s="8" t="s">
        <v>1480</v>
      </c>
      <c r="M157" s="8"/>
      <c r="N157" s="54"/>
      <c r="O157" s="54"/>
      <c r="P157" s="10" t="s">
        <v>64</v>
      </c>
      <c r="Q157" s="9" t="s">
        <v>1476</v>
      </c>
      <c r="R157" s="9"/>
      <c r="S157" s="54" t="s">
        <v>1481</v>
      </c>
      <c r="T157" s="54"/>
      <c r="U157" s="209" t="s">
        <v>269</v>
      </c>
      <c r="V157" s="104"/>
    </row>
    <row r="158" spans="1:22" ht="32" x14ac:dyDescent="0.2">
      <c r="A158" s="8">
        <v>5167</v>
      </c>
      <c r="B158" s="9" t="s">
        <v>77</v>
      </c>
      <c r="C158" s="9" t="s">
        <v>429</v>
      </c>
      <c r="D158" s="54" t="s">
        <v>430</v>
      </c>
      <c r="E158" s="10" t="s">
        <v>34</v>
      </c>
      <c r="F158" s="10" t="s">
        <v>58</v>
      </c>
      <c r="G158" s="12" t="s">
        <v>1482</v>
      </c>
      <c r="H158" s="10" t="s">
        <v>37</v>
      </c>
      <c r="I158" s="10"/>
      <c r="J158" s="10"/>
      <c r="K158" s="13" t="s">
        <v>1425</v>
      </c>
      <c r="L158" s="8" t="s">
        <v>1421</v>
      </c>
      <c r="M158" s="8"/>
      <c r="N158" s="54"/>
      <c r="O158" s="54"/>
      <c r="P158" s="10" t="s">
        <v>64</v>
      </c>
      <c r="Q158" s="9" t="s">
        <v>1476</v>
      </c>
      <c r="R158" s="9"/>
      <c r="S158" s="54" t="s">
        <v>1483</v>
      </c>
      <c r="T158" s="54"/>
      <c r="U158" s="98" t="s">
        <v>1484</v>
      </c>
      <c r="V158" s="104"/>
    </row>
    <row r="159" spans="1:22" ht="48" x14ac:dyDescent="0.2">
      <c r="A159" s="8">
        <v>5118</v>
      </c>
      <c r="B159" s="9" t="s">
        <v>77</v>
      </c>
      <c r="C159" s="9" t="s">
        <v>143</v>
      </c>
      <c r="D159" s="54" t="s">
        <v>676</v>
      </c>
      <c r="E159" s="10" t="s">
        <v>34</v>
      </c>
      <c r="F159" s="10" t="s">
        <v>98</v>
      </c>
      <c r="G159" s="12" t="s">
        <v>1485</v>
      </c>
      <c r="H159" s="10" t="s">
        <v>1348</v>
      </c>
      <c r="I159" s="10" t="s">
        <v>480</v>
      </c>
      <c r="J159" s="10"/>
      <c r="K159" s="13" t="s">
        <v>1136</v>
      </c>
      <c r="L159" s="10"/>
      <c r="M159" s="10"/>
      <c r="N159" s="54"/>
      <c r="O159" s="54"/>
      <c r="P159" s="10" t="s">
        <v>64</v>
      </c>
      <c r="Q159" s="9" t="s">
        <v>1486</v>
      </c>
      <c r="R159" s="9" t="s">
        <v>1449</v>
      </c>
      <c r="S159" s="54" t="s">
        <v>1450</v>
      </c>
      <c r="T159" s="54" t="s">
        <v>1451</v>
      </c>
      <c r="U159" s="83" t="s">
        <v>120</v>
      </c>
      <c r="V159" s="104"/>
    </row>
    <row r="160" spans="1:22" ht="48" x14ac:dyDescent="0.2">
      <c r="A160" s="8">
        <v>5035</v>
      </c>
      <c r="B160" s="9" t="s">
        <v>77</v>
      </c>
      <c r="C160" s="9" t="s">
        <v>256</v>
      </c>
      <c r="D160" s="54" t="s">
        <v>272</v>
      </c>
      <c r="E160" s="10" t="s">
        <v>34</v>
      </c>
      <c r="F160" s="11" t="s">
        <v>138</v>
      </c>
      <c r="G160" s="12" t="s">
        <v>273</v>
      </c>
      <c r="H160" s="11" t="s">
        <v>50</v>
      </c>
      <c r="I160" s="10" t="s">
        <v>265</v>
      </c>
      <c r="J160" s="10"/>
      <c r="K160" s="13" t="s">
        <v>1140</v>
      </c>
      <c r="L160" s="10"/>
      <c r="M160" s="10"/>
      <c r="N160" s="54"/>
      <c r="O160" s="54"/>
      <c r="P160" s="10" t="s">
        <v>1487</v>
      </c>
      <c r="Q160" s="9" t="s">
        <v>278</v>
      </c>
      <c r="R160" s="9" t="s">
        <v>1488</v>
      </c>
      <c r="S160" s="54" t="s">
        <v>1489</v>
      </c>
      <c r="T160" s="54" t="s">
        <v>288</v>
      </c>
      <c r="U160" s="209" t="s">
        <v>269</v>
      </c>
      <c r="V160" s="104"/>
    </row>
    <row r="161" spans="1:22" ht="32" x14ac:dyDescent="0.2">
      <c r="A161" s="8">
        <v>5037</v>
      </c>
      <c r="B161" s="9" t="s">
        <v>77</v>
      </c>
      <c r="C161" s="9" t="s">
        <v>256</v>
      </c>
      <c r="D161" s="54" t="s">
        <v>1490</v>
      </c>
      <c r="E161" s="10" t="s">
        <v>34</v>
      </c>
      <c r="F161" s="11" t="s">
        <v>98</v>
      </c>
      <c r="G161" s="12" t="s">
        <v>1462</v>
      </c>
      <c r="H161" s="214" t="s">
        <v>50</v>
      </c>
      <c r="I161" s="10"/>
      <c r="J161" s="10"/>
      <c r="K161" s="13" t="s">
        <v>1140</v>
      </c>
      <c r="L161" s="10"/>
      <c r="M161" s="10"/>
      <c r="N161" s="54" t="s">
        <v>1491</v>
      </c>
      <c r="O161" s="54"/>
      <c r="P161" s="10" t="s">
        <v>132</v>
      </c>
      <c r="Q161" s="9" t="s">
        <v>1492</v>
      </c>
      <c r="R161" s="9" t="s">
        <v>1493</v>
      </c>
      <c r="S161" s="54" t="s">
        <v>1494</v>
      </c>
      <c r="T161" s="54" t="s">
        <v>288</v>
      </c>
      <c r="U161" s="209" t="s">
        <v>269</v>
      </c>
      <c r="V161" s="104"/>
    </row>
    <row r="162" spans="1:22" ht="32" x14ac:dyDescent="0.2">
      <c r="A162" s="8">
        <v>5039</v>
      </c>
      <c r="B162" s="9" t="s">
        <v>77</v>
      </c>
      <c r="C162" s="9" t="s">
        <v>256</v>
      </c>
      <c r="D162" s="54" t="s">
        <v>275</v>
      </c>
      <c r="E162" s="10" t="s">
        <v>34</v>
      </c>
      <c r="F162" s="11" t="s">
        <v>98</v>
      </c>
      <c r="G162" s="12" t="s">
        <v>1462</v>
      </c>
      <c r="H162" s="11" t="s">
        <v>50</v>
      </c>
      <c r="I162" s="10"/>
      <c r="J162" s="10"/>
      <c r="K162" s="13" t="s">
        <v>1140</v>
      </c>
      <c r="L162" s="10"/>
      <c r="M162" s="10"/>
      <c r="N162" s="54"/>
      <c r="O162" s="54"/>
      <c r="P162" s="10" t="s">
        <v>1463</v>
      </c>
      <c r="Q162" s="9" t="s">
        <v>1495</v>
      </c>
      <c r="R162" s="9" t="s">
        <v>1496</v>
      </c>
      <c r="S162" s="54" t="s">
        <v>1497</v>
      </c>
      <c r="T162" s="54" t="s">
        <v>288</v>
      </c>
      <c r="U162" s="209" t="s">
        <v>269</v>
      </c>
      <c r="V162" s="104"/>
    </row>
    <row r="163" spans="1:22" ht="48" x14ac:dyDescent="0.2">
      <c r="A163" s="8">
        <v>5040</v>
      </c>
      <c r="B163" s="9" t="s">
        <v>77</v>
      </c>
      <c r="C163" s="9" t="s">
        <v>256</v>
      </c>
      <c r="D163" s="54" t="s">
        <v>272</v>
      </c>
      <c r="E163" s="10" t="s">
        <v>34</v>
      </c>
      <c r="F163" s="11" t="s">
        <v>98</v>
      </c>
      <c r="G163" s="12" t="s">
        <v>1498</v>
      </c>
      <c r="H163" s="11" t="s">
        <v>50</v>
      </c>
      <c r="I163" s="10" t="s">
        <v>265</v>
      </c>
      <c r="J163" s="10"/>
      <c r="K163" s="13" t="s">
        <v>1140</v>
      </c>
      <c r="L163" s="10"/>
      <c r="M163" s="10"/>
      <c r="N163" s="54"/>
      <c r="O163" s="54"/>
      <c r="P163" s="10" t="s">
        <v>1499</v>
      </c>
      <c r="Q163" s="9" t="s">
        <v>1500</v>
      </c>
      <c r="R163" s="9" t="s">
        <v>1501</v>
      </c>
      <c r="S163" s="54" t="s">
        <v>1502</v>
      </c>
      <c r="T163" s="54" t="s">
        <v>111</v>
      </c>
      <c r="U163" s="209" t="s">
        <v>269</v>
      </c>
      <c r="V163" s="104"/>
    </row>
    <row r="164" spans="1:22" ht="48" x14ac:dyDescent="0.2">
      <c r="A164" s="8">
        <v>5041</v>
      </c>
      <c r="B164" s="9" t="s">
        <v>77</v>
      </c>
      <c r="C164" s="9" t="s">
        <v>256</v>
      </c>
      <c r="D164" s="54" t="s">
        <v>272</v>
      </c>
      <c r="E164" s="10" t="s">
        <v>34</v>
      </c>
      <c r="F164" s="11" t="s">
        <v>98</v>
      </c>
      <c r="G164" s="12" t="s">
        <v>1498</v>
      </c>
      <c r="H164" s="11" t="s">
        <v>50</v>
      </c>
      <c r="I164" s="10" t="s">
        <v>265</v>
      </c>
      <c r="J164" s="10"/>
      <c r="K164" s="13" t="s">
        <v>1140</v>
      </c>
      <c r="L164" s="10"/>
      <c r="M164" s="10"/>
      <c r="N164" s="54"/>
      <c r="O164" s="54"/>
      <c r="P164" s="10" t="s">
        <v>1487</v>
      </c>
      <c r="Q164" s="9" t="s">
        <v>1503</v>
      </c>
      <c r="R164" s="9" t="s">
        <v>1504</v>
      </c>
      <c r="S164" s="54" t="s">
        <v>1505</v>
      </c>
      <c r="T164" s="54" t="s">
        <v>111</v>
      </c>
      <c r="U164" s="209" t="s">
        <v>269</v>
      </c>
      <c r="V164" s="104"/>
    </row>
    <row r="165" spans="1:22" ht="32" x14ac:dyDescent="0.2">
      <c r="A165" s="8">
        <v>5042</v>
      </c>
      <c r="B165" s="9" t="s">
        <v>77</v>
      </c>
      <c r="C165" s="9" t="s">
        <v>256</v>
      </c>
      <c r="D165" s="54" t="s">
        <v>1490</v>
      </c>
      <c r="E165" s="10" t="s">
        <v>34</v>
      </c>
      <c r="F165" s="11" t="s">
        <v>48</v>
      </c>
      <c r="G165" s="12" t="s">
        <v>1506</v>
      </c>
      <c r="H165" s="11" t="s">
        <v>50</v>
      </c>
      <c r="I165" s="10"/>
      <c r="J165" s="10"/>
      <c r="K165" s="13" t="s">
        <v>1140</v>
      </c>
      <c r="L165" s="10"/>
      <c r="M165" s="10"/>
      <c r="N165" s="54" t="s">
        <v>1491</v>
      </c>
      <c r="O165" s="54"/>
      <c r="P165" s="10" t="s">
        <v>132</v>
      </c>
      <c r="Q165" s="9" t="s">
        <v>1507</v>
      </c>
      <c r="R165" s="9" t="s">
        <v>1508</v>
      </c>
      <c r="S165" s="54" t="s">
        <v>1509</v>
      </c>
      <c r="T165" s="54" t="s">
        <v>111</v>
      </c>
      <c r="U165" s="209" t="s">
        <v>269</v>
      </c>
      <c r="V165" s="104"/>
    </row>
    <row r="166" spans="1:22" ht="48" x14ac:dyDescent="0.2">
      <c r="A166" s="8">
        <v>5043</v>
      </c>
      <c r="B166" s="9" t="s">
        <v>77</v>
      </c>
      <c r="C166" s="9" t="s">
        <v>256</v>
      </c>
      <c r="D166" s="54" t="s">
        <v>272</v>
      </c>
      <c r="E166" s="10" t="s">
        <v>34</v>
      </c>
      <c r="F166" s="11" t="s">
        <v>98</v>
      </c>
      <c r="G166" s="348" t="s">
        <v>1510</v>
      </c>
      <c r="H166" s="11" t="s">
        <v>50</v>
      </c>
      <c r="I166" s="10" t="s">
        <v>265</v>
      </c>
      <c r="J166" s="10"/>
      <c r="K166" s="13" t="s">
        <v>1140</v>
      </c>
      <c r="L166" s="10"/>
      <c r="M166" s="10"/>
      <c r="N166" s="54"/>
      <c r="O166" s="54"/>
      <c r="P166" s="10" t="s">
        <v>1511</v>
      </c>
      <c r="Q166" s="9" t="s">
        <v>1512</v>
      </c>
      <c r="R166" s="9" t="s">
        <v>1513</v>
      </c>
      <c r="S166" s="54" t="s">
        <v>1502</v>
      </c>
      <c r="T166" s="54" t="s">
        <v>111</v>
      </c>
      <c r="U166" s="209" t="s">
        <v>269</v>
      </c>
      <c r="V166" s="104"/>
    </row>
    <row r="167" spans="1:22" ht="64" x14ac:dyDescent="0.2">
      <c r="A167" s="8">
        <v>5134</v>
      </c>
      <c r="B167" s="9" t="s">
        <v>77</v>
      </c>
      <c r="C167" s="9" t="s">
        <v>405</v>
      </c>
      <c r="D167" s="54" t="s">
        <v>409</v>
      </c>
      <c r="E167" s="10" t="s">
        <v>34</v>
      </c>
      <c r="F167" s="10" t="s">
        <v>98</v>
      </c>
      <c r="G167" s="12" t="s">
        <v>1412</v>
      </c>
      <c r="H167" s="10" t="s">
        <v>50</v>
      </c>
      <c r="I167" s="10" t="s">
        <v>246</v>
      </c>
      <c r="J167" s="10"/>
      <c r="K167" s="13" t="s">
        <v>1140</v>
      </c>
      <c r="L167" s="10" t="s">
        <v>1406</v>
      </c>
      <c r="M167" s="10"/>
      <c r="N167" s="54"/>
      <c r="O167" s="54"/>
      <c r="P167" s="10" t="s">
        <v>64</v>
      </c>
      <c r="Q167" s="9" t="s">
        <v>1413</v>
      </c>
      <c r="R167" s="9" t="s">
        <v>416</v>
      </c>
      <c r="S167" s="54" t="s">
        <v>417</v>
      </c>
      <c r="T167" s="54" t="s">
        <v>1414</v>
      </c>
      <c r="U167" s="54"/>
      <c r="V167" s="104"/>
    </row>
    <row r="168" spans="1:22" ht="32" x14ac:dyDescent="0.2">
      <c r="A168" s="8">
        <v>5159</v>
      </c>
      <c r="B168" s="9" t="s">
        <v>77</v>
      </c>
      <c r="C168" s="9" t="s">
        <v>429</v>
      </c>
      <c r="D168" s="54" t="s">
        <v>440</v>
      </c>
      <c r="E168" s="10" t="s">
        <v>34</v>
      </c>
      <c r="F168" s="10" t="s">
        <v>117</v>
      </c>
      <c r="G168" s="12" t="s">
        <v>1514</v>
      </c>
      <c r="H168" s="10" t="s">
        <v>37</v>
      </c>
      <c r="I168" s="10"/>
      <c r="J168" s="10"/>
      <c r="K168" s="13" t="s">
        <v>1136</v>
      </c>
      <c r="L168" s="10" t="s">
        <v>1418</v>
      </c>
      <c r="M168" s="10"/>
      <c r="N168" s="54"/>
      <c r="O168" s="54"/>
      <c r="P168" s="10" t="s">
        <v>64</v>
      </c>
      <c r="Q168" s="9" t="s">
        <v>433</v>
      </c>
      <c r="R168" s="9"/>
      <c r="S168" s="54" t="s">
        <v>1515</v>
      </c>
      <c r="T168" s="54"/>
      <c r="U168" s="92" t="s">
        <v>445</v>
      </c>
      <c r="V168" s="104"/>
    </row>
    <row r="169" spans="1:22" ht="32" x14ac:dyDescent="0.2">
      <c r="A169" s="8">
        <v>5170</v>
      </c>
      <c r="B169" s="9" t="s">
        <v>77</v>
      </c>
      <c r="C169" s="9" t="s">
        <v>429</v>
      </c>
      <c r="D169" s="54" t="s">
        <v>440</v>
      </c>
      <c r="E169" s="10" t="s">
        <v>34</v>
      </c>
      <c r="F169" s="10" t="s">
        <v>117</v>
      </c>
      <c r="G169" s="12" t="s">
        <v>1514</v>
      </c>
      <c r="H169" s="10" t="s">
        <v>37</v>
      </c>
      <c r="I169" s="10"/>
      <c r="J169" s="10"/>
      <c r="K169" s="13" t="s">
        <v>1140</v>
      </c>
      <c r="L169" s="8" t="s">
        <v>1516</v>
      </c>
      <c r="M169" s="8"/>
      <c r="N169" s="54"/>
      <c r="O169" s="54"/>
      <c r="P169" s="10" t="s">
        <v>64</v>
      </c>
      <c r="Q169" s="9" t="s">
        <v>433</v>
      </c>
      <c r="R169" s="9"/>
      <c r="S169" s="54" t="s">
        <v>1422</v>
      </c>
      <c r="T169" s="54"/>
      <c r="U169" s="209" t="s">
        <v>269</v>
      </c>
      <c r="V169" s="104"/>
    </row>
    <row r="170" spans="1:22" ht="48" x14ac:dyDescent="0.2">
      <c r="A170" s="8">
        <v>5119</v>
      </c>
      <c r="B170" s="9" t="s">
        <v>77</v>
      </c>
      <c r="C170" s="9" t="s">
        <v>143</v>
      </c>
      <c r="D170" s="54" t="s">
        <v>1517</v>
      </c>
      <c r="E170" s="10" t="s">
        <v>34</v>
      </c>
      <c r="F170" s="10" t="s">
        <v>98</v>
      </c>
      <c r="G170" s="12" t="s">
        <v>1518</v>
      </c>
      <c r="H170" s="10" t="s">
        <v>1348</v>
      </c>
      <c r="I170" s="10" t="s">
        <v>480</v>
      </c>
      <c r="J170" s="10"/>
      <c r="K170" s="13" t="s">
        <v>1140</v>
      </c>
      <c r="L170" s="10"/>
      <c r="M170" s="10"/>
      <c r="N170" s="54"/>
      <c r="O170" s="54"/>
      <c r="P170" s="10" t="s">
        <v>64</v>
      </c>
      <c r="Q170" s="9" t="s">
        <v>1519</v>
      </c>
      <c r="R170" s="9" t="s">
        <v>1449</v>
      </c>
      <c r="S170" s="54" t="s">
        <v>1450</v>
      </c>
      <c r="T170" s="54" t="s">
        <v>1451</v>
      </c>
      <c r="U170" s="83" t="s">
        <v>120</v>
      </c>
      <c r="V170" s="104"/>
    </row>
    <row r="171" spans="1:22" ht="32" x14ac:dyDescent="0.2">
      <c r="A171" s="8">
        <v>5354</v>
      </c>
      <c r="B171" s="9" t="s">
        <v>77</v>
      </c>
      <c r="C171" s="9" t="s">
        <v>256</v>
      </c>
      <c r="D171" s="54" t="s">
        <v>272</v>
      </c>
      <c r="E171" s="10" t="s">
        <v>180</v>
      </c>
      <c r="F171" s="11" t="s">
        <v>138</v>
      </c>
      <c r="G171" s="12" t="s">
        <v>273</v>
      </c>
      <c r="H171" s="11" t="s">
        <v>37</v>
      </c>
      <c r="I171" s="10"/>
      <c r="J171" s="10"/>
      <c r="K171" s="13" t="s">
        <v>1520</v>
      </c>
      <c r="L171" s="10"/>
      <c r="M171" s="10"/>
      <c r="N171" s="54"/>
      <c r="O171" s="54"/>
      <c r="P171" s="349" t="s">
        <v>1499</v>
      </c>
      <c r="Q171" s="9" t="s">
        <v>278</v>
      </c>
      <c r="R171" s="9"/>
      <c r="S171" s="54" t="s">
        <v>1521</v>
      </c>
      <c r="T171" s="54"/>
      <c r="U171" s="83" t="s">
        <v>120</v>
      </c>
      <c r="V171" s="104"/>
    </row>
    <row r="172" spans="1:22" ht="48" x14ac:dyDescent="0.2">
      <c r="A172" s="8">
        <v>5135</v>
      </c>
      <c r="B172" s="9" t="s">
        <v>77</v>
      </c>
      <c r="C172" s="9" t="s">
        <v>405</v>
      </c>
      <c r="D172" s="54" t="s">
        <v>409</v>
      </c>
      <c r="E172" s="10" t="s">
        <v>34</v>
      </c>
      <c r="F172" s="10" t="s">
        <v>117</v>
      </c>
      <c r="G172" s="12" t="s">
        <v>1522</v>
      </c>
      <c r="H172" s="10" t="s">
        <v>50</v>
      </c>
      <c r="I172" s="10" t="s">
        <v>1260</v>
      </c>
      <c r="J172" s="10"/>
      <c r="K172" s="13" t="s">
        <v>1520</v>
      </c>
      <c r="L172" s="10" t="s">
        <v>1406</v>
      </c>
      <c r="M172" s="10"/>
      <c r="N172" s="54"/>
      <c r="O172" s="54"/>
      <c r="P172" s="10" t="s">
        <v>64</v>
      </c>
      <c r="Q172" s="9" t="s">
        <v>1523</v>
      </c>
      <c r="R172" s="9" t="s">
        <v>1524</v>
      </c>
      <c r="S172" s="54" t="s">
        <v>1525</v>
      </c>
      <c r="T172" s="54" t="s">
        <v>1411</v>
      </c>
      <c r="U172" s="89" t="s">
        <v>445</v>
      </c>
      <c r="V172" s="104"/>
    </row>
    <row r="173" spans="1:22" ht="80" x14ac:dyDescent="0.2">
      <c r="A173" s="8">
        <v>5136</v>
      </c>
      <c r="B173" s="9" t="s">
        <v>77</v>
      </c>
      <c r="C173" s="9" t="s">
        <v>405</v>
      </c>
      <c r="D173" s="54" t="s">
        <v>420</v>
      </c>
      <c r="E173" s="10" t="s">
        <v>34</v>
      </c>
      <c r="F173" s="10" t="s">
        <v>117</v>
      </c>
      <c r="G173" s="12" t="s">
        <v>1526</v>
      </c>
      <c r="H173" s="10" t="s">
        <v>50</v>
      </c>
      <c r="I173" s="10" t="s">
        <v>1382</v>
      </c>
      <c r="J173" s="10"/>
      <c r="K173" s="13" t="s">
        <v>1520</v>
      </c>
      <c r="L173" s="10" t="s">
        <v>1406</v>
      </c>
      <c r="M173" s="10"/>
      <c r="N173" s="54"/>
      <c r="O173" s="54"/>
      <c r="P173" s="10" t="s">
        <v>64</v>
      </c>
      <c r="Q173" s="9" t="s">
        <v>1527</v>
      </c>
      <c r="R173" s="9" t="s">
        <v>1528</v>
      </c>
      <c r="S173" s="54" t="s">
        <v>1529</v>
      </c>
      <c r="T173" s="54" t="s">
        <v>1530</v>
      </c>
      <c r="U173" s="99" t="s">
        <v>1484</v>
      </c>
      <c r="V173" s="104"/>
    </row>
    <row r="174" spans="1:22" ht="32" x14ac:dyDescent="0.2">
      <c r="A174" s="8">
        <v>5137</v>
      </c>
      <c r="B174" s="9" t="s">
        <v>77</v>
      </c>
      <c r="C174" s="9" t="s">
        <v>405</v>
      </c>
      <c r="D174" s="54" t="s">
        <v>409</v>
      </c>
      <c r="E174" s="10" t="s">
        <v>34</v>
      </c>
      <c r="F174" s="10" t="s">
        <v>48</v>
      </c>
      <c r="G174" s="12" t="s">
        <v>1531</v>
      </c>
      <c r="H174" s="10" t="s">
        <v>1348</v>
      </c>
      <c r="I174" s="10" t="s">
        <v>246</v>
      </c>
      <c r="J174" s="10"/>
      <c r="K174" s="13" t="s">
        <v>1520</v>
      </c>
      <c r="L174" s="10" t="s">
        <v>1406</v>
      </c>
      <c r="M174" s="10"/>
      <c r="N174" s="54"/>
      <c r="O174" s="54"/>
      <c r="P174" s="10" t="s">
        <v>64</v>
      </c>
      <c r="Q174" s="9" t="s">
        <v>1532</v>
      </c>
      <c r="R174" s="9" t="s">
        <v>1533</v>
      </c>
      <c r="S174" s="54" t="s">
        <v>1534</v>
      </c>
      <c r="T174" s="54" t="s">
        <v>111</v>
      </c>
      <c r="U174" s="99" t="s">
        <v>1484</v>
      </c>
      <c r="V174" s="104"/>
    </row>
    <row r="175" spans="1:22" ht="32" x14ac:dyDescent="0.2">
      <c r="A175" s="8">
        <v>5138</v>
      </c>
      <c r="B175" s="9" t="s">
        <v>77</v>
      </c>
      <c r="C175" s="9" t="s">
        <v>405</v>
      </c>
      <c r="D175" s="54" t="s">
        <v>409</v>
      </c>
      <c r="E175" s="10" t="s">
        <v>34</v>
      </c>
      <c r="F175" s="10" t="s">
        <v>98</v>
      </c>
      <c r="G175" s="12" t="s">
        <v>1535</v>
      </c>
      <c r="H175" s="10" t="s">
        <v>1348</v>
      </c>
      <c r="I175" s="10" t="s">
        <v>246</v>
      </c>
      <c r="J175" s="10"/>
      <c r="K175" s="13" t="s">
        <v>1520</v>
      </c>
      <c r="L175" s="10" t="s">
        <v>1406</v>
      </c>
      <c r="M175" s="10"/>
      <c r="N175" s="54"/>
      <c r="O175" s="54"/>
      <c r="P175" s="10" t="s">
        <v>64</v>
      </c>
      <c r="Q175" s="9" t="s">
        <v>1532</v>
      </c>
      <c r="R175" s="9" t="s">
        <v>1533</v>
      </c>
      <c r="S175" s="54" t="s">
        <v>1534</v>
      </c>
      <c r="T175" s="54" t="s">
        <v>111</v>
      </c>
      <c r="U175" s="99" t="s">
        <v>1484</v>
      </c>
      <c r="V175" s="104"/>
    </row>
    <row r="176" spans="1:22" ht="32" x14ac:dyDescent="0.2">
      <c r="A176" s="8">
        <v>5139</v>
      </c>
      <c r="B176" s="9" t="s">
        <v>77</v>
      </c>
      <c r="C176" s="9" t="s">
        <v>405</v>
      </c>
      <c r="D176" s="54" t="s">
        <v>409</v>
      </c>
      <c r="E176" s="10" t="s">
        <v>34</v>
      </c>
      <c r="F176" s="10" t="s">
        <v>98</v>
      </c>
      <c r="G176" s="12" t="s">
        <v>1535</v>
      </c>
      <c r="H176" s="10" t="s">
        <v>1348</v>
      </c>
      <c r="I176" s="10" t="s">
        <v>246</v>
      </c>
      <c r="J176" s="10"/>
      <c r="K176" s="13" t="s">
        <v>1520</v>
      </c>
      <c r="L176" s="10" t="s">
        <v>1406</v>
      </c>
      <c r="M176" s="10"/>
      <c r="N176" s="54"/>
      <c r="O176" s="54"/>
      <c r="P176" s="10" t="s">
        <v>64</v>
      </c>
      <c r="Q176" s="9" t="s">
        <v>1532</v>
      </c>
      <c r="R176" s="9" t="s">
        <v>1533</v>
      </c>
      <c r="S176" s="54" t="s">
        <v>1536</v>
      </c>
      <c r="T176" s="54" t="s">
        <v>111</v>
      </c>
      <c r="U176" s="99" t="s">
        <v>1484</v>
      </c>
      <c r="V176" s="104"/>
    </row>
    <row r="177" spans="1:22" ht="32" x14ac:dyDescent="0.2">
      <c r="A177" s="8">
        <v>5140</v>
      </c>
      <c r="B177" s="9" t="s">
        <v>77</v>
      </c>
      <c r="C177" s="9" t="s">
        <v>405</v>
      </c>
      <c r="D177" s="54" t="s">
        <v>409</v>
      </c>
      <c r="E177" s="10" t="s">
        <v>34</v>
      </c>
      <c r="F177" s="10" t="s">
        <v>98</v>
      </c>
      <c r="G177" s="12" t="s">
        <v>1535</v>
      </c>
      <c r="H177" s="10" t="s">
        <v>1348</v>
      </c>
      <c r="I177" s="10" t="s">
        <v>246</v>
      </c>
      <c r="J177" s="10"/>
      <c r="K177" s="13" t="s">
        <v>1520</v>
      </c>
      <c r="L177" s="10" t="s">
        <v>1406</v>
      </c>
      <c r="M177" s="10"/>
      <c r="N177" s="54"/>
      <c r="O177" s="54"/>
      <c r="P177" s="10" t="s">
        <v>64</v>
      </c>
      <c r="Q177" s="9" t="s">
        <v>1532</v>
      </c>
      <c r="R177" s="9" t="s">
        <v>1533</v>
      </c>
      <c r="S177" s="54" t="s">
        <v>1534</v>
      </c>
      <c r="T177" s="54" t="s">
        <v>111</v>
      </c>
      <c r="U177" s="99" t="s">
        <v>1484</v>
      </c>
      <c r="V177" s="104"/>
    </row>
    <row r="178" spans="1:22" ht="32" x14ac:dyDescent="0.2">
      <c r="A178" s="8">
        <v>5141</v>
      </c>
      <c r="B178" s="9" t="s">
        <v>77</v>
      </c>
      <c r="C178" s="9" t="s">
        <v>405</v>
      </c>
      <c r="D178" s="54" t="s">
        <v>409</v>
      </c>
      <c r="E178" s="10" t="s">
        <v>34</v>
      </c>
      <c r="F178" s="10" t="s">
        <v>98</v>
      </c>
      <c r="G178" s="12" t="s">
        <v>1535</v>
      </c>
      <c r="H178" s="10" t="s">
        <v>1348</v>
      </c>
      <c r="I178" s="10" t="s">
        <v>246</v>
      </c>
      <c r="J178" s="10"/>
      <c r="K178" s="13" t="s">
        <v>1520</v>
      </c>
      <c r="L178" s="10" t="s">
        <v>1406</v>
      </c>
      <c r="M178" s="10"/>
      <c r="N178" s="54"/>
      <c r="O178" s="54"/>
      <c r="P178" s="10" t="s">
        <v>64</v>
      </c>
      <c r="Q178" s="9" t="s">
        <v>1532</v>
      </c>
      <c r="R178" s="9" t="s">
        <v>1533</v>
      </c>
      <c r="S178" s="54" t="s">
        <v>1537</v>
      </c>
      <c r="T178" s="54" t="s">
        <v>111</v>
      </c>
      <c r="U178" s="99" t="s">
        <v>1484</v>
      </c>
      <c r="V178" s="104"/>
    </row>
    <row r="179" spans="1:22" ht="32" x14ac:dyDescent="0.2">
      <c r="A179" s="8">
        <v>5142</v>
      </c>
      <c r="B179" s="9" t="s">
        <v>77</v>
      </c>
      <c r="C179" s="9" t="s">
        <v>405</v>
      </c>
      <c r="D179" s="54" t="s">
        <v>409</v>
      </c>
      <c r="E179" s="10" t="s">
        <v>34</v>
      </c>
      <c r="F179" s="10" t="s">
        <v>138</v>
      </c>
      <c r="G179" s="12" t="s">
        <v>1538</v>
      </c>
      <c r="H179" s="10" t="s">
        <v>1348</v>
      </c>
      <c r="I179" s="10" t="s">
        <v>246</v>
      </c>
      <c r="J179" s="10"/>
      <c r="K179" s="13" t="s">
        <v>1520</v>
      </c>
      <c r="L179" s="10" t="s">
        <v>1406</v>
      </c>
      <c r="M179" s="10"/>
      <c r="N179" s="54"/>
      <c r="O179" s="54"/>
      <c r="P179" s="10" t="s">
        <v>64</v>
      </c>
      <c r="Q179" s="9" t="s">
        <v>1532</v>
      </c>
      <c r="R179" s="9" t="s">
        <v>1533</v>
      </c>
      <c r="S179" s="54" t="s">
        <v>1539</v>
      </c>
      <c r="T179" s="54" t="s">
        <v>111</v>
      </c>
      <c r="U179" s="99" t="s">
        <v>1484</v>
      </c>
      <c r="V179" s="104"/>
    </row>
    <row r="180" spans="1:22" ht="32" x14ac:dyDescent="0.2">
      <c r="A180" s="8">
        <v>5143</v>
      </c>
      <c r="B180" s="9" t="s">
        <v>77</v>
      </c>
      <c r="C180" s="9" t="s">
        <v>405</v>
      </c>
      <c r="D180" s="54" t="s">
        <v>409</v>
      </c>
      <c r="E180" s="10" t="s">
        <v>34</v>
      </c>
      <c r="F180" s="10" t="s">
        <v>138</v>
      </c>
      <c r="G180" s="12" t="s">
        <v>1538</v>
      </c>
      <c r="H180" s="10" t="s">
        <v>1348</v>
      </c>
      <c r="I180" s="10" t="s">
        <v>246</v>
      </c>
      <c r="J180" s="10"/>
      <c r="K180" s="13" t="s">
        <v>1520</v>
      </c>
      <c r="L180" s="10" t="s">
        <v>1406</v>
      </c>
      <c r="M180" s="10"/>
      <c r="N180" s="54"/>
      <c r="O180" s="54"/>
      <c r="P180" s="10" t="s">
        <v>64</v>
      </c>
      <c r="Q180" s="9" t="s">
        <v>1532</v>
      </c>
      <c r="R180" s="9" t="s">
        <v>1533</v>
      </c>
      <c r="S180" s="54" t="s">
        <v>1539</v>
      </c>
      <c r="T180" s="54" t="s">
        <v>111</v>
      </c>
      <c r="U180" s="99" t="s">
        <v>1484</v>
      </c>
      <c r="V180" s="104"/>
    </row>
    <row r="181" spans="1:22" ht="32" x14ac:dyDescent="0.2">
      <c r="A181" s="8">
        <v>5144</v>
      </c>
      <c r="B181" s="9" t="s">
        <v>77</v>
      </c>
      <c r="C181" s="9" t="s">
        <v>405</v>
      </c>
      <c r="D181" s="54" t="s">
        <v>409</v>
      </c>
      <c r="E181" s="10" t="s">
        <v>34</v>
      </c>
      <c r="F181" s="10" t="s">
        <v>138</v>
      </c>
      <c r="G181" s="12" t="s">
        <v>1538</v>
      </c>
      <c r="H181" s="10" t="s">
        <v>1348</v>
      </c>
      <c r="I181" s="10" t="s">
        <v>246</v>
      </c>
      <c r="J181" s="10"/>
      <c r="K181" s="13" t="s">
        <v>1520</v>
      </c>
      <c r="L181" s="10" t="s">
        <v>1406</v>
      </c>
      <c r="M181" s="10"/>
      <c r="N181" s="54"/>
      <c r="O181" s="54"/>
      <c r="P181" s="10" t="s">
        <v>64</v>
      </c>
      <c r="Q181" s="9" t="s">
        <v>1532</v>
      </c>
      <c r="R181" s="9" t="s">
        <v>1533</v>
      </c>
      <c r="S181" s="54" t="s">
        <v>1539</v>
      </c>
      <c r="T181" s="54" t="s">
        <v>111</v>
      </c>
      <c r="U181" s="99" t="s">
        <v>1484</v>
      </c>
      <c r="V181" s="104"/>
    </row>
    <row r="182" spans="1:22" ht="64" x14ac:dyDescent="0.2">
      <c r="A182" s="8">
        <v>5145</v>
      </c>
      <c r="B182" s="9" t="s">
        <v>77</v>
      </c>
      <c r="C182" s="9" t="s">
        <v>405</v>
      </c>
      <c r="D182" s="54" t="s">
        <v>409</v>
      </c>
      <c r="E182" s="10" t="s">
        <v>34</v>
      </c>
      <c r="F182" s="10" t="s">
        <v>117</v>
      </c>
      <c r="G182" s="12" t="s">
        <v>1540</v>
      </c>
      <c r="H182" s="10" t="s">
        <v>1348</v>
      </c>
      <c r="I182" s="10" t="s">
        <v>246</v>
      </c>
      <c r="J182" s="10"/>
      <c r="K182" s="13" t="s">
        <v>1520</v>
      </c>
      <c r="L182" s="10" t="s">
        <v>1406</v>
      </c>
      <c r="M182" s="10"/>
      <c r="N182" s="54"/>
      <c r="O182" s="54"/>
      <c r="P182" s="10" t="s">
        <v>64</v>
      </c>
      <c r="Q182" s="9" t="s">
        <v>1541</v>
      </c>
      <c r="R182" s="9" t="s">
        <v>1542</v>
      </c>
      <c r="S182" s="54" t="s">
        <v>1543</v>
      </c>
      <c r="T182" s="54" t="s">
        <v>1544</v>
      </c>
      <c r="U182" s="54"/>
      <c r="V182" s="104"/>
    </row>
    <row r="183" spans="1:22" ht="32" x14ac:dyDescent="0.2">
      <c r="A183" s="8">
        <v>5160</v>
      </c>
      <c r="B183" s="9" t="s">
        <v>77</v>
      </c>
      <c r="C183" s="9" t="s">
        <v>429</v>
      </c>
      <c r="D183" s="54" t="s">
        <v>430</v>
      </c>
      <c r="E183" s="10" t="s">
        <v>34</v>
      </c>
      <c r="F183" s="10" t="s">
        <v>117</v>
      </c>
      <c r="G183" s="12" t="s">
        <v>1545</v>
      </c>
      <c r="H183" s="10" t="s">
        <v>37</v>
      </c>
      <c r="I183" s="10"/>
      <c r="J183" s="10"/>
      <c r="K183" s="13" t="s">
        <v>1136</v>
      </c>
      <c r="L183" s="10" t="s">
        <v>1418</v>
      </c>
      <c r="M183" s="10"/>
      <c r="N183" s="54"/>
      <c r="O183" s="54"/>
      <c r="P183" s="10" t="s">
        <v>64</v>
      </c>
      <c r="Q183" s="9" t="s">
        <v>439</v>
      </c>
      <c r="R183" s="9"/>
      <c r="S183" s="54" t="s">
        <v>1515</v>
      </c>
      <c r="T183" s="54"/>
      <c r="U183" s="92" t="s">
        <v>445</v>
      </c>
      <c r="V183" s="383"/>
    </row>
    <row r="184" spans="1:22" ht="32" x14ac:dyDescent="0.2">
      <c r="A184" s="8">
        <v>5171</v>
      </c>
      <c r="B184" s="9" t="s">
        <v>77</v>
      </c>
      <c r="C184" s="9" t="s">
        <v>429</v>
      </c>
      <c r="D184" s="54" t="s">
        <v>430</v>
      </c>
      <c r="E184" s="10" t="s">
        <v>34</v>
      </c>
      <c r="F184" s="10" t="s">
        <v>117</v>
      </c>
      <c r="G184" s="12" t="s">
        <v>1545</v>
      </c>
      <c r="H184" s="10" t="s">
        <v>37</v>
      </c>
      <c r="I184" s="10"/>
      <c r="J184" s="10"/>
      <c r="K184" s="13" t="s">
        <v>1140</v>
      </c>
      <c r="L184" s="8" t="s">
        <v>1516</v>
      </c>
      <c r="M184" s="8"/>
      <c r="N184" s="54"/>
      <c r="O184" s="54"/>
      <c r="P184" s="10" t="s">
        <v>64</v>
      </c>
      <c r="Q184" s="9" t="s">
        <v>439</v>
      </c>
      <c r="R184" s="9"/>
      <c r="S184" s="54" t="s">
        <v>1422</v>
      </c>
      <c r="T184" s="54"/>
      <c r="U184" s="209" t="s">
        <v>269</v>
      </c>
      <c r="V184" s="104"/>
    </row>
    <row r="185" spans="1:22" ht="16" x14ac:dyDescent="0.2">
      <c r="A185" s="8">
        <v>5069</v>
      </c>
      <c r="B185" s="9" t="s">
        <v>77</v>
      </c>
      <c r="C185" s="9" t="s">
        <v>122</v>
      </c>
      <c r="D185" s="54" t="s">
        <v>134</v>
      </c>
      <c r="E185" s="10" t="s">
        <v>34</v>
      </c>
      <c r="F185" s="10" t="s">
        <v>1546</v>
      </c>
      <c r="G185" s="12" t="s">
        <v>1547</v>
      </c>
      <c r="H185" s="10" t="s">
        <v>50</v>
      </c>
      <c r="I185" s="10"/>
      <c r="J185" s="10"/>
      <c r="K185" s="10" t="s">
        <v>1229</v>
      </c>
      <c r="L185" s="10"/>
      <c r="M185" s="10"/>
      <c r="N185" s="54"/>
      <c r="O185" s="54"/>
      <c r="P185" s="10" t="s">
        <v>1294</v>
      </c>
      <c r="Q185" s="9"/>
      <c r="R185" s="9"/>
      <c r="S185" s="54"/>
      <c r="T185" s="54"/>
      <c r="U185" s="209" t="s">
        <v>269</v>
      </c>
      <c r="V185" s="104"/>
    </row>
    <row r="186" spans="1:22" ht="16" x14ac:dyDescent="0.2">
      <c r="A186" s="8">
        <v>5085</v>
      </c>
      <c r="B186" s="9" t="s">
        <v>77</v>
      </c>
      <c r="C186" s="9" t="s">
        <v>122</v>
      </c>
      <c r="D186" s="54" t="s">
        <v>134</v>
      </c>
      <c r="E186" s="10" t="s">
        <v>34</v>
      </c>
      <c r="F186" s="10" t="s">
        <v>98</v>
      </c>
      <c r="G186" s="12" t="s">
        <v>160</v>
      </c>
      <c r="H186" s="10" t="s">
        <v>50</v>
      </c>
      <c r="I186" s="10"/>
      <c r="J186" s="10"/>
      <c r="K186" s="10" t="s">
        <v>1229</v>
      </c>
      <c r="L186" s="10"/>
      <c r="M186" s="10"/>
      <c r="N186" s="54"/>
      <c r="O186" s="54"/>
      <c r="P186" s="10" t="s">
        <v>64</v>
      </c>
      <c r="Q186" s="9" t="s">
        <v>1548</v>
      </c>
      <c r="R186" s="9"/>
      <c r="S186" s="54"/>
      <c r="T186" s="54"/>
      <c r="U186" s="9"/>
      <c r="V186" s="104"/>
    </row>
    <row r="187" spans="1:22" ht="32" x14ac:dyDescent="0.2">
      <c r="A187" s="8">
        <v>5368</v>
      </c>
      <c r="B187" s="9" t="s">
        <v>77</v>
      </c>
      <c r="C187" s="9" t="s">
        <v>303</v>
      </c>
      <c r="D187" s="54" t="s">
        <v>307</v>
      </c>
      <c r="E187" s="10" t="s">
        <v>180</v>
      </c>
      <c r="F187" s="11" t="s">
        <v>117</v>
      </c>
      <c r="G187" s="12" t="s">
        <v>1356</v>
      </c>
      <c r="H187" s="11" t="s">
        <v>1348</v>
      </c>
      <c r="I187" s="208"/>
      <c r="J187" s="208"/>
      <c r="K187" s="13" t="s">
        <v>1229</v>
      </c>
      <c r="L187" s="10"/>
      <c r="M187" s="10"/>
      <c r="N187" s="9"/>
      <c r="O187" s="9"/>
      <c r="P187" s="10" t="s">
        <v>1332</v>
      </c>
      <c r="Q187" s="9" t="s">
        <v>1336</v>
      </c>
      <c r="R187" s="9"/>
      <c r="S187" s="54"/>
      <c r="T187" s="54"/>
      <c r="U187" s="83" t="s">
        <v>120</v>
      </c>
      <c r="V187" s="104"/>
    </row>
    <row r="188" spans="1:22" ht="32" x14ac:dyDescent="0.2">
      <c r="A188" s="8">
        <v>5108</v>
      </c>
      <c r="B188" s="9" t="s">
        <v>77</v>
      </c>
      <c r="C188" s="9" t="s">
        <v>104</v>
      </c>
      <c r="D188" s="54" t="s">
        <v>112</v>
      </c>
      <c r="E188" s="10" t="s">
        <v>34</v>
      </c>
      <c r="F188" s="10" t="s">
        <v>1549</v>
      </c>
      <c r="G188" s="12" t="s">
        <v>1550</v>
      </c>
      <c r="H188" s="10" t="s">
        <v>50</v>
      </c>
      <c r="I188" s="10" t="s">
        <v>1130</v>
      </c>
      <c r="J188" s="10"/>
      <c r="K188" s="13" t="s">
        <v>1229</v>
      </c>
      <c r="L188" s="10"/>
      <c r="M188" s="10"/>
      <c r="N188" s="54"/>
      <c r="O188" s="54"/>
      <c r="P188" s="10" t="s">
        <v>64</v>
      </c>
      <c r="Q188" s="9" t="s">
        <v>1551</v>
      </c>
      <c r="R188" s="9" t="s">
        <v>1552</v>
      </c>
      <c r="S188" s="54" t="s">
        <v>1374</v>
      </c>
      <c r="T188" s="54" t="s">
        <v>142</v>
      </c>
      <c r="U188" s="83" t="s">
        <v>120</v>
      </c>
      <c r="V188" s="104"/>
    </row>
    <row r="189" spans="1:22" ht="32" x14ac:dyDescent="0.2">
      <c r="A189" s="8">
        <v>5109</v>
      </c>
      <c r="B189" s="9" t="s">
        <v>77</v>
      </c>
      <c r="C189" s="9" t="s">
        <v>104</v>
      </c>
      <c r="D189" s="54" t="s">
        <v>1366</v>
      </c>
      <c r="E189" s="10" t="s">
        <v>34</v>
      </c>
      <c r="F189" s="10" t="s">
        <v>1553</v>
      </c>
      <c r="G189" s="12" t="s">
        <v>1554</v>
      </c>
      <c r="H189" s="10" t="s">
        <v>37</v>
      </c>
      <c r="I189" s="10" t="s">
        <v>1130</v>
      </c>
      <c r="J189" s="10"/>
      <c r="K189" s="13" t="s">
        <v>1229</v>
      </c>
      <c r="L189" s="10"/>
      <c r="M189" s="10"/>
      <c r="N189" s="54"/>
      <c r="O189" s="54"/>
      <c r="P189" s="10" t="s">
        <v>64</v>
      </c>
      <c r="Q189" s="9" t="s">
        <v>110</v>
      </c>
      <c r="R189" s="9" t="s">
        <v>1555</v>
      </c>
      <c r="S189" s="54" t="s">
        <v>1556</v>
      </c>
      <c r="T189" s="54" t="s">
        <v>1557</v>
      </c>
      <c r="U189" s="83" t="s">
        <v>120</v>
      </c>
      <c r="V189" s="104"/>
    </row>
    <row r="190" spans="1:22" ht="32" x14ac:dyDescent="0.2">
      <c r="A190" s="8">
        <v>5377</v>
      </c>
      <c r="B190" s="9" t="s">
        <v>77</v>
      </c>
      <c r="C190" s="9" t="s">
        <v>303</v>
      </c>
      <c r="D190" s="54" t="s">
        <v>307</v>
      </c>
      <c r="E190" s="10" t="s">
        <v>180</v>
      </c>
      <c r="F190" s="11" t="s">
        <v>117</v>
      </c>
      <c r="G190" s="12" t="s">
        <v>339</v>
      </c>
      <c r="H190" s="11" t="s">
        <v>1348</v>
      </c>
      <c r="I190" s="208"/>
      <c r="J190" s="208"/>
      <c r="K190" s="13" t="s">
        <v>1252</v>
      </c>
      <c r="L190" s="10"/>
      <c r="M190" s="10"/>
      <c r="N190" s="9"/>
      <c r="O190" s="9"/>
      <c r="P190" s="10" t="s">
        <v>1332</v>
      </c>
      <c r="Q190" s="9" t="s">
        <v>1335</v>
      </c>
      <c r="R190" s="9"/>
      <c r="S190" s="54"/>
      <c r="T190" s="54"/>
      <c r="U190" s="83" t="s">
        <v>120</v>
      </c>
      <c r="V190" s="104"/>
    </row>
    <row r="191" spans="1:22" ht="32" x14ac:dyDescent="0.2">
      <c r="A191" s="8">
        <v>1094</v>
      </c>
      <c r="B191" s="9" t="s">
        <v>1128</v>
      </c>
      <c r="C191" s="9" t="s">
        <v>629</v>
      </c>
      <c r="D191" s="54" t="s">
        <v>1558</v>
      </c>
      <c r="E191" s="10" t="s">
        <v>1559</v>
      </c>
      <c r="F191" s="11" t="s">
        <v>197</v>
      </c>
      <c r="G191" s="12" t="s">
        <v>1560</v>
      </c>
      <c r="H191" s="10" t="s">
        <v>1348</v>
      </c>
      <c r="I191" s="10"/>
      <c r="J191" s="10"/>
      <c r="K191" s="13" t="s">
        <v>100</v>
      </c>
      <c r="L191" s="10"/>
      <c r="M191" s="10"/>
      <c r="N191" s="54"/>
      <c r="O191" s="54"/>
      <c r="P191" s="10" t="s">
        <v>64</v>
      </c>
      <c r="Q191" s="9" t="s">
        <v>1561</v>
      </c>
      <c r="R191" s="9"/>
      <c r="S191" s="105" t="s">
        <v>1562</v>
      </c>
      <c r="T191" s="54"/>
      <c r="U191" s="9"/>
      <c r="V191" s="104"/>
    </row>
    <row r="192" spans="1:22" ht="32" x14ac:dyDescent="0.2">
      <c r="A192" s="8">
        <v>1103</v>
      </c>
      <c r="B192" s="9" t="s">
        <v>1128</v>
      </c>
      <c r="C192" s="9" t="s">
        <v>629</v>
      </c>
      <c r="D192" s="54" t="s">
        <v>1558</v>
      </c>
      <c r="E192" s="10" t="s">
        <v>1559</v>
      </c>
      <c r="F192" s="11" t="s">
        <v>81</v>
      </c>
      <c r="G192" s="12" t="s">
        <v>1563</v>
      </c>
      <c r="H192" s="10" t="s">
        <v>1348</v>
      </c>
      <c r="I192" s="10"/>
      <c r="J192" s="10"/>
      <c r="K192" s="13" t="s">
        <v>124</v>
      </c>
      <c r="L192" s="10" t="s">
        <v>1564</v>
      </c>
      <c r="M192" s="10"/>
      <c r="N192" s="54"/>
      <c r="O192" s="54"/>
      <c r="P192" s="10" t="s">
        <v>64</v>
      </c>
      <c r="Q192" s="9" t="s">
        <v>1565</v>
      </c>
      <c r="R192" s="9"/>
      <c r="S192" s="54" t="s">
        <v>1566</v>
      </c>
      <c r="T192" s="54"/>
      <c r="U192" s="9"/>
      <c r="V192" s="104"/>
    </row>
    <row r="193" spans="1:22" ht="32" x14ac:dyDescent="0.2">
      <c r="A193" s="8">
        <v>5184</v>
      </c>
      <c r="B193" s="9" t="s">
        <v>1128</v>
      </c>
      <c r="C193" s="9" t="s">
        <v>629</v>
      </c>
      <c r="D193" s="12" t="s">
        <v>1567</v>
      </c>
      <c r="E193" s="10" t="s">
        <v>1559</v>
      </c>
      <c r="F193" s="11" t="s">
        <v>81</v>
      </c>
      <c r="G193" s="103" t="s">
        <v>664</v>
      </c>
      <c r="H193" s="11" t="s">
        <v>37</v>
      </c>
      <c r="I193" s="10"/>
      <c r="J193" s="10"/>
      <c r="K193" s="13" t="s">
        <v>124</v>
      </c>
      <c r="L193" s="10" t="s">
        <v>1568</v>
      </c>
      <c r="M193" s="10"/>
      <c r="N193" s="54"/>
      <c r="O193" s="54"/>
      <c r="P193" s="10"/>
      <c r="Q193" s="9" t="s">
        <v>666</v>
      </c>
      <c r="R193" s="104"/>
      <c r="S193" s="9" t="s">
        <v>1569</v>
      </c>
      <c r="T193" s="9"/>
      <c r="U193" s="9"/>
      <c r="V193" s="104"/>
    </row>
    <row r="194" spans="1:22" ht="32" x14ac:dyDescent="0.2">
      <c r="A194" s="8">
        <v>5185</v>
      </c>
      <c r="B194" s="9" t="s">
        <v>1128</v>
      </c>
      <c r="C194" s="9" t="s">
        <v>629</v>
      </c>
      <c r="D194" s="54" t="s">
        <v>1558</v>
      </c>
      <c r="E194" s="10" t="s">
        <v>34</v>
      </c>
      <c r="F194" s="11" t="s">
        <v>197</v>
      </c>
      <c r="G194" s="103" t="s">
        <v>1570</v>
      </c>
      <c r="H194" s="11" t="s">
        <v>50</v>
      </c>
      <c r="I194" s="10"/>
      <c r="J194" s="10"/>
      <c r="K194" s="13" t="s">
        <v>1131</v>
      </c>
      <c r="L194" s="10"/>
      <c r="M194" s="10"/>
      <c r="N194" s="54"/>
      <c r="O194" s="54"/>
      <c r="P194" s="10"/>
      <c r="Q194" s="9" t="s">
        <v>1571</v>
      </c>
      <c r="R194" s="9"/>
      <c r="S194" s="104" t="s">
        <v>1572</v>
      </c>
      <c r="T194" s="9"/>
      <c r="U194" s="9"/>
      <c r="V194" s="104"/>
    </row>
    <row r="195" spans="1:22" ht="32" x14ac:dyDescent="0.2">
      <c r="A195" s="8">
        <v>5193</v>
      </c>
      <c r="B195" s="9" t="s">
        <v>1128</v>
      </c>
      <c r="C195" s="9" t="s">
        <v>629</v>
      </c>
      <c r="D195" s="12" t="s">
        <v>1573</v>
      </c>
      <c r="E195" s="10" t="s">
        <v>34</v>
      </c>
      <c r="F195" s="11" t="s">
        <v>197</v>
      </c>
      <c r="G195" s="103" t="s">
        <v>1574</v>
      </c>
      <c r="H195" s="11" t="s">
        <v>50</v>
      </c>
      <c r="I195" s="10"/>
      <c r="J195" s="10"/>
      <c r="K195" s="13" t="s">
        <v>1131</v>
      </c>
      <c r="L195" s="10"/>
      <c r="M195" s="10"/>
      <c r="N195" s="54"/>
      <c r="O195" s="54"/>
      <c r="P195" s="10"/>
      <c r="Q195" s="9" t="s">
        <v>1575</v>
      </c>
      <c r="R195" s="9"/>
      <c r="S195" s="54"/>
      <c r="T195" s="9"/>
      <c r="U195" s="9"/>
      <c r="V195" s="104"/>
    </row>
    <row r="196" spans="1:22" ht="32" x14ac:dyDescent="0.2">
      <c r="A196" s="8">
        <v>5190</v>
      </c>
      <c r="B196" s="9" t="s">
        <v>1128</v>
      </c>
      <c r="C196" s="9" t="s">
        <v>629</v>
      </c>
      <c r="D196" s="54" t="s">
        <v>1558</v>
      </c>
      <c r="E196" s="10" t="s">
        <v>34</v>
      </c>
      <c r="F196" s="11" t="s">
        <v>58</v>
      </c>
      <c r="G196" s="103" t="s">
        <v>1576</v>
      </c>
      <c r="H196" s="11" t="s">
        <v>37</v>
      </c>
      <c r="I196" s="10"/>
      <c r="J196" s="10"/>
      <c r="K196" s="13" t="s">
        <v>1131</v>
      </c>
      <c r="L196" s="10"/>
      <c r="M196" s="10"/>
      <c r="N196" s="54"/>
      <c r="O196" s="54"/>
      <c r="P196" s="10"/>
      <c r="Q196" s="9" t="s">
        <v>1577</v>
      </c>
      <c r="R196" s="9"/>
      <c r="S196" s="54"/>
      <c r="T196" s="9"/>
      <c r="U196" s="9"/>
      <c r="V196" s="104"/>
    </row>
    <row r="197" spans="1:22" ht="32" x14ac:dyDescent="0.2">
      <c r="A197" s="8">
        <v>5196</v>
      </c>
      <c r="B197" s="9" t="s">
        <v>1128</v>
      </c>
      <c r="C197" s="9" t="s">
        <v>629</v>
      </c>
      <c r="D197" s="54" t="s">
        <v>1558</v>
      </c>
      <c r="E197" s="10" t="s">
        <v>34</v>
      </c>
      <c r="F197" s="11" t="s">
        <v>58</v>
      </c>
      <c r="G197" s="103" t="s">
        <v>1578</v>
      </c>
      <c r="H197" s="11" t="s">
        <v>37</v>
      </c>
      <c r="I197" s="10"/>
      <c r="J197" s="10"/>
      <c r="K197" s="10" t="s">
        <v>1131</v>
      </c>
      <c r="L197" s="46"/>
      <c r="M197" s="46"/>
      <c r="N197" s="54"/>
      <c r="O197" s="54"/>
      <c r="P197" s="10"/>
      <c r="Q197" s="9" t="s">
        <v>660</v>
      </c>
      <c r="R197" s="9"/>
      <c r="S197" s="54"/>
      <c r="T197" s="9"/>
      <c r="U197" s="9"/>
      <c r="V197" s="104"/>
    </row>
    <row r="198" spans="1:22" ht="16" x14ac:dyDescent="0.2">
      <c r="A198" s="8">
        <v>5191</v>
      </c>
      <c r="B198" s="9" t="s">
        <v>1128</v>
      </c>
      <c r="C198" s="9" t="s">
        <v>629</v>
      </c>
      <c r="D198" s="12" t="s">
        <v>645</v>
      </c>
      <c r="E198" s="10" t="s">
        <v>180</v>
      </c>
      <c r="F198" s="11" t="s">
        <v>81</v>
      </c>
      <c r="G198" s="103" t="s">
        <v>664</v>
      </c>
      <c r="H198" s="11" t="s">
        <v>50</v>
      </c>
      <c r="I198" s="10"/>
      <c r="J198" s="10"/>
      <c r="K198" s="13" t="s">
        <v>1131</v>
      </c>
      <c r="L198" s="10"/>
      <c r="M198" s="10"/>
      <c r="N198" s="54"/>
      <c r="O198" s="54"/>
      <c r="P198" s="10"/>
      <c r="Q198" s="9" t="s">
        <v>666</v>
      </c>
      <c r="R198" s="9"/>
      <c r="S198" s="54" t="s">
        <v>1579</v>
      </c>
      <c r="T198" s="9"/>
      <c r="U198" s="9"/>
      <c r="V198" s="104"/>
    </row>
    <row r="199" spans="1:22" ht="32" x14ac:dyDescent="0.2">
      <c r="A199" s="8">
        <v>5187</v>
      </c>
      <c r="B199" s="9" t="s">
        <v>1128</v>
      </c>
      <c r="C199" s="9" t="s">
        <v>629</v>
      </c>
      <c r="D199" s="54" t="s">
        <v>1558</v>
      </c>
      <c r="E199" s="10" t="s">
        <v>34</v>
      </c>
      <c r="F199" s="11" t="s">
        <v>197</v>
      </c>
      <c r="G199" s="103" t="s">
        <v>1580</v>
      </c>
      <c r="H199" s="11" t="s">
        <v>37</v>
      </c>
      <c r="I199" s="10"/>
      <c r="J199" s="10"/>
      <c r="K199" s="13" t="s">
        <v>1136</v>
      </c>
      <c r="L199" s="10"/>
      <c r="M199" s="10"/>
      <c r="N199" s="54"/>
      <c r="O199" s="54"/>
      <c r="P199" s="10"/>
      <c r="Q199" s="9" t="s">
        <v>1581</v>
      </c>
      <c r="R199" s="9"/>
      <c r="S199" s="54"/>
      <c r="T199" s="9"/>
      <c r="U199" s="9"/>
      <c r="V199" s="104"/>
    </row>
    <row r="200" spans="1:22" ht="16" x14ac:dyDescent="0.2">
      <c r="A200" s="8">
        <v>5188</v>
      </c>
      <c r="B200" s="9" t="s">
        <v>1128</v>
      </c>
      <c r="C200" s="9" t="s">
        <v>629</v>
      </c>
      <c r="D200" s="12" t="s">
        <v>1573</v>
      </c>
      <c r="E200" s="10" t="s">
        <v>34</v>
      </c>
      <c r="F200" s="11" t="s">
        <v>197</v>
      </c>
      <c r="G200" s="103" t="s">
        <v>1574</v>
      </c>
      <c r="H200" s="11" t="s">
        <v>50</v>
      </c>
      <c r="I200" s="10"/>
      <c r="J200" s="10"/>
      <c r="K200" s="13" t="s">
        <v>1136</v>
      </c>
      <c r="L200" s="10"/>
      <c r="M200" s="10"/>
      <c r="N200" s="54"/>
      <c r="O200" s="54"/>
      <c r="P200" s="10"/>
      <c r="Q200" s="9" t="s">
        <v>1582</v>
      </c>
      <c r="R200" s="9"/>
      <c r="S200" s="54"/>
      <c r="T200" s="9"/>
      <c r="U200" s="9"/>
      <c r="V200" s="104"/>
    </row>
    <row r="201" spans="1:22" ht="32" x14ac:dyDescent="0.2">
      <c r="A201" s="8">
        <v>5194</v>
      </c>
      <c r="B201" s="9" t="s">
        <v>1128</v>
      </c>
      <c r="C201" s="9" t="s">
        <v>629</v>
      </c>
      <c r="D201" s="12" t="s">
        <v>1573</v>
      </c>
      <c r="E201" s="10" t="s">
        <v>34</v>
      </c>
      <c r="F201" s="11" t="s">
        <v>197</v>
      </c>
      <c r="G201" s="103" t="s">
        <v>1583</v>
      </c>
      <c r="H201" s="11" t="s">
        <v>37</v>
      </c>
      <c r="I201" s="10"/>
      <c r="J201" s="10"/>
      <c r="K201" s="13" t="s">
        <v>1136</v>
      </c>
      <c r="L201" s="10"/>
      <c r="M201" s="10"/>
      <c r="N201" s="54"/>
      <c r="O201" s="54"/>
      <c r="P201" s="10"/>
      <c r="Q201" s="9" t="s">
        <v>1584</v>
      </c>
      <c r="R201" s="9"/>
      <c r="S201" s="54"/>
      <c r="T201" s="9"/>
      <c r="U201" s="9"/>
      <c r="V201" s="104"/>
    </row>
    <row r="202" spans="1:22" ht="16" x14ac:dyDescent="0.2">
      <c r="A202" s="8">
        <v>5349</v>
      </c>
      <c r="B202" s="9" t="s">
        <v>1128</v>
      </c>
      <c r="C202" s="9" t="s">
        <v>629</v>
      </c>
      <c r="D202" s="54" t="s">
        <v>1558</v>
      </c>
      <c r="E202" s="10" t="s">
        <v>34</v>
      </c>
      <c r="F202" s="11" t="s">
        <v>58</v>
      </c>
      <c r="G202" s="103" t="s">
        <v>1585</v>
      </c>
      <c r="H202" s="11"/>
      <c r="I202" s="10"/>
      <c r="J202" s="10"/>
      <c r="K202" s="46" t="s">
        <v>1140</v>
      </c>
      <c r="L202" s="48"/>
      <c r="M202" s="48"/>
      <c r="N202" s="54"/>
      <c r="O202" s="54"/>
      <c r="P202" s="10"/>
      <c r="Q202" s="9"/>
      <c r="R202" s="9"/>
      <c r="S202" s="54"/>
      <c r="T202" s="9"/>
      <c r="U202" s="9"/>
      <c r="V202" s="104"/>
    </row>
    <row r="203" spans="1:22" ht="16" x14ac:dyDescent="0.2">
      <c r="A203" s="8">
        <v>5195</v>
      </c>
      <c r="B203" s="9" t="s">
        <v>1128</v>
      </c>
      <c r="C203" s="9" t="s">
        <v>629</v>
      </c>
      <c r="D203" s="103" t="s">
        <v>1576</v>
      </c>
      <c r="E203" s="10" t="s">
        <v>34</v>
      </c>
      <c r="F203" s="11" t="s">
        <v>197</v>
      </c>
      <c r="G203" s="103" t="s">
        <v>1586</v>
      </c>
      <c r="H203" s="11" t="s">
        <v>37</v>
      </c>
      <c r="I203" s="10"/>
      <c r="J203" s="48"/>
      <c r="K203" s="106" t="s">
        <v>1520</v>
      </c>
      <c r="L203" s="10"/>
      <c r="M203" s="10"/>
      <c r="N203" s="54"/>
      <c r="O203" s="54"/>
      <c r="P203" s="10"/>
      <c r="Q203" s="9" t="s">
        <v>1587</v>
      </c>
      <c r="R203" s="9"/>
      <c r="S203" s="54"/>
      <c r="T203" s="9"/>
      <c r="U203" s="9"/>
      <c r="V203" s="104"/>
    </row>
    <row r="204" spans="1:22" ht="32" x14ac:dyDescent="0.2">
      <c r="A204" s="8">
        <v>1360</v>
      </c>
      <c r="B204" s="9" t="s">
        <v>1128</v>
      </c>
      <c r="C204" s="9" t="s">
        <v>522</v>
      </c>
      <c r="D204" s="9" t="s">
        <v>1588</v>
      </c>
      <c r="E204" s="10" t="s">
        <v>34</v>
      </c>
      <c r="F204" s="11" t="s">
        <v>58</v>
      </c>
      <c r="G204" s="26" t="s">
        <v>1589</v>
      </c>
      <c r="H204" s="11" t="s">
        <v>37</v>
      </c>
      <c r="I204" s="10"/>
      <c r="J204" s="10"/>
      <c r="K204" s="46" t="s">
        <v>1131</v>
      </c>
      <c r="L204" s="8" t="s">
        <v>1255</v>
      </c>
      <c r="M204" s="8"/>
      <c r="N204" s="54"/>
      <c r="O204" s="54"/>
      <c r="P204" s="10" t="s">
        <v>64</v>
      </c>
      <c r="Q204" s="9"/>
      <c r="R204" s="26" t="s">
        <v>1590</v>
      </c>
      <c r="S204" s="54"/>
      <c r="T204" s="9" t="s">
        <v>142</v>
      </c>
      <c r="U204" s="54"/>
      <c r="V204" s="104"/>
    </row>
    <row r="205" spans="1:22" ht="16" x14ac:dyDescent="0.2">
      <c r="A205" s="8">
        <v>5199</v>
      </c>
      <c r="B205" s="9" t="s">
        <v>1128</v>
      </c>
      <c r="C205" s="9" t="s">
        <v>522</v>
      </c>
      <c r="D205" s="9" t="s">
        <v>544</v>
      </c>
      <c r="E205" s="10" t="s">
        <v>34</v>
      </c>
      <c r="F205" s="11" t="s">
        <v>58</v>
      </c>
      <c r="G205" s="350" t="s">
        <v>1591</v>
      </c>
      <c r="H205" s="11" t="s">
        <v>50</v>
      </c>
      <c r="I205" s="10"/>
      <c r="J205" s="10"/>
      <c r="K205" s="10" t="s">
        <v>1131</v>
      </c>
      <c r="L205" s="8"/>
      <c r="M205" s="8"/>
      <c r="N205" s="54"/>
      <c r="O205" s="54"/>
      <c r="P205" s="10" t="s">
        <v>64</v>
      </c>
      <c r="Q205" s="9"/>
      <c r="R205" s="54" t="s">
        <v>542</v>
      </c>
      <c r="S205" s="54"/>
      <c r="T205" s="9"/>
      <c r="U205" s="54"/>
      <c r="V205" s="104"/>
    </row>
    <row r="206" spans="1:22" ht="16" x14ac:dyDescent="0.2">
      <c r="A206" s="8">
        <v>5202</v>
      </c>
      <c r="B206" s="9" t="s">
        <v>1128</v>
      </c>
      <c r="C206" s="9" t="s">
        <v>522</v>
      </c>
      <c r="D206" s="9" t="s">
        <v>526</v>
      </c>
      <c r="E206" s="10" t="s">
        <v>34</v>
      </c>
      <c r="F206" s="11" t="s">
        <v>98</v>
      </c>
      <c r="G206" s="350" t="s">
        <v>1592</v>
      </c>
      <c r="H206" s="11" t="s">
        <v>37</v>
      </c>
      <c r="I206" s="10"/>
      <c r="J206" s="10"/>
      <c r="K206" s="10" t="s">
        <v>1131</v>
      </c>
      <c r="L206" s="8"/>
      <c r="M206" s="8"/>
      <c r="N206" s="54"/>
      <c r="O206" s="54"/>
      <c r="P206" s="10" t="s">
        <v>64</v>
      </c>
      <c r="Q206" s="9"/>
      <c r="R206" s="54" t="s">
        <v>542</v>
      </c>
      <c r="S206" s="54"/>
      <c r="T206" s="9"/>
      <c r="U206" s="54"/>
      <c r="V206" s="104"/>
    </row>
    <row r="207" spans="1:22" ht="16" x14ac:dyDescent="0.2">
      <c r="A207" s="8">
        <v>5205</v>
      </c>
      <c r="B207" s="9" t="s">
        <v>1128</v>
      </c>
      <c r="C207" s="9" t="s">
        <v>522</v>
      </c>
      <c r="D207" s="9" t="s">
        <v>544</v>
      </c>
      <c r="E207" s="10" t="s">
        <v>34</v>
      </c>
      <c r="F207" s="11" t="s">
        <v>58</v>
      </c>
      <c r="G207" s="350" t="s">
        <v>1593</v>
      </c>
      <c r="H207" s="11" t="s">
        <v>37</v>
      </c>
      <c r="I207" s="10"/>
      <c r="J207" s="10"/>
      <c r="K207" s="351" t="s">
        <v>1131</v>
      </c>
      <c r="L207" s="8"/>
      <c r="M207" s="8"/>
      <c r="N207" s="54"/>
      <c r="O207" s="54"/>
      <c r="P207" s="10" t="s">
        <v>64</v>
      </c>
      <c r="Q207" s="9"/>
      <c r="R207" s="350" t="s">
        <v>1594</v>
      </c>
      <c r="S207" s="54"/>
      <c r="T207" s="9"/>
      <c r="U207" s="54"/>
      <c r="V207" s="104"/>
    </row>
    <row r="208" spans="1:22" ht="16" x14ac:dyDescent="0.2">
      <c r="A208" s="8">
        <v>5209</v>
      </c>
      <c r="B208" s="9" t="s">
        <v>1128</v>
      </c>
      <c r="C208" s="9" t="s">
        <v>522</v>
      </c>
      <c r="D208" s="9" t="s">
        <v>526</v>
      </c>
      <c r="E208" s="10" t="s">
        <v>34</v>
      </c>
      <c r="F208" s="11" t="s">
        <v>98</v>
      </c>
      <c r="G208" s="352" t="s">
        <v>1592</v>
      </c>
      <c r="H208" s="11" t="s">
        <v>37</v>
      </c>
      <c r="I208" s="10"/>
      <c r="J208" s="10"/>
      <c r="K208" s="351" t="s">
        <v>1131</v>
      </c>
      <c r="L208" s="8"/>
      <c r="M208" s="8"/>
      <c r="N208" s="350"/>
      <c r="O208" s="350"/>
      <c r="P208" s="10" t="s">
        <v>64</v>
      </c>
      <c r="Q208" s="9"/>
      <c r="R208" s="54" t="s">
        <v>542</v>
      </c>
      <c r="S208" s="54"/>
      <c r="T208" s="9"/>
      <c r="U208" s="54"/>
      <c r="V208" s="104"/>
    </row>
    <row r="209" spans="1:22" ht="16" x14ac:dyDescent="0.2">
      <c r="A209" s="8">
        <v>5204</v>
      </c>
      <c r="B209" s="9" t="s">
        <v>1128</v>
      </c>
      <c r="C209" s="9" t="s">
        <v>522</v>
      </c>
      <c r="D209" s="9" t="s">
        <v>1588</v>
      </c>
      <c r="E209" s="10" t="s">
        <v>34</v>
      </c>
      <c r="F209" s="11" t="s">
        <v>105</v>
      </c>
      <c r="G209" s="350" t="s">
        <v>1595</v>
      </c>
      <c r="H209" s="11" t="s">
        <v>50</v>
      </c>
      <c r="I209" s="10"/>
      <c r="J209" s="10"/>
      <c r="K209" s="351" t="s">
        <v>1136</v>
      </c>
      <c r="L209" s="8"/>
      <c r="M209" s="8"/>
      <c r="N209" s="54"/>
      <c r="O209" s="54"/>
      <c r="P209" s="10" t="s">
        <v>64</v>
      </c>
      <c r="Q209" s="9"/>
      <c r="R209" s="350" t="s">
        <v>1590</v>
      </c>
      <c r="S209" s="54"/>
      <c r="T209" s="9"/>
      <c r="U209" s="54"/>
      <c r="V209" s="104"/>
    </row>
    <row r="210" spans="1:22" ht="16" x14ac:dyDescent="0.2">
      <c r="A210" s="8">
        <v>5207</v>
      </c>
      <c r="B210" s="9" t="s">
        <v>1128</v>
      </c>
      <c r="C210" s="9" t="s">
        <v>522</v>
      </c>
      <c r="D210" s="9" t="s">
        <v>1588</v>
      </c>
      <c r="E210" s="10" t="s">
        <v>34</v>
      </c>
      <c r="F210" s="11" t="s">
        <v>98</v>
      </c>
      <c r="G210" s="350" t="s">
        <v>1596</v>
      </c>
      <c r="H210" s="11" t="s">
        <v>50</v>
      </c>
      <c r="I210" s="10"/>
      <c r="J210" s="10"/>
      <c r="K210" s="351" t="s">
        <v>1136</v>
      </c>
      <c r="L210" s="8"/>
      <c r="M210" s="8"/>
      <c r="N210" s="350"/>
      <c r="O210" s="350"/>
      <c r="P210" s="10" t="s">
        <v>64</v>
      </c>
      <c r="Q210" s="9"/>
      <c r="R210" s="350" t="s">
        <v>1590</v>
      </c>
      <c r="S210" s="54"/>
      <c r="T210" s="9"/>
      <c r="U210" s="54"/>
      <c r="V210" s="104"/>
    </row>
    <row r="211" spans="1:22" ht="32" x14ac:dyDescent="0.2">
      <c r="A211" s="8">
        <v>1357</v>
      </c>
      <c r="B211" s="9" t="s">
        <v>1128</v>
      </c>
      <c r="C211" s="9" t="s">
        <v>522</v>
      </c>
      <c r="D211" s="9" t="s">
        <v>544</v>
      </c>
      <c r="E211" s="10" t="s">
        <v>34</v>
      </c>
      <c r="F211" s="11" t="s">
        <v>117</v>
      </c>
      <c r="G211" s="103" t="s">
        <v>1597</v>
      </c>
      <c r="H211" s="11" t="s">
        <v>37</v>
      </c>
      <c r="I211" s="10"/>
      <c r="J211" s="10"/>
      <c r="K211" s="10" t="s">
        <v>1140</v>
      </c>
      <c r="L211" s="8" t="s">
        <v>1255</v>
      </c>
      <c r="M211" s="8"/>
      <c r="N211" s="54"/>
      <c r="O211" s="54"/>
      <c r="P211" s="10" t="s">
        <v>64</v>
      </c>
      <c r="Q211" s="9"/>
      <c r="R211" s="54" t="s">
        <v>1598</v>
      </c>
      <c r="S211" s="54"/>
      <c r="T211" s="9" t="s">
        <v>142</v>
      </c>
      <c r="U211" s="54"/>
      <c r="V211" s="104"/>
    </row>
    <row r="212" spans="1:22" s="110" customFormat="1" ht="16" x14ac:dyDescent="0.2">
      <c r="A212" s="8">
        <v>5206</v>
      </c>
      <c r="B212" s="9" t="s">
        <v>1128</v>
      </c>
      <c r="C212" s="9" t="s">
        <v>522</v>
      </c>
      <c r="D212" s="9" t="s">
        <v>544</v>
      </c>
      <c r="E212" s="10" t="s">
        <v>34</v>
      </c>
      <c r="F212" s="11" t="s">
        <v>98</v>
      </c>
      <c r="G212" s="350" t="s">
        <v>1599</v>
      </c>
      <c r="H212" s="11" t="s">
        <v>50</v>
      </c>
      <c r="I212" s="10"/>
      <c r="J212" s="10"/>
      <c r="K212" s="351" t="s">
        <v>1140</v>
      </c>
      <c r="L212" s="8"/>
      <c r="M212" s="8"/>
      <c r="N212" s="54"/>
      <c r="O212" s="54"/>
      <c r="P212" s="10" t="s">
        <v>64</v>
      </c>
      <c r="Q212" s="9"/>
      <c r="R212" s="350" t="s">
        <v>1594</v>
      </c>
      <c r="S212" s="54"/>
      <c r="T212" s="9"/>
      <c r="U212" s="54"/>
      <c r="V212" s="384"/>
    </row>
    <row r="213" spans="1:22" ht="16" x14ac:dyDescent="0.2">
      <c r="A213" s="8">
        <v>5208</v>
      </c>
      <c r="B213" s="9" t="s">
        <v>1128</v>
      </c>
      <c r="C213" s="9" t="s">
        <v>522</v>
      </c>
      <c r="D213" s="9" t="s">
        <v>1588</v>
      </c>
      <c r="E213" s="10" t="s">
        <v>34</v>
      </c>
      <c r="F213" s="11" t="s">
        <v>98</v>
      </c>
      <c r="G213" s="350" t="s">
        <v>1600</v>
      </c>
      <c r="H213" s="11" t="s">
        <v>37</v>
      </c>
      <c r="I213" s="10"/>
      <c r="J213" s="10"/>
      <c r="K213" s="351" t="s">
        <v>1140</v>
      </c>
      <c r="L213" s="8"/>
      <c r="M213" s="8"/>
      <c r="N213" s="350"/>
      <c r="O213" s="350"/>
      <c r="P213" s="10" t="s">
        <v>64</v>
      </c>
      <c r="Q213" s="9"/>
      <c r="R213" s="350" t="s">
        <v>1601</v>
      </c>
      <c r="S213" s="54"/>
      <c r="T213" s="9"/>
      <c r="U213" s="54"/>
      <c r="V213" s="104"/>
    </row>
    <row r="214" spans="1:22" ht="16" x14ac:dyDescent="0.2">
      <c r="A214" s="8">
        <v>5210</v>
      </c>
      <c r="B214" s="9" t="s">
        <v>1128</v>
      </c>
      <c r="C214" s="9" t="s">
        <v>522</v>
      </c>
      <c r="D214" s="9" t="s">
        <v>1588</v>
      </c>
      <c r="E214" s="10" t="s">
        <v>34</v>
      </c>
      <c r="F214" s="11" t="s">
        <v>98</v>
      </c>
      <c r="G214" s="350" t="s">
        <v>1596</v>
      </c>
      <c r="H214" s="351" t="s">
        <v>50</v>
      </c>
      <c r="I214" s="10"/>
      <c r="J214" s="10"/>
      <c r="K214" s="351" t="s">
        <v>1229</v>
      </c>
      <c r="L214" s="8"/>
      <c r="M214" s="8"/>
      <c r="N214" s="54"/>
      <c r="O214" s="54"/>
      <c r="P214" s="10" t="s">
        <v>64</v>
      </c>
      <c r="Q214" s="9"/>
      <c r="R214" s="350" t="s">
        <v>1590</v>
      </c>
      <c r="S214" s="54"/>
      <c r="T214" s="9"/>
      <c r="U214" s="54"/>
      <c r="V214" s="104"/>
    </row>
    <row r="215" spans="1:22" s="27" customFormat="1" ht="32" x14ac:dyDescent="0.2">
      <c r="A215" s="8">
        <v>1128</v>
      </c>
      <c r="B215" s="9" t="s">
        <v>804</v>
      </c>
      <c r="C215" s="9" t="s">
        <v>805</v>
      </c>
      <c r="D215" s="9" t="s">
        <v>852</v>
      </c>
      <c r="E215" s="10" t="s">
        <v>180</v>
      </c>
      <c r="F215" s="11" t="s">
        <v>197</v>
      </c>
      <c r="G215" s="12" t="s">
        <v>1602</v>
      </c>
      <c r="H215" s="10" t="s">
        <v>37</v>
      </c>
      <c r="I215" s="10">
        <v>2</v>
      </c>
      <c r="J215" s="10"/>
      <c r="K215" s="10" t="s">
        <v>1131</v>
      </c>
      <c r="L215" s="10" t="s">
        <v>1603</v>
      </c>
      <c r="M215" s="10"/>
      <c r="N215" s="26"/>
      <c r="O215" s="26"/>
      <c r="P215" s="10" t="s">
        <v>64</v>
      </c>
      <c r="Q215" s="9" t="s">
        <v>853</v>
      </c>
      <c r="R215" s="9" t="s">
        <v>1604</v>
      </c>
      <c r="S215" s="9"/>
      <c r="T215" s="9"/>
      <c r="U215" s="9"/>
      <c r="V215" s="380"/>
    </row>
    <row r="216" spans="1:22" s="27" customFormat="1" ht="32" x14ac:dyDescent="0.2">
      <c r="A216" s="8">
        <v>1126</v>
      </c>
      <c r="B216" s="9" t="s">
        <v>804</v>
      </c>
      <c r="C216" s="9" t="s">
        <v>805</v>
      </c>
      <c r="D216" s="9" t="s">
        <v>852</v>
      </c>
      <c r="E216" s="10" t="s">
        <v>34</v>
      </c>
      <c r="F216" s="11" t="s">
        <v>117</v>
      </c>
      <c r="G216" s="12" t="s">
        <v>853</v>
      </c>
      <c r="H216" s="10" t="s">
        <v>37</v>
      </c>
      <c r="I216" s="10">
        <v>2</v>
      </c>
      <c r="J216" s="10"/>
      <c r="K216" s="10" t="s">
        <v>1131</v>
      </c>
      <c r="L216" s="10" t="s">
        <v>1603</v>
      </c>
      <c r="M216" s="10"/>
      <c r="N216" s="9"/>
      <c r="O216" s="9"/>
      <c r="P216" s="10" t="s">
        <v>64</v>
      </c>
      <c r="Q216" s="9" t="s">
        <v>853</v>
      </c>
      <c r="R216" s="9" t="s">
        <v>1604</v>
      </c>
      <c r="S216" s="9"/>
      <c r="T216" s="9"/>
      <c r="U216" s="9"/>
      <c r="V216" s="380"/>
    </row>
    <row r="217" spans="1:22" s="27" customFormat="1" ht="32" x14ac:dyDescent="0.2">
      <c r="A217" s="28">
        <v>1151</v>
      </c>
      <c r="B217" s="14" t="s">
        <v>804</v>
      </c>
      <c r="C217" s="14" t="s">
        <v>805</v>
      </c>
      <c r="D217" s="14" t="s">
        <v>852</v>
      </c>
      <c r="E217" s="10" t="s">
        <v>180</v>
      </c>
      <c r="F217" s="49" t="s">
        <v>117</v>
      </c>
      <c r="G217" s="50" t="s">
        <v>1605</v>
      </c>
      <c r="H217" s="18" t="s">
        <v>50</v>
      </c>
      <c r="I217" s="18">
        <v>3</v>
      </c>
      <c r="J217" s="18"/>
      <c r="K217" s="113" t="s">
        <v>1131</v>
      </c>
      <c r="L217" s="28" t="s">
        <v>1255</v>
      </c>
      <c r="M217" s="28"/>
      <c r="N217" s="14"/>
      <c r="O217" s="14"/>
      <c r="P217" s="18" t="s">
        <v>1491</v>
      </c>
      <c r="Q217" s="14" t="s">
        <v>853</v>
      </c>
      <c r="R217" s="9" t="s">
        <v>1606</v>
      </c>
      <c r="S217" s="14"/>
      <c r="T217" s="9"/>
      <c r="U217" s="9"/>
      <c r="V217" s="380"/>
    </row>
    <row r="218" spans="1:22" s="27" customFormat="1" ht="64" x14ac:dyDescent="0.2">
      <c r="A218" s="29">
        <v>1142</v>
      </c>
      <c r="B218" s="16" t="s">
        <v>804</v>
      </c>
      <c r="C218" s="30" t="s">
        <v>805</v>
      </c>
      <c r="D218" s="16" t="s">
        <v>830</v>
      </c>
      <c r="E218" s="10" t="s">
        <v>34</v>
      </c>
      <c r="F218" s="31" t="s">
        <v>98</v>
      </c>
      <c r="G218" s="24" t="s">
        <v>1607</v>
      </c>
      <c r="H218" s="22" t="s">
        <v>37</v>
      </c>
      <c r="I218" s="22">
        <v>2</v>
      </c>
      <c r="J218" s="38"/>
      <c r="K218" s="38" t="s">
        <v>1131</v>
      </c>
      <c r="L218" s="8" t="s">
        <v>1255</v>
      </c>
      <c r="M218" s="223"/>
      <c r="N218" s="32"/>
      <c r="O218" s="57"/>
      <c r="P218" s="22" t="s">
        <v>64</v>
      </c>
      <c r="Q218" s="16" t="s">
        <v>818</v>
      </c>
      <c r="R218" s="114" t="s">
        <v>1608</v>
      </c>
      <c r="S218" s="16"/>
      <c r="T218" s="115" t="s">
        <v>111</v>
      </c>
      <c r="U218" s="9"/>
      <c r="V218" s="380"/>
    </row>
    <row r="219" spans="1:22" ht="48" x14ac:dyDescent="0.2">
      <c r="A219" s="23">
        <v>5227</v>
      </c>
      <c r="B219" s="16" t="s">
        <v>804</v>
      </c>
      <c r="C219" s="16" t="s">
        <v>805</v>
      </c>
      <c r="D219" s="116" t="s">
        <v>1609</v>
      </c>
      <c r="E219" s="10" t="s">
        <v>276</v>
      </c>
      <c r="F219" s="31" t="s">
        <v>117</v>
      </c>
      <c r="G219" s="24" t="s">
        <v>1610</v>
      </c>
      <c r="H219" s="23" t="s">
        <v>50</v>
      </c>
      <c r="I219" s="23">
        <v>3</v>
      </c>
      <c r="K219" s="46" t="s">
        <v>1131</v>
      </c>
      <c r="L219" s="46"/>
      <c r="N219" s="25"/>
      <c r="O219" s="25"/>
      <c r="P219" s="48" t="s">
        <v>64</v>
      </c>
      <c r="Q219" s="16" t="s">
        <v>818</v>
      </c>
      <c r="R219" s="51" t="s">
        <v>1611</v>
      </c>
      <c r="S219" s="24" t="s">
        <v>1612</v>
      </c>
      <c r="T219" s="16" t="s">
        <v>833</v>
      </c>
      <c r="U219" s="9"/>
      <c r="V219" s="104"/>
    </row>
    <row r="220" spans="1:22" ht="48" x14ac:dyDescent="0.2">
      <c r="A220" s="33">
        <v>5245</v>
      </c>
      <c r="B220" s="34" t="s">
        <v>804</v>
      </c>
      <c r="C220" s="117" t="s">
        <v>805</v>
      </c>
      <c r="D220" s="16" t="s">
        <v>845</v>
      </c>
      <c r="E220" s="46" t="s">
        <v>276</v>
      </c>
      <c r="F220" s="19" t="s">
        <v>98</v>
      </c>
      <c r="G220" s="35" t="s">
        <v>1613</v>
      </c>
      <c r="H220" s="36" t="s">
        <v>37</v>
      </c>
      <c r="I220" s="33">
        <v>2</v>
      </c>
      <c r="K220" s="46" t="s">
        <v>1131</v>
      </c>
      <c r="L220" s="23"/>
      <c r="M220" s="121"/>
      <c r="N220" s="118"/>
      <c r="P220" s="23" t="s">
        <v>64</v>
      </c>
      <c r="Q220" s="34" t="s">
        <v>836</v>
      </c>
      <c r="R220" s="24" t="s">
        <v>848</v>
      </c>
      <c r="S220" s="119" t="s">
        <v>1614</v>
      </c>
      <c r="T220" s="120" t="s">
        <v>111</v>
      </c>
      <c r="U220" s="9"/>
      <c r="V220" s="104"/>
    </row>
    <row r="221" spans="1:22" ht="48" x14ac:dyDescent="0.2">
      <c r="A221" s="23">
        <v>5248</v>
      </c>
      <c r="B221" s="16" t="s">
        <v>804</v>
      </c>
      <c r="C221" s="16" t="s">
        <v>805</v>
      </c>
      <c r="D221" s="34" t="s">
        <v>845</v>
      </c>
      <c r="E221" s="33" t="s">
        <v>276</v>
      </c>
      <c r="F221" s="31" t="s">
        <v>138</v>
      </c>
      <c r="G221" s="24" t="s">
        <v>1615</v>
      </c>
      <c r="H221" s="22" t="s">
        <v>1616</v>
      </c>
      <c r="I221" s="23">
        <v>3</v>
      </c>
      <c r="J221" s="23"/>
      <c r="K221" s="23" t="s">
        <v>1131</v>
      </c>
      <c r="L221" s="33"/>
      <c r="M221" s="121"/>
      <c r="N221" s="37"/>
      <c r="P221" s="121" t="s">
        <v>64</v>
      </c>
      <c r="Q221" s="16" t="s">
        <v>836</v>
      </c>
      <c r="R221" s="26" t="s">
        <v>1617</v>
      </c>
      <c r="S221" s="25" t="s">
        <v>1618</v>
      </c>
      <c r="T221" s="9" t="s">
        <v>850</v>
      </c>
      <c r="U221" s="9"/>
      <c r="V221" s="104"/>
    </row>
    <row r="222" spans="1:22" ht="48" x14ac:dyDescent="0.2">
      <c r="A222" s="23">
        <v>5249</v>
      </c>
      <c r="B222" s="16" t="s">
        <v>804</v>
      </c>
      <c r="C222" s="16" t="s">
        <v>805</v>
      </c>
      <c r="D222" s="24" t="s">
        <v>863</v>
      </c>
      <c r="E222" s="122" t="s">
        <v>180</v>
      </c>
      <c r="F222" s="31" t="s">
        <v>117</v>
      </c>
      <c r="G222" s="24" t="s">
        <v>1619</v>
      </c>
      <c r="H222" s="22" t="s">
        <v>50</v>
      </c>
      <c r="I222" s="23">
        <v>4</v>
      </c>
      <c r="J222" s="23"/>
      <c r="K222" s="23" t="s">
        <v>1131</v>
      </c>
      <c r="L222" s="23"/>
      <c r="M222" s="123"/>
      <c r="N222" s="37"/>
      <c r="P222" s="23" t="s">
        <v>64</v>
      </c>
      <c r="Q222" s="16" t="s">
        <v>836</v>
      </c>
      <c r="R222" s="24" t="s">
        <v>848</v>
      </c>
      <c r="S222" s="26" t="s">
        <v>1620</v>
      </c>
      <c r="T222" s="9" t="s">
        <v>850</v>
      </c>
      <c r="U222" s="9"/>
      <c r="V222" s="104"/>
    </row>
    <row r="223" spans="1:22" ht="48" x14ac:dyDescent="0.2">
      <c r="A223" s="23">
        <v>5250</v>
      </c>
      <c r="B223" s="16" t="s">
        <v>804</v>
      </c>
      <c r="C223" s="16" t="s">
        <v>805</v>
      </c>
      <c r="D223" s="21" t="s">
        <v>890</v>
      </c>
      <c r="E223" s="22" t="s">
        <v>180</v>
      </c>
      <c r="F223" s="31" t="s">
        <v>117</v>
      </c>
      <c r="G223" s="24" t="s">
        <v>1621</v>
      </c>
      <c r="H223" s="22" t="s">
        <v>50</v>
      </c>
      <c r="I223" s="23">
        <v>4</v>
      </c>
      <c r="J223" s="23"/>
      <c r="K223" s="23" t="s">
        <v>1131</v>
      </c>
      <c r="L223" s="23"/>
      <c r="M223" s="123"/>
      <c r="N223" s="37"/>
      <c r="P223" s="123" t="s">
        <v>64</v>
      </c>
      <c r="Q223" s="16" t="s">
        <v>836</v>
      </c>
      <c r="R223" s="24" t="s">
        <v>848</v>
      </c>
      <c r="S223" s="25" t="s">
        <v>1620</v>
      </c>
      <c r="T223" s="9" t="s">
        <v>850</v>
      </c>
      <c r="U223" s="9"/>
      <c r="V223" s="104"/>
    </row>
    <row r="224" spans="1:22" ht="48" x14ac:dyDescent="0.2">
      <c r="A224" s="23">
        <v>5253</v>
      </c>
      <c r="B224" s="16" t="s">
        <v>804</v>
      </c>
      <c r="C224" s="16" t="s">
        <v>805</v>
      </c>
      <c r="D224" s="24" t="s">
        <v>1622</v>
      </c>
      <c r="E224" s="122" t="s">
        <v>180</v>
      </c>
      <c r="F224" s="31" t="s">
        <v>117</v>
      </c>
      <c r="G224" s="124" t="s">
        <v>1623</v>
      </c>
      <c r="H224" s="23" t="s">
        <v>50</v>
      </c>
      <c r="I224" s="23">
        <v>2</v>
      </c>
      <c r="K224" s="126" t="s">
        <v>1131</v>
      </c>
      <c r="L224" s="23"/>
      <c r="M224" s="123"/>
      <c r="N224" s="37"/>
      <c r="P224" s="23" t="s">
        <v>827</v>
      </c>
      <c r="Q224" s="16" t="s">
        <v>815</v>
      </c>
      <c r="R224" s="16" t="s">
        <v>839</v>
      </c>
      <c r="S224" s="125" t="s">
        <v>1624</v>
      </c>
      <c r="T224" s="26" t="s">
        <v>850</v>
      </c>
      <c r="U224" s="9"/>
      <c r="V224" s="104"/>
    </row>
    <row r="225" spans="1:22" ht="48" x14ac:dyDescent="0.2">
      <c r="A225" s="23">
        <v>5255</v>
      </c>
      <c r="B225" s="16" t="s">
        <v>804</v>
      </c>
      <c r="C225" s="16" t="s">
        <v>805</v>
      </c>
      <c r="D225" s="24" t="s">
        <v>1625</v>
      </c>
      <c r="E225" s="127" t="s">
        <v>276</v>
      </c>
      <c r="F225" s="20" t="s">
        <v>117</v>
      </c>
      <c r="G225" s="24" t="s">
        <v>1626</v>
      </c>
      <c r="H225" s="23" t="s">
        <v>50</v>
      </c>
      <c r="I225" s="23">
        <v>2</v>
      </c>
      <c r="J225" s="23"/>
      <c r="K225" s="23" t="s">
        <v>1131</v>
      </c>
      <c r="L225" s="23"/>
      <c r="M225" s="123"/>
      <c r="N225" s="37"/>
      <c r="P225" s="123" t="s">
        <v>1627</v>
      </c>
      <c r="Q225" s="16" t="s">
        <v>815</v>
      </c>
      <c r="R225" s="16" t="s">
        <v>839</v>
      </c>
      <c r="S225" s="26" t="s">
        <v>1628</v>
      </c>
      <c r="T225" s="26" t="s">
        <v>850</v>
      </c>
      <c r="U225" s="9"/>
      <c r="V225" s="104"/>
    </row>
    <row r="226" spans="1:22" ht="48" x14ac:dyDescent="0.2">
      <c r="A226" s="23">
        <v>5257</v>
      </c>
      <c r="B226" s="16" t="s">
        <v>804</v>
      </c>
      <c r="C226" s="16" t="s">
        <v>805</v>
      </c>
      <c r="D226" s="24" t="s">
        <v>1625</v>
      </c>
      <c r="E226" s="46" t="s">
        <v>276</v>
      </c>
      <c r="F226" s="20" t="s">
        <v>117</v>
      </c>
      <c r="G226" s="24" t="s">
        <v>1629</v>
      </c>
      <c r="H226" s="23" t="s">
        <v>50</v>
      </c>
      <c r="I226" s="23">
        <v>2</v>
      </c>
      <c r="J226" s="23"/>
      <c r="K226" s="23" t="s">
        <v>1131</v>
      </c>
      <c r="L226" s="23"/>
      <c r="M226" s="123"/>
      <c r="N226" s="37"/>
      <c r="P226" s="23" t="s">
        <v>1630</v>
      </c>
      <c r="Q226" s="16" t="s">
        <v>815</v>
      </c>
      <c r="R226" s="16" t="s">
        <v>839</v>
      </c>
      <c r="S226" s="25" t="s">
        <v>887</v>
      </c>
      <c r="T226" s="26" t="s">
        <v>850</v>
      </c>
      <c r="U226" s="9"/>
      <c r="V226" s="104"/>
    </row>
    <row r="227" spans="1:22" ht="48" x14ac:dyDescent="0.2">
      <c r="A227" s="29">
        <v>1144</v>
      </c>
      <c r="B227" s="16" t="s">
        <v>804</v>
      </c>
      <c r="C227" s="16" t="s">
        <v>805</v>
      </c>
      <c r="D227" s="24" t="s">
        <v>1631</v>
      </c>
      <c r="E227" s="39" t="s">
        <v>276</v>
      </c>
      <c r="F227" s="31" t="s">
        <v>117</v>
      </c>
      <c r="G227" s="21" t="s">
        <v>1632</v>
      </c>
      <c r="H227" s="23" t="s">
        <v>1633</v>
      </c>
      <c r="I227" s="22">
        <v>3</v>
      </c>
      <c r="J227" s="22"/>
      <c r="K227" s="22" t="s">
        <v>1634</v>
      </c>
      <c r="L227" s="29" t="s">
        <v>1255</v>
      </c>
      <c r="M227" s="29"/>
      <c r="N227" s="16"/>
      <c r="O227" s="57"/>
      <c r="P227" s="22" t="s">
        <v>64</v>
      </c>
      <c r="Q227" s="34" t="s">
        <v>818</v>
      </c>
      <c r="R227" s="16" t="s">
        <v>1635</v>
      </c>
      <c r="S227" s="24" t="s">
        <v>1636</v>
      </c>
      <c r="T227" s="9" t="s">
        <v>833</v>
      </c>
      <c r="U227" s="9"/>
      <c r="V227" s="104"/>
    </row>
    <row r="228" spans="1:22" ht="96" x14ac:dyDescent="0.2">
      <c r="A228" s="29">
        <v>1130</v>
      </c>
      <c r="B228" s="16" t="s">
        <v>804</v>
      </c>
      <c r="C228" s="16" t="s">
        <v>805</v>
      </c>
      <c r="D228" s="16" t="s">
        <v>869</v>
      </c>
      <c r="E228" s="22" t="s">
        <v>34</v>
      </c>
      <c r="F228" s="20" t="s">
        <v>117</v>
      </c>
      <c r="G228" s="21" t="s">
        <v>1637</v>
      </c>
      <c r="H228" s="22" t="s">
        <v>37</v>
      </c>
      <c r="I228" s="22">
        <v>2</v>
      </c>
      <c r="J228" s="48"/>
      <c r="K228" s="10" t="s">
        <v>1634</v>
      </c>
      <c r="L228" s="22" t="s">
        <v>1603</v>
      </c>
      <c r="M228" s="22"/>
      <c r="N228" s="16"/>
      <c r="O228" s="16"/>
      <c r="P228" s="22" t="s">
        <v>64</v>
      </c>
      <c r="Q228" s="16" t="s">
        <v>853</v>
      </c>
      <c r="R228" s="16" t="s">
        <v>1638</v>
      </c>
      <c r="S228" s="128"/>
      <c r="T228" s="16" t="s">
        <v>833</v>
      </c>
      <c r="U228" s="9"/>
      <c r="V228" s="104"/>
    </row>
    <row r="229" spans="1:22" ht="64" x14ac:dyDescent="0.2">
      <c r="A229" s="23">
        <v>5229</v>
      </c>
      <c r="B229" s="16" t="s">
        <v>804</v>
      </c>
      <c r="C229" s="16" t="s">
        <v>805</v>
      </c>
      <c r="D229" s="16" t="s">
        <v>864</v>
      </c>
      <c r="E229" s="22" t="s">
        <v>276</v>
      </c>
      <c r="F229" s="20" t="s">
        <v>117</v>
      </c>
      <c r="G229" s="24" t="s">
        <v>1639</v>
      </c>
      <c r="H229" s="23" t="s">
        <v>1616</v>
      </c>
      <c r="I229" s="23">
        <v>4</v>
      </c>
      <c r="J229" s="23"/>
      <c r="K229" s="23" t="s">
        <v>1634</v>
      </c>
      <c r="L229" s="23"/>
      <c r="M229" s="23"/>
      <c r="N229" s="24"/>
      <c r="P229" s="22" t="s">
        <v>64</v>
      </c>
      <c r="Q229" s="16" t="s">
        <v>818</v>
      </c>
      <c r="R229" s="16" t="s">
        <v>1640</v>
      </c>
      <c r="S229" s="24" t="s">
        <v>1636</v>
      </c>
      <c r="T229" s="9" t="s">
        <v>833</v>
      </c>
      <c r="U229" s="9"/>
      <c r="V229" s="104"/>
    </row>
    <row r="230" spans="1:22" ht="48" x14ac:dyDescent="0.2">
      <c r="A230" s="23">
        <v>5231</v>
      </c>
      <c r="B230" s="16" t="s">
        <v>804</v>
      </c>
      <c r="C230" s="16" t="s">
        <v>805</v>
      </c>
      <c r="D230" s="24" t="s">
        <v>884</v>
      </c>
      <c r="E230" s="129" t="s">
        <v>34</v>
      </c>
      <c r="F230" s="31" t="s">
        <v>138</v>
      </c>
      <c r="G230" s="24" t="s">
        <v>1641</v>
      </c>
      <c r="H230" s="23" t="s">
        <v>37</v>
      </c>
      <c r="I230" s="23">
        <v>2</v>
      </c>
      <c r="J230" s="23"/>
      <c r="K230" s="129" t="s">
        <v>1634</v>
      </c>
      <c r="L230" s="23"/>
      <c r="M230" s="23"/>
      <c r="N230" s="24"/>
      <c r="P230" s="22" t="s">
        <v>64</v>
      </c>
      <c r="Q230" s="16" t="s">
        <v>818</v>
      </c>
      <c r="R230" s="26" t="s">
        <v>1642</v>
      </c>
      <c r="S230" s="130" t="s">
        <v>1643</v>
      </c>
      <c r="T230" s="9" t="s">
        <v>833</v>
      </c>
      <c r="U230" s="9"/>
      <c r="V230" s="104"/>
    </row>
    <row r="231" spans="1:22" ht="48" x14ac:dyDescent="0.2">
      <c r="A231" s="23">
        <v>5232</v>
      </c>
      <c r="B231" s="16" t="s">
        <v>804</v>
      </c>
      <c r="C231" s="16" t="s">
        <v>805</v>
      </c>
      <c r="D231" s="24" t="s">
        <v>884</v>
      </c>
      <c r="E231" s="22" t="s">
        <v>180</v>
      </c>
      <c r="F231" s="19" t="s">
        <v>197</v>
      </c>
      <c r="G231" s="24" t="s">
        <v>1644</v>
      </c>
      <c r="H231" s="23" t="s">
        <v>50</v>
      </c>
      <c r="I231" s="23">
        <v>2</v>
      </c>
      <c r="J231" s="23"/>
      <c r="K231" s="23" t="s">
        <v>1634</v>
      </c>
      <c r="L231" s="23"/>
      <c r="M231" s="23"/>
      <c r="N231" s="24"/>
      <c r="P231" s="22" t="s">
        <v>64</v>
      </c>
      <c r="Q231" s="16" t="s">
        <v>818</v>
      </c>
      <c r="R231" s="26" t="s">
        <v>1645</v>
      </c>
      <c r="S231" s="24" t="s">
        <v>1646</v>
      </c>
      <c r="T231" s="9" t="s">
        <v>833</v>
      </c>
      <c r="U231" s="9"/>
      <c r="V231" s="104"/>
    </row>
    <row r="232" spans="1:22" ht="80" x14ac:dyDescent="0.2">
      <c r="A232" s="23">
        <v>5233</v>
      </c>
      <c r="B232" s="16" t="s">
        <v>804</v>
      </c>
      <c r="C232" s="16" t="s">
        <v>805</v>
      </c>
      <c r="D232" s="24" t="s">
        <v>884</v>
      </c>
      <c r="E232" s="22" t="s">
        <v>276</v>
      </c>
      <c r="F232" s="20" t="s">
        <v>117</v>
      </c>
      <c r="G232" s="24" t="s">
        <v>885</v>
      </c>
      <c r="H232" s="23" t="s">
        <v>37</v>
      </c>
      <c r="I232" s="23">
        <v>4</v>
      </c>
      <c r="J232" s="23"/>
      <c r="K232" s="23" t="s">
        <v>1634</v>
      </c>
      <c r="L232" s="23"/>
      <c r="M232" s="23"/>
      <c r="N232" s="24"/>
      <c r="P232" s="22" t="s">
        <v>64</v>
      </c>
      <c r="Q232" s="16" t="s">
        <v>818</v>
      </c>
      <c r="R232" s="26" t="s">
        <v>886</v>
      </c>
      <c r="S232" s="24" t="s">
        <v>1636</v>
      </c>
      <c r="T232" s="9" t="s">
        <v>833</v>
      </c>
      <c r="U232" s="9"/>
      <c r="V232" s="104"/>
    </row>
    <row r="233" spans="1:22" ht="48" x14ac:dyDescent="0.2">
      <c r="A233" s="23">
        <v>5235</v>
      </c>
      <c r="B233" s="16" t="s">
        <v>804</v>
      </c>
      <c r="C233" s="16" t="s">
        <v>805</v>
      </c>
      <c r="D233" s="24" t="s">
        <v>1607</v>
      </c>
      <c r="E233" s="46" t="s">
        <v>276</v>
      </c>
      <c r="F233" s="31" t="s">
        <v>138</v>
      </c>
      <c r="G233" s="24" t="s">
        <v>1647</v>
      </c>
      <c r="H233" s="23" t="s">
        <v>1616</v>
      </c>
      <c r="I233" s="23">
        <v>3</v>
      </c>
      <c r="J233" s="23"/>
      <c r="K233" s="23" t="s">
        <v>1634</v>
      </c>
      <c r="L233" s="23"/>
      <c r="M233" s="23"/>
      <c r="N233" s="24"/>
      <c r="P233" s="22" t="s">
        <v>64</v>
      </c>
      <c r="Q233" s="16" t="s">
        <v>818</v>
      </c>
      <c r="R233" s="24" t="s">
        <v>1648</v>
      </c>
      <c r="S233" s="24" t="s">
        <v>1649</v>
      </c>
      <c r="T233" s="9" t="s">
        <v>833</v>
      </c>
      <c r="U233" s="9"/>
      <c r="V233" s="104"/>
    </row>
    <row r="234" spans="1:22" ht="32" x14ac:dyDescent="0.2">
      <c r="A234" s="23">
        <v>5237</v>
      </c>
      <c r="B234" s="16" t="s">
        <v>804</v>
      </c>
      <c r="C234" s="16" t="s">
        <v>805</v>
      </c>
      <c r="D234" s="40" t="s">
        <v>869</v>
      </c>
      <c r="E234" s="46" t="s">
        <v>276</v>
      </c>
      <c r="F234" s="131" t="s">
        <v>117</v>
      </c>
      <c r="G234" s="40" t="s">
        <v>1650</v>
      </c>
      <c r="H234" s="42" t="s">
        <v>50</v>
      </c>
      <c r="I234" s="23">
        <v>2</v>
      </c>
      <c r="J234" s="23"/>
      <c r="K234" s="23" t="s">
        <v>1634</v>
      </c>
      <c r="L234" s="23"/>
      <c r="M234" s="42"/>
      <c r="N234" s="40"/>
      <c r="P234" s="41" t="s">
        <v>64</v>
      </c>
      <c r="Q234" s="43" t="s">
        <v>818</v>
      </c>
      <c r="R234" s="43" t="s">
        <v>1604</v>
      </c>
      <c r="S234" s="40" t="s">
        <v>1649</v>
      </c>
      <c r="T234" s="9" t="s">
        <v>833</v>
      </c>
      <c r="U234" s="9"/>
      <c r="V234" s="104"/>
    </row>
    <row r="235" spans="1:22" ht="32" x14ac:dyDescent="0.2">
      <c r="A235" s="23">
        <v>5238</v>
      </c>
      <c r="B235" s="16" t="s">
        <v>804</v>
      </c>
      <c r="C235" s="30" t="s">
        <v>805</v>
      </c>
      <c r="D235" s="37" t="s">
        <v>869</v>
      </c>
      <c r="E235" s="132" t="s">
        <v>276</v>
      </c>
      <c r="F235" s="23" t="s">
        <v>197</v>
      </c>
      <c r="G235" s="24" t="s">
        <v>1651</v>
      </c>
      <c r="H235" s="23" t="s">
        <v>1652</v>
      </c>
      <c r="I235" s="44">
        <v>2</v>
      </c>
      <c r="J235" s="44"/>
      <c r="K235" s="42" t="s">
        <v>1634</v>
      </c>
      <c r="L235" s="42"/>
      <c r="M235" s="42"/>
      <c r="N235" s="24"/>
      <c r="O235" s="24"/>
      <c r="P235" s="22" t="s">
        <v>64</v>
      </c>
      <c r="Q235" s="16" t="s">
        <v>818</v>
      </c>
      <c r="R235" s="16" t="s">
        <v>1604</v>
      </c>
      <c r="S235" s="26" t="s">
        <v>1636</v>
      </c>
      <c r="T235" s="16" t="s">
        <v>833</v>
      </c>
      <c r="U235" s="9"/>
      <c r="V235" s="104"/>
    </row>
    <row r="236" spans="1:22" ht="32" x14ac:dyDescent="0.2">
      <c r="A236" s="23">
        <v>5239</v>
      </c>
      <c r="B236" s="9" t="s">
        <v>804</v>
      </c>
      <c r="C236" s="15" t="s">
        <v>805</v>
      </c>
      <c r="D236" s="24" t="s">
        <v>1607</v>
      </c>
      <c r="E236" s="47" t="s">
        <v>180</v>
      </c>
      <c r="F236" s="20" t="s">
        <v>117</v>
      </c>
      <c r="G236" s="24" t="s">
        <v>1653</v>
      </c>
      <c r="H236" s="46" t="s">
        <v>50</v>
      </c>
      <c r="I236" s="23">
        <v>4</v>
      </c>
      <c r="K236" s="46" t="s">
        <v>1634</v>
      </c>
      <c r="L236" s="23"/>
      <c r="M236" s="123"/>
      <c r="N236" s="37"/>
      <c r="P236" s="47" t="s">
        <v>64</v>
      </c>
      <c r="Q236" s="16" t="s">
        <v>818</v>
      </c>
      <c r="R236" s="25" t="s">
        <v>1654</v>
      </c>
      <c r="S236" s="24" t="s">
        <v>1655</v>
      </c>
      <c r="T236" s="9" t="s">
        <v>833</v>
      </c>
      <c r="U236" s="9"/>
      <c r="V236" s="104"/>
    </row>
    <row r="237" spans="1:22" ht="32" x14ac:dyDescent="0.2">
      <c r="A237" s="23">
        <v>5240</v>
      </c>
      <c r="B237" s="9" t="s">
        <v>804</v>
      </c>
      <c r="C237" s="15" t="s">
        <v>805</v>
      </c>
      <c r="D237" s="24" t="s">
        <v>1607</v>
      </c>
      <c r="E237" s="47" t="s">
        <v>180</v>
      </c>
      <c r="F237" s="23" t="s">
        <v>197</v>
      </c>
      <c r="G237" s="24" t="s">
        <v>1653</v>
      </c>
      <c r="H237" s="46" t="s">
        <v>1616</v>
      </c>
      <c r="I237" s="23">
        <v>4</v>
      </c>
      <c r="J237" s="23"/>
      <c r="K237" s="23" t="s">
        <v>1634</v>
      </c>
      <c r="L237" s="23"/>
      <c r="M237" s="123"/>
      <c r="N237" s="37"/>
      <c r="P237" s="47" t="s">
        <v>64</v>
      </c>
      <c r="Q237" s="16" t="s">
        <v>818</v>
      </c>
      <c r="R237" s="25" t="s">
        <v>1654</v>
      </c>
      <c r="S237" s="24" t="s">
        <v>1656</v>
      </c>
      <c r="T237" s="9" t="s">
        <v>833</v>
      </c>
      <c r="U237" s="9"/>
      <c r="V237" s="104"/>
    </row>
    <row r="238" spans="1:22" ht="48" x14ac:dyDescent="0.2">
      <c r="A238" s="23">
        <v>5251</v>
      </c>
      <c r="B238" s="9" t="s">
        <v>804</v>
      </c>
      <c r="C238" s="15" t="s">
        <v>805</v>
      </c>
      <c r="D238" s="16" t="s">
        <v>822</v>
      </c>
      <c r="E238" s="133" t="s">
        <v>34</v>
      </c>
      <c r="F238" s="29" t="s">
        <v>98</v>
      </c>
      <c r="G238" s="24" t="s">
        <v>1657</v>
      </c>
      <c r="H238" s="46" t="s">
        <v>50</v>
      </c>
      <c r="I238" s="23">
        <v>2</v>
      </c>
      <c r="K238" s="126" t="s">
        <v>1136</v>
      </c>
      <c r="L238" s="23"/>
      <c r="M238" s="123"/>
      <c r="N238" s="37"/>
      <c r="P238" s="19" t="s">
        <v>1491</v>
      </c>
      <c r="Q238" s="16" t="s">
        <v>815</v>
      </c>
      <c r="R238" s="32" t="s">
        <v>839</v>
      </c>
      <c r="S238" s="130" t="s">
        <v>1658</v>
      </c>
      <c r="T238" s="9" t="s">
        <v>841</v>
      </c>
      <c r="U238" s="9"/>
      <c r="V238" s="104"/>
    </row>
    <row r="239" spans="1:22" ht="64" x14ac:dyDescent="0.2">
      <c r="A239" s="23">
        <v>5228</v>
      </c>
      <c r="B239" s="9" t="s">
        <v>804</v>
      </c>
      <c r="C239" s="15" t="s">
        <v>805</v>
      </c>
      <c r="D239" s="43" t="s">
        <v>864</v>
      </c>
      <c r="E239" s="135" t="s">
        <v>34</v>
      </c>
      <c r="F239" s="131" t="s">
        <v>117</v>
      </c>
      <c r="G239" s="40" t="s">
        <v>1639</v>
      </c>
      <c r="H239" s="112" t="s">
        <v>50</v>
      </c>
      <c r="I239" s="23">
        <v>2</v>
      </c>
      <c r="J239" s="23"/>
      <c r="K239" s="129" t="s">
        <v>1136</v>
      </c>
      <c r="L239" s="23"/>
      <c r="M239" s="224"/>
      <c r="N239" s="45"/>
      <c r="P239" s="134" t="s">
        <v>64</v>
      </c>
      <c r="Q239" s="16" t="s">
        <v>818</v>
      </c>
      <c r="R239" s="32" t="s">
        <v>1640</v>
      </c>
      <c r="S239" s="130" t="s">
        <v>1658</v>
      </c>
      <c r="T239" s="9" t="s">
        <v>833</v>
      </c>
      <c r="U239" s="9"/>
      <c r="V239" s="104"/>
    </row>
    <row r="240" spans="1:22" ht="64" x14ac:dyDescent="0.2">
      <c r="A240" s="23">
        <v>5236</v>
      </c>
      <c r="B240" s="9" t="s">
        <v>804</v>
      </c>
      <c r="C240" s="15" t="s">
        <v>805</v>
      </c>
      <c r="D240" s="24" t="s">
        <v>1631</v>
      </c>
      <c r="E240" s="23" t="s">
        <v>276</v>
      </c>
      <c r="F240" s="20" t="s">
        <v>117</v>
      </c>
      <c r="G240" s="24" t="s">
        <v>1659</v>
      </c>
      <c r="H240" s="23" t="s">
        <v>1616</v>
      </c>
      <c r="I240" s="23">
        <v>3</v>
      </c>
      <c r="J240" s="23"/>
      <c r="K240" s="23" t="s">
        <v>1136</v>
      </c>
      <c r="L240" s="23"/>
      <c r="M240" s="23"/>
      <c r="N240" s="24"/>
      <c r="P240" s="22" t="s">
        <v>64</v>
      </c>
      <c r="Q240" s="136" t="s">
        <v>818</v>
      </c>
      <c r="R240" s="32" t="s">
        <v>1660</v>
      </c>
      <c r="S240" s="24" t="s">
        <v>1636</v>
      </c>
      <c r="T240" s="9" t="s">
        <v>833</v>
      </c>
      <c r="U240" s="9"/>
      <c r="V240" s="104"/>
    </row>
    <row r="241" spans="1:22" ht="32" x14ac:dyDescent="0.2">
      <c r="A241" s="23">
        <v>5241</v>
      </c>
      <c r="B241" s="26" t="s">
        <v>804</v>
      </c>
      <c r="C241" s="137" t="s">
        <v>805</v>
      </c>
      <c r="D241" s="24" t="s">
        <v>822</v>
      </c>
      <c r="E241" s="129" t="s">
        <v>34</v>
      </c>
      <c r="F241" s="23" t="s">
        <v>98</v>
      </c>
      <c r="G241" s="21" t="s">
        <v>1661</v>
      </c>
      <c r="H241" s="23" t="s">
        <v>1652</v>
      </c>
      <c r="I241" s="23">
        <v>2</v>
      </c>
      <c r="J241" s="23"/>
      <c r="K241" s="129" t="s">
        <v>1136</v>
      </c>
      <c r="L241" s="23"/>
      <c r="M241" s="123"/>
      <c r="N241" s="37"/>
      <c r="P241" s="23" t="s">
        <v>1491</v>
      </c>
      <c r="Q241" s="16" t="s">
        <v>812</v>
      </c>
      <c r="R241" s="136" t="s">
        <v>1662</v>
      </c>
      <c r="S241" s="138" t="s">
        <v>1663</v>
      </c>
      <c r="T241" s="26" t="s">
        <v>1664</v>
      </c>
      <c r="U241" s="9"/>
      <c r="V241" s="104"/>
    </row>
    <row r="242" spans="1:22" ht="32" x14ac:dyDescent="0.2">
      <c r="A242" s="29">
        <v>1131</v>
      </c>
      <c r="B242" s="9" t="s">
        <v>804</v>
      </c>
      <c r="C242" s="15" t="s">
        <v>805</v>
      </c>
      <c r="D242" s="117" t="s">
        <v>852</v>
      </c>
      <c r="E242" s="111" t="s">
        <v>34</v>
      </c>
      <c r="F242" s="139" t="s">
        <v>117</v>
      </c>
      <c r="G242" s="140" t="s">
        <v>853</v>
      </c>
      <c r="H242" s="122" t="s">
        <v>37</v>
      </c>
      <c r="I242" s="47">
        <v>2</v>
      </c>
      <c r="J242" s="47"/>
      <c r="K242" s="22" t="s">
        <v>1140</v>
      </c>
      <c r="L242" s="29" t="s">
        <v>1255</v>
      </c>
      <c r="M242" s="225"/>
      <c r="N242" s="34"/>
      <c r="O242" s="57"/>
      <c r="P242" s="36" t="s">
        <v>64</v>
      </c>
      <c r="Q242" s="34" t="s">
        <v>853</v>
      </c>
      <c r="R242" s="16" t="s">
        <v>1604</v>
      </c>
      <c r="S242" s="16" t="s">
        <v>1665</v>
      </c>
      <c r="T242" s="9"/>
      <c r="U242" s="9"/>
      <c r="V242" s="104"/>
    </row>
    <row r="243" spans="1:22" ht="48" x14ac:dyDescent="0.2">
      <c r="A243" s="23">
        <v>5254</v>
      </c>
      <c r="B243" s="9" t="s">
        <v>804</v>
      </c>
      <c r="C243" s="9" t="s">
        <v>805</v>
      </c>
      <c r="D243" s="35" t="s">
        <v>1625</v>
      </c>
      <c r="E243" s="46" t="s">
        <v>276</v>
      </c>
      <c r="F243" s="141" t="s">
        <v>117</v>
      </c>
      <c r="G243" s="37" t="s">
        <v>1626</v>
      </c>
      <c r="H243" s="23" t="s">
        <v>37</v>
      </c>
      <c r="I243" s="23">
        <v>4</v>
      </c>
      <c r="J243" s="23"/>
      <c r="K243" s="23" t="s">
        <v>1140</v>
      </c>
      <c r="L243" s="23"/>
      <c r="M243" s="226"/>
      <c r="N243" s="119"/>
      <c r="O243" s="119"/>
      <c r="P243" s="33" t="s">
        <v>1627</v>
      </c>
      <c r="Q243" s="17" t="s">
        <v>815</v>
      </c>
      <c r="R243" s="17" t="s">
        <v>839</v>
      </c>
      <c r="S243" s="35" t="s">
        <v>1628</v>
      </c>
      <c r="T243" s="24" t="s">
        <v>850</v>
      </c>
      <c r="U243" s="9"/>
      <c r="V243" s="104"/>
    </row>
    <row r="244" spans="1:22" ht="48" x14ac:dyDescent="0.2">
      <c r="A244" s="23">
        <v>5256</v>
      </c>
      <c r="B244" s="9" t="s">
        <v>804</v>
      </c>
      <c r="C244" s="9" t="s">
        <v>805</v>
      </c>
      <c r="D244" s="16" t="s">
        <v>822</v>
      </c>
      <c r="E244" s="46" t="s">
        <v>276</v>
      </c>
      <c r="F244" s="19" t="s">
        <v>98</v>
      </c>
      <c r="G244" s="5" t="s">
        <v>1666</v>
      </c>
      <c r="H244" s="33" t="s">
        <v>50</v>
      </c>
      <c r="I244" s="23">
        <v>2</v>
      </c>
      <c r="J244" s="23"/>
      <c r="K244" s="23" t="s">
        <v>1520</v>
      </c>
      <c r="L244" s="23"/>
      <c r="M244" s="23"/>
      <c r="N244" s="24"/>
      <c r="O244" s="24"/>
      <c r="P244" s="23" t="s">
        <v>1630</v>
      </c>
      <c r="Q244" s="17" t="s">
        <v>815</v>
      </c>
      <c r="R244" s="17" t="s">
        <v>839</v>
      </c>
      <c r="S244" s="24" t="s">
        <v>1667</v>
      </c>
      <c r="T244" s="16" t="s">
        <v>841</v>
      </c>
      <c r="U244" s="9"/>
      <c r="V244" s="104"/>
    </row>
    <row r="245" spans="1:22" ht="32" x14ac:dyDescent="0.2">
      <c r="A245" s="29">
        <v>1152</v>
      </c>
      <c r="B245" s="9" t="s">
        <v>804</v>
      </c>
      <c r="C245" s="9" t="s">
        <v>805</v>
      </c>
      <c r="D245" s="16" t="s">
        <v>852</v>
      </c>
      <c r="E245" s="22" t="s">
        <v>34</v>
      </c>
      <c r="F245" s="31" t="s">
        <v>117</v>
      </c>
      <c r="G245" s="21" t="s">
        <v>853</v>
      </c>
      <c r="H245" s="22" t="s">
        <v>37</v>
      </c>
      <c r="I245" s="22">
        <v>2</v>
      </c>
      <c r="J245" s="22"/>
      <c r="K245" s="52" t="s">
        <v>1229</v>
      </c>
      <c r="L245" s="29" t="s">
        <v>1255</v>
      </c>
      <c r="M245" s="29"/>
      <c r="N245" s="16"/>
      <c r="O245" s="16"/>
      <c r="P245" s="22" t="s">
        <v>1491</v>
      </c>
      <c r="Q245" s="17" t="s">
        <v>853</v>
      </c>
      <c r="R245" s="17" t="s">
        <v>1668</v>
      </c>
      <c r="S245" s="16"/>
      <c r="T245" s="16"/>
      <c r="U245" s="9"/>
      <c r="V245" s="104"/>
    </row>
    <row r="246" spans="1:22" ht="48" x14ac:dyDescent="0.2">
      <c r="A246" s="23">
        <v>5252</v>
      </c>
      <c r="B246" s="9" t="s">
        <v>804</v>
      </c>
      <c r="C246" s="9" t="s">
        <v>805</v>
      </c>
      <c r="D246" s="24" t="s">
        <v>1625</v>
      </c>
      <c r="E246" s="22" t="s">
        <v>180</v>
      </c>
      <c r="F246" s="31" t="s">
        <v>117</v>
      </c>
      <c r="G246" s="24" t="s">
        <v>1626</v>
      </c>
      <c r="H246" s="23" t="s">
        <v>1652</v>
      </c>
      <c r="I246" s="23">
        <v>4</v>
      </c>
      <c r="J246" s="23"/>
      <c r="K246" s="23" t="s">
        <v>1229</v>
      </c>
      <c r="L246" s="23"/>
      <c r="M246" s="23"/>
      <c r="N246" s="24"/>
      <c r="O246" s="24"/>
      <c r="P246" s="23" t="s">
        <v>1627</v>
      </c>
      <c r="Q246" s="17" t="s">
        <v>815</v>
      </c>
      <c r="R246" s="17" t="s">
        <v>839</v>
      </c>
      <c r="S246" s="24"/>
      <c r="T246" s="24" t="s">
        <v>850</v>
      </c>
      <c r="U246" s="9"/>
      <c r="V246" s="104"/>
    </row>
    <row r="247" spans="1:22" ht="32" x14ac:dyDescent="0.2">
      <c r="A247" s="29">
        <v>1120</v>
      </c>
      <c r="B247" s="9" t="s">
        <v>804</v>
      </c>
      <c r="C247" s="9" t="s">
        <v>805</v>
      </c>
      <c r="D247" s="17" t="s">
        <v>852</v>
      </c>
      <c r="E247" s="22" t="s">
        <v>34</v>
      </c>
      <c r="F247" s="20" t="s">
        <v>117</v>
      </c>
      <c r="G247" s="21" t="s">
        <v>853</v>
      </c>
      <c r="H247" s="22" t="s">
        <v>37</v>
      </c>
      <c r="I247" s="22">
        <v>2</v>
      </c>
      <c r="J247" s="22"/>
      <c r="K247" s="52" t="s">
        <v>1252</v>
      </c>
      <c r="L247" s="29" t="s">
        <v>1255</v>
      </c>
      <c r="M247" s="29"/>
      <c r="N247" s="16"/>
      <c r="O247" s="57"/>
      <c r="P247" s="22" t="s">
        <v>64</v>
      </c>
      <c r="Q247" s="17" t="s">
        <v>853</v>
      </c>
      <c r="R247" s="17" t="s">
        <v>1668</v>
      </c>
      <c r="S247" s="16"/>
      <c r="T247" s="9"/>
      <c r="U247" s="9"/>
      <c r="V247" s="104"/>
    </row>
    <row r="248" spans="1:22" ht="48" x14ac:dyDescent="0.2">
      <c r="A248" s="29">
        <v>1134</v>
      </c>
      <c r="B248" s="9" t="s">
        <v>804</v>
      </c>
      <c r="C248" s="9" t="s">
        <v>805</v>
      </c>
      <c r="D248" s="16" t="s">
        <v>822</v>
      </c>
      <c r="E248" s="142" t="s">
        <v>34</v>
      </c>
      <c r="F248" s="31" t="s">
        <v>138</v>
      </c>
      <c r="G248" s="21" t="s">
        <v>1669</v>
      </c>
      <c r="H248" s="22" t="s">
        <v>37</v>
      </c>
      <c r="I248" s="22">
        <v>2</v>
      </c>
      <c r="J248" s="22"/>
      <c r="K248" s="23" t="s">
        <v>1136</v>
      </c>
      <c r="L248" s="22" t="s">
        <v>1603</v>
      </c>
      <c r="M248" s="22"/>
      <c r="N248" s="16"/>
      <c r="O248" s="16"/>
      <c r="P248" s="23" t="s">
        <v>1630</v>
      </c>
      <c r="Q248" s="17" t="s">
        <v>815</v>
      </c>
      <c r="R248" s="17" t="s">
        <v>839</v>
      </c>
      <c r="S248" s="143" t="s">
        <v>1670</v>
      </c>
      <c r="T248" s="24" t="s">
        <v>850</v>
      </c>
      <c r="U248" s="9"/>
      <c r="V248" s="104"/>
    </row>
    <row r="249" spans="1:22" s="27" customFormat="1" ht="32" x14ac:dyDescent="0.2">
      <c r="A249" s="8">
        <v>1160</v>
      </c>
      <c r="B249" s="9" t="s">
        <v>893</v>
      </c>
      <c r="C249" s="9" t="s">
        <v>894</v>
      </c>
      <c r="D249" s="9" t="s">
        <v>916</v>
      </c>
      <c r="E249" s="10" t="s">
        <v>34</v>
      </c>
      <c r="F249" s="11" t="s">
        <v>138</v>
      </c>
      <c r="G249" s="12" t="s">
        <v>917</v>
      </c>
      <c r="H249" s="10" t="s">
        <v>37</v>
      </c>
      <c r="I249" s="10"/>
      <c r="J249" s="10"/>
      <c r="K249" s="10" t="s">
        <v>1131</v>
      </c>
      <c r="L249" s="8" t="s">
        <v>1255</v>
      </c>
      <c r="M249" s="8"/>
      <c r="N249" s="9"/>
      <c r="O249" s="9"/>
      <c r="P249" s="10" t="s">
        <v>64</v>
      </c>
      <c r="Q249" s="9" t="s">
        <v>907</v>
      </c>
      <c r="R249" s="9"/>
      <c r="S249" s="9" t="s">
        <v>1671</v>
      </c>
      <c r="T249" s="9"/>
      <c r="U249" s="9" t="s">
        <v>1672</v>
      </c>
      <c r="V249" s="380"/>
    </row>
    <row r="250" spans="1:22" s="27" customFormat="1" ht="32" x14ac:dyDescent="0.2">
      <c r="A250" s="8">
        <v>1161</v>
      </c>
      <c r="B250" s="9" t="s">
        <v>893</v>
      </c>
      <c r="C250" s="9" t="s">
        <v>894</v>
      </c>
      <c r="D250" s="9" t="s">
        <v>916</v>
      </c>
      <c r="E250" s="10" t="s">
        <v>34</v>
      </c>
      <c r="F250" s="11" t="s">
        <v>138</v>
      </c>
      <c r="G250" s="12" t="s">
        <v>917</v>
      </c>
      <c r="H250" s="10" t="s">
        <v>37</v>
      </c>
      <c r="I250" s="10"/>
      <c r="J250" s="10"/>
      <c r="K250" s="10" t="s">
        <v>1140</v>
      </c>
      <c r="L250" s="8" t="s">
        <v>1255</v>
      </c>
      <c r="M250" s="8"/>
      <c r="N250" s="9"/>
      <c r="O250" s="9"/>
      <c r="P250" s="10" t="s">
        <v>64</v>
      </c>
      <c r="Q250" s="9" t="s">
        <v>907</v>
      </c>
      <c r="R250" s="9"/>
      <c r="S250" s="9" t="s">
        <v>1673</v>
      </c>
      <c r="T250" s="9"/>
      <c r="U250" s="9" t="s">
        <v>1672</v>
      </c>
      <c r="V250" s="380"/>
    </row>
    <row r="251" spans="1:22" s="27" customFormat="1" ht="32" x14ac:dyDescent="0.2">
      <c r="A251" s="8">
        <v>1163</v>
      </c>
      <c r="B251" s="9" t="s">
        <v>893</v>
      </c>
      <c r="C251" s="9" t="s">
        <v>894</v>
      </c>
      <c r="D251" s="9" t="s">
        <v>1674</v>
      </c>
      <c r="E251" s="10" t="s">
        <v>34</v>
      </c>
      <c r="F251" s="11" t="s">
        <v>81</v>
      </c>
      <c r="G251" s="12" t="s">
        <v>1675</v>
      </c>
      <c r="H251" s="10" t="s">
        <v>37</v>
      </c>
      <c r="I251" s="10"/>
      <c r="J251" s="10"/>
      <c r="K251" s="10" t="s">
        <v>1131</v>
      </c>
      <c r="L251" s="8" t="s">
        <v>1255</v>
      </c>
      <c r="M251" s="8"/>
      <c r="N251" s="9"/>
      <c r="O251" s="9"/>
      <c r="P251" s="10" t="s">
        <v>64</v>
      </c>
      <c r="Q251" s="9" t="s">
        <v>910</v>
      </c>
      <c r="R251" s="9"/>
      <c r="S251" s="9" t="s">
        <v>918</v>
      </c>
      <c r="T251" s="9"/>
      <c r="U251" s="9" t="s">
        <v>1672</v>
      </c>
      <c r="V251" s="380"/>
    </row>
    <row r="252" spans="1:22" s="27" customFormat="1" ht="32" x14ac:dyDescent="0.2">
      <c r="A252" s="8">
        <v>1164</v>
      </c>
      <c r="B252" s="9" t="s">
        <v>893</v>
      </c>
      <c r="C252" s="9" t="s">
        <v>894</v>
      </c>
      <c r="D252" s="9" t="s">
        <v>916</v>
      </c>
      <c r="E252" s="10" t="s">
        <v>34</v>
      </c>
      <c r="F252" s="11" t="s">
        <v>98</v>
      </c>
      <c r="G252" s="12" t="s">
        <v>1676</v>
      </c>
      <c r="H252" s="10" t="s">
        <v>37</v>
      </c>
      <c r="I252" s="10"/>
      <c r="J252" s="10"/>
      <c r="K252" s="10" t="s">
        <v>1131</v>
      </c>
      <c r="L252" s="10" t="s">
        <v>1677</v>
      </c>
      <c r="M252" s="10"/>
      <c r="N252" s="9"/>
      <c r="O252" s="9"/>
      <c r="P252" s="10" t="s">
        <v>64</v>
      </c>
      <c r="Q252" s="9" t="s">
        <v>1678</v>
      </c>
      <c r="R252" s="9"/>
      <c r="S252" s="9" t="s">
        <v>1679</v>
      </c>
      <c r="T252" s="144" t="s">
        <v>111</v>
      </c>
      <c r="U252" s="9" t="s">
        <v>1672</v>
      </c>
      <c r="V252" s="380"/>
    </row>
    <row r="253" spans="1:22" s="27" customFormat="1" ht="16" x14ac:dyDescent="0.2">
      <c r="A253" s="8">
        <v>5258</v>
      </c>
      <c r="B253" s="9" t="s">
        <v>893</v>
      </c>
      <c r="C253" s="9" t="s">
        <v>894</v>
      </c>
      <c r="D253" s="9" t="s">
        <v>916</v>
      </c>
      <c r="E253" s="10" t="s">
        <v>34</v>
      </c>
      <c r="F253" s="11" t="s">
        <v>138</v>
      </c>
      <c r="G253" s="12" t="s">
        <v>1680</v>
      </c>
      <c r="H253" s="10" t="s">
        <v>37</v>
      </c>
      <c r="I253" s="10"/>
      <c r="J253" s="10"/>
      <c r="K253" s="10" t="s">
        <v>1131</v>
      </c>
      <c r="L253" s="10"/>
      <c r="M253" s="10"/>
      <c r="N253" s="9"/>
      <c r="O253" s="9"/>
      <c r="P253" s="10" t="s">
        <v>64</v>
      </c>
      <c r="Q253" s="9" t="s">
        <v>1678</v>
      </c>
      <c r="R253" s="9"/>
      <c r="S253" s="9" t="s">
        <v>1681</v>
      </c>
      <c r="T253" s="144"/>
      <c r="U253" s="9" t="s">
        <v>1672</v>
      </c>
      <c r="V253" s="380"/>
    </row>
    <row r="254" spans="1:22" s="27" customFormat="1" ht="16" x14ac:dyDescent="0.2">
      <c r="A254" s="8">
        <v>5259</v>
      </c>
      <c r="B254" s="9" t="s">
        <v>893</v>
      </c>
      <c r="C254" s="9" t="s">
        <v>894</v>
      </c>
      <c r="D254" s="9" t="s">
        <v>916</v>
      </c>
      <c r="E254" s="10" t="s">
        <v>34</v>
      </c>
      <c r="F254" s="11" t="s">
        <v>138</v>
      </c>
      <c r="G254" s="12" t="s">
        <v>1682</v>
      </c>
      <c r="H254" s="10" t="s">
        <v>37</v>
      </c>
      <c r="I254" s="10"/>
      <c r="J254" s="10"/>
      <c r="K254" s="10" t="s">
        <v>1136</v>
      </c>
      <c r="L254" s="8"/>
      <c r="M254" s="8"/>
      <c r="N254" s="9"/>
      <c r="O254" s="9"/>
      <c r="P254" s="10" t="s">
        <v>64</v>
      </c>
      <c r="Q254" s="9" t="s">
        <v>907</v>
      </c>
      <c r="R254" s="9"/>
      <c r="S254" s="9" t="s">
        <v>1683</v>
      </c>
      <c r="T254" s="9"/>
      <c r="U254" s="9" t="s">
        <v>1672</v>
      </c>
      <c r="V254" s="380"/>
    </row>
    <row r="255" spans="1:22" s="27" customFormat="1" ht="16" x14ac:dyDescent="0.2">
      <c r="A255" s="8">
        <v>5262</v>
      </c>
      <c r="B255" s="9" t="s">
        <v>893</v>
      </c>
      <c r="C255" s="9" t="s">
        <v>894</v>
      </c>
      <c r="D255" s="9" t="s">
        <v>921</v>
      </c>
      <c r="E255" s="10" t="s">
        <v>34</v>
      </c>
      <c r="F255" s="11" t="s">
        <v>81</v>
      </c>
      <c r="G255" s="12" t="s">
        <v>1684</v>
      </c>
      <c r="H255" s="10" t="s">
        <v>37</v>
      </c>
      <c r="I255" s="10"/>
      <c r="J255" s="10"/>
      <c r="K255" s="10" t="s">
        <v>1131</v>
      </c>
      <c r="L255" s="8"/>
      <c r="M255" s="8"/>
      <c r="N255" s="9"/>
      <c r="O255" s="9"/>
      <c r="P255" s="10" t="s">
        <v>64</v>
      </c>
      <c r="Q255" s="9" t="s">
        <v>904</v>
      </c>
      <c r="R255" s="9"/>
      <c r="S255" s="9" t="s">
        <v>918</v>
      </c>
      <c r="T255" s="9"/>
      <c r="U255" s="9" t="s">
        <v>1672</v>
      </c>
      <c r="V255" s="380"/>
    </row>
    <row r="256" spans="1:22" s="27" customFormat="1" ht="16" x14ac:dyDescent="0.2">
      <c r="A256" s="8">
        <v>5263</v>
      </c>
      <c r="B256" s="9" t="s">
        <v>893</v>
      </c>
      <c r="C256" s="9" t="s">
        <v>894</v>
      </c>
      <c r="D256" s="9" t="s">
        <v>911</v>
      </c>
      <c r="E256" s="10" t="s">
        <v>34</v>
      </c>
      <c r="F256" s="11" t="s">
        <v>117</v>
      </c>
      <c r="G256" s="12" t="s">
        <v>922</v>
      </c>
      <c r="H256" s="10" t="s">
        <v>37</v>
      </c>
      <c r="I256" s="10"/>
      <c r="J256" s="10"/>
      <c r="K256" s="10" t="s">
        <v>1136</v>
      </c>
      <c r="L256" s="8"/>
      <c r="M256" s="8"/>
      <c r="N256" s="9"/>
      <c r="O256" s="9"/>
      <c r="P256" s="10" t="s">
        <v>64</v>
      </c>
      <c r="Q256" s="9" t="s">
        <v>904</v>
      </c>
      <c r="R256" s="9"/>
      <c r="S256" s="9" t="s">
        <v>1685</v>
      </c>
      <c r="T256" s="9"/>
      <c r="U256" s="9" t="s">
        <v>1672</v>
      </c>
      <c r="V256" s="380"/>
    </row>
    <row r="257" spans="1:22" s="27" customFormat="1" ht="16" x14ac:dyDescent="0.2">
      <c r="A257" s="8">
        <v>5264</v>
      </c>
      <c r="B257" s="9" t="s">
        <v>893</v>
      </c>
      <c r="C257" s="9" t="s">
        <v>894</v>
      </c>
      <c r="D257" s="9" t="s">
        <v>911</v>
      </c>
      <c r="E257" s="10" t="s">
        <v>34</v>
      </c>
      <c r="F257" s="11" t="s">
        <v>117</v>
      </c>
      <c r="G257" s="12" t="s">
        <v>922</v>
      </c>
      <c r="H257" s="10" t="s">
        <v>37</v>
      </c>
      <c r="I257" s="10"/>
      <c r="J257" s="10"/>
      <c r="K257" s="10" t="s">
        <v>1140</v>
      </c>
      <c r="L257" s="8"/>
      <c r="M257" s="8"/>
      <c r="N257" s="9"/>
      <c r="O257" s="9"/>
      <c r="P257" s="10" t="s">
        <v>64</v>
      </c>
      <c r="Q257" s="9" t="s">
        <v>904</v>
      </c>
      <c r="R257" s="9"/>
      <c r="S257" s="9" t="s">
        <v>1673</v>
      </c>
      <c r="T257" s="9"/>
      <c r="U257" s="9" t="s">
        <v>1672</v>
      </c>
      <c r="V257" s="380"/>
    </row>
    <row r="258" spans="1:22" s="27" customFormat="1" ht="16" x14ac:dyDescent="0.2">
      <c r="A258" s="8">
        <v>5265</v>
      </c>
      <c r="B258" s="9" t="s">
        <v>893</v>
      </c>
      <c r="C258" s="9" t="s">
        <v>894</v>
      </c>
      <c r="D258" s="9" t="s">
        <v>916</v>
      </c>
      <c r="E258" s="10" t="s">
        <v>34</v>
      </c>
      <c r="F258" s="11" t="s">
        <v>138</v>
      </c>
      <c r="G258" s="12" t="s">
        <v>1682</v>
      </c>
      <c r="H258" s="10" t="s">
        <v>37</v>
      </c>
      <c r="I258" s="10"/>
      <c r="J258" s="10"/>
      <c r="K258" s="10" t="s">
        <v>1140</v>
      </c>
      <c r="L258" s="8"/>
      <c r="M258" s="8"/>
      <c r="N258" s="9"/>
      <c r="O258" s="9"/>
      <c r="P258" s="10" t="s">
        <v>64</v>
      </c>
      <c r="Q258" s="9" t="s">
        <v>1686</v>
      </c>
      <c r="R258" s="9"/>
      <c r="S258" s="9" t="s">
        <v>1687</v>
      </c>
      <c r="T258" s="9"/>
      <c r="U258" s="9"/>
      <c r="V258" s="380"/>
    </row>
    <row r="259" spans="1:22" s="27" customFormat="1" ht="16" x14ac:dyDescent="0.2">
      <c r="A259" s="8">
        <v>5266</v>
      </c>
      <c r="B259" s="9" t="s">
        <v>893</v>
      </c>
      <c r="C259" s="9" t="s">
        <v>894</v>
      </c>
      <c r="D259" s="9" t="s">
        <v>916</v>
      </c>
      <c r="E259" s="10" t="s">
        <v>34</v>
      </c>
      <c r="F259" s="11" t="s">
        <v>138</v>
      </c>
      <c r="G259" s="12" t="s">
        <v>1682</v>
      </c>
      <c r="H259" s="10" t="s">
        <v>37</v>
      </c>
      <c r="I259" s="10"/>
      <c r="J259" s="10"/>
      <c r="K259" s="10" t="s">
        <v>1520</v>
      </c>
      <c r="L259" s="8"/>
      <c r="M259" s="8"/>
      <c r="N259" s="9"/>
      <c r="O259" s="9"/>
      <c r="P259" s="10" t="s">
        <v>64</v>
      </c>
      <c r="Q259" s="9" t="s">
        <v>1686</v>
      </c>
      <c r="R259" s="9"/>
      <c r="S259" s="9" t="s">
        <v>1687</v>
      </c>
      <c r="T259" s="9"/>
      <c r="U259" s="9"/>
      <c r="V259" s="380"/>
    </row>
    <row r="260" spans="1:22" s="27" customFormat="1" ht="16" x14ac:dyDescent="0.2">
      <c r="A260" s="8">
        <v>5267</v>
      </c>
      <c r="B260" s="9" t="s">
        <v>893</v>
      </c>
      <c r="C260" s="9" t="s">
        <v>894</v>
      </c>
      <c r="D260" s="9" t="s">
        <v>916</v>
      </c>
      <c r="E260" s="10" t="s">
        <v>34</v>
      </c>
      <c r="F260" s="11" t="s">
        <v>117</v>
      </c>
      <c r="G260" s="12" t="s">
        <v>1553</v>
      </c>
      <c r="H260" s="10" t="s">
        <v>37</v>
      </c>
      <c r="I260" s="10"/>
      <c r="J260" s="10"/>
      <c r="K260" s="10" t="s">
        <v>1520</v>
      </c>
      <c r="L260" s="8"/>
      <c r="M260" s="8"/>
      <c r="N260" s="9"/>
      <c r="O260" s="9"/>
      <c r="P260" s="10" t="s">
        <v>64</v>
      </c>
      <c r="Q260" s="9" t="s">
        <v>1686</v>
      </c>
      <c r="R260" s="9"/>
      <c r="S260" s="9" t="s">
        <v>1687</v>
      </c>
      <c r="T260" s="9"/>
      <c r="U260" s="9"/>
      <c r="V260" s="380"/>
    </row>
    <row r="261" spans="1:22" s="27" customFormat="1" ht="16" x14ac:dyDescent="0.2">
      <c r="A261" s="8">
        <v>5268</v>
      </c>
      <c r="B261" s="9" t="s">
        <v>893</v>
      </c>
      <c r="C261" s="9" t="s">
        <v>894</v>
      </c>
      <c r="D261" s="9" t="s">
        <v>916</v>
      </c>
      <c r="E261" s="10" t="s">
        <v>34</v>
      </c>
      <c r="F261" s="11" t="s">
        <v>117</v>
      </c>
      <c r="G261" s="12" t="s">
        <v>1553</v>
      </c>
      <c r="H261" s="10" t="s">
        <v>37</v>
      </c>
      <c r="I261" s="10"/>
      <c r="J261" s="10"/>
      <c r="K261" s="10" t="s">
        <v>1520</v>
      </c>
      <c r="L261" s="8"/>
      <c r="M261" s="8"/>
      <c r="N261" s="9"/>
      <c r="O261" s="9"/>
      <c r="P261" s="10" t="s">
        <v>64</v>
      </c>
      <c r="Q261" s="9" t="s">
        <v>1686</v>
      </c>
      <c r="R261" s="9"/>
      <c r="S261" s="9" t="s">
        <v>1687</v>
      </c>
      <c r="T261" s="9"/>
      <c r="U261" s="9"/>
      <c r="V261" s="380"/>
    </row>
    <row r="262" spans="1:22" s="27" customFormat="1" ht="16" x14ac:dyDescent="0.2">
      <c r="A262" s="8">
        <v>5350</v>
      </c>
      <c r="B262" s="9" t="s">
        <v>893</v>
      </c>
      <c r="C262" s="9" t="s">
        <v>894</v>
      </c>
      <c r="D262" s="9" t="s">
        <v>916</v>
      </c>
      <c r="E262" s="10" t="s">
        <v>34</v>
      </c>
      <c r="F262" s="11" t="s">
        <v>138</v>
      </c>
      <c r="G262" s="12" t="s">
        <v>1688</v>
      </c>
      <c r="H262" s="10" t="s">
        <v>37</v>
      </c>
      <c r="I262" s="10"/>
      <c r="J262" s="10"/>
      <c r="K262" s="10" t="s">
        <v>1140</v>
      </c>
      <c r="L262" s="8"/>
      <c r="M262" s="8"/>
      <c r="N262" s="9"/>
      <c r="O262" s="9"/>
      <c r="P262" s="10" t="s">
        <v>64</v>
      </c>
      <c r="Q262" s="9" t="s">
        <v>907</v>
      </c>
      <c r="R262" s="9"/>
      <c r="S262" s="9" t="s">
        <v>1683</v>
      </c>
      <c r="T262" s="9"/>
      <c r="U262" s="9" t="s">
        <v>1672</v>
      </c>
      <c r="V262" s="380"/>
    </row>
    <row r="263" spans="1:22" s="27" customFormat="1" ht="16" x14ac:dyDescent="0.2">
      <c r="A263" s="8">
        <v>5351</v>
      </c>
      <c r="B263" s="9" t="s">
        <v>893</v>
      </c>
      <c r="C263" s="9" t="s">
        <v>894</v>
      </c>
      <c r="D263" s="9" t="s">
        <v>916</v>
      </c>
      <c r="E263" s="10" t="s">
        <v>34</v>
      </c>
      <c r="F263" s="11" t="s">
        <v>138</v>
      </c>
      <c r="G263" s="12" t="s">
        <v>1682</v>
      </c>
      <c r="H263" s="10" t="s">
        <v>37</v>
      </c>
      <c r="I263" s="10"/>
      <c r="J263" s="10"/>
      <c r="K263" s="10" t="s">
        <v>1140</v>
      </c>
      <c r="L263" s="8"/>
      <c r="M263" s="8"/>
      <c r="N263" s="9"/>
      <c r="O263" s="9"/>
      <c r="P263" s="10" t="s">
        <v>64</v>
      </c>
      <c r="Q263" s="9" t="s">
        <v>907</v>
      </c>
      <c r="R263" s="9"/>
      <c r="S263" s="9" t="s">
        <v>1683</v>
      </c>
      <c r="T263" s="9"/>
      <c r="U263" s="9" t="s">
        <v>1672</v>
      </c>
      <c r="V263" s="380"/>
    </row>
    <row r="264" spans="1:22" s="147" customFormat="1" ht="32" x14ac:dyDescent="0.2">
      <c r="A264" s="149">
        <v>5275</v>
      </c>
      <c r="B264" s="353" t="s">
        <v>678</v>
      </c>
      <c r="C264" s="353" t="s">
        <v>1689</v>
      </c>
      <c r="D264" s="353" t="s">
        <v>1690</v>
      </c>
      <c r="E264" s="354" t="s">
        <v>34</v>
      </c>
      <c r="F264" s="150" t="s">
        <v>117</v>
      </c>
      <c r="G264" s="355" t="s">
        <v>953</v>
      </c>
      <c r="H264" s="354" t="s">
        <v>37</v>
      </c>
      <c r="I264" s="149"/>
      <c r="J264" s="149"/>
      <c r="K264" s="149" t="s">
        <v>1131</v>
      </c>
      <c r="L264" s="354" t="s">
        <v>1242</v>
      </c>
      <c r="M264" s="354"/>
      <c r="N264" s="353"/>
      <c r="O264" s="353"/>
      <c r="P264" s="354" t="s">
        <v>64</v>
      </c>
      <c r="Q264" s="353" t="s">
        <v>955</v>
      </c>
      <c r="R264" s="353" t="s">
        <v>1691</v>
      </c>
      <c r="S264" s="151" t="s">
        <v>1692</v>
      </c>
      <c r="T264" s="353"/>
      <c r="U264" s="9" t="s">
        <v>1672</v>
      </c>
      <c r="V264" s="72"/>
    </row>
    <row r="265" spans="1:22" s="148" customFormat="1" ht="16" x14ac:dyDescent="0.2">
      <c r="A265" s="153">
        <v>5276</v>
      </c>
      <c r="B265" s="356" t="s">
        <v>678</v>
      </c>
      <c r="C265" s="356" t="s">
        <v>1693</v>
      </c>
      <c r="D265" s="356" t="s">
        <v>1690</v>
      </c>
      <c r="E265" s="357" t="s">
        <v>34</v>
      </c>
      <c r="F265" s="154" t="s">
        <v>138</v>
      </c>
      <c r="G265" s="358" t="s">
        <v>1694</v>
      </c>
      <c r="H265" s="357" t="s">
        <v>37</v>
      </c>
      <c r="I265" s="153"/>
      <c r="J265" s="153"/>
      <c r="K265" s="153" t="s">
        <v>1131</v>
      </c>
      <c r="L265" s="357" t="s">
        <v>1242</v>
      </c>
      <c r="M265" s="357"/>
      <c r="N265" s="356"/>
      <c r="O265" s="356"/>
      <c r="P265" s="357" t="s">
        <v>64</v>
      </c>
      <c r="Q265" s="356" t="s">
        <v>1695</v>
      </c>
      <c r="R265" s="356" t="s">
        <v>1696</v>
      </c>
      <c r="S265" s="155" t="s">
        <v>957</v>
      </c>
      <c r="T265" s="356" t="s">
        <v>1697</v>
      </c>
      <c r="U265" s="356" t="s">
        <v>1672</v>
      </c>
      <c r="V265" s="144"/>
    </row>
    <row r="266" spans="1:22" s="148" customFormat="1" ht="16" x14ac:dyDescent="0.2">
      <c r="A266" s="8">
        <v>5277</v>
      </c>
      <c r="B266" s="9" t="s">
        <v>678</v>
      </c>
      <c r="C266" s="9" t="s">
        <v>1693</v>
      </c>
      <c r="D266" s="9" t="s">
        <v>1698</v>
      </c>
      <c r="E266" s="10" t="s">
        <v>34</v>
      </c>
      <c r="F266" s="205" t="s">
        <v>197</v>
      </c>
      <c r="G266" s="12" t="s">
        <v>1699</v>
      </c>
      <c r="H266" s="10" t="s">
        <v>37</v>
      </c>
      <c r="I266" s="10"/>
      <c r="J266" s="10"/>
      <c r="K266" s="13" t="s">
        <v>1131</v>
      </c>
      <c r="L266" s="8" t="s">
        <v>1242</v>
      </c>
      <c r="M266" s="8"/>
      <c r="N266" s="9"/>
      <c r="O266" s="9"/>
      <c r="P266" s="10" t="s">
        <v>64</v>
      </c>
      <c r="Q266" s="9" t="s">
        <v>1700</v>
      </c>
      <c r="R266" s="9"/>
      <c r="S266" s="9"/>
      <c r="T266" s="9"/>
      <c r="U266" s="9" t="s">
        <v>1672</v>
      </c>
      <c r="V266" s="144"/>
    </row>
    <row r="267" spans="1:22" s="145" customFormat="1" ht="23.25" customHeight="1" x14ac:dyDescent="0.2">
      <c r="A267" s="156">
        <v>1171</v>
      </c>
      <c r="B267" s="157" t="s">
        <v>678</v>
      </c>
      <c r="C267" s="157" t="s">
        <v>1701</v>
      </c>
      <c r="D267" s="157" t="s">
        <v>992</v>
      </c>
      <c r="E267" s="158" t="s">
        <v>34</v>
      </c>
      <c r="F267" s="216" t="s">
        <v>197</v>
      </c>
      <c r="G267" s="159" t="s">
        <v>976</v>
      </c>
      <c r="H267" s="158" t="s">
        <v>37</v>
      </c>
      <c r="I267" s="158"/>
      <c r="J267" s="158"/>
      <c r="K267" s="160" t="s">
        <v>1140</v>
      </c>
      <c r="L267" s="156" t="s">
        <v>1255</v>
      </c>
      <c r="M267" s="156"/>
      <c r="N267" s="157"/>
      <c r="O267" s="157"/>
      <c r="P267" s="158" t="s">
        <v>64</v>
      </c>
      <c r="Q267" s="157" t="s">
        <v>966</v>
      </c>
      <c r="R267" s="157" t="s">
        <v>1702</v>
      </c>
      <c r="S267" s="157" t="s">
        <v>1703</v>
      </c>
      <c r="T267" s="157"/>
      <c r="U267" s="157" t="s">
        <v>1672</v>
      </c>
      <c r="V267" s="385"/>
    </row>
    <row r="268" spans="1:22" s="148" customFormat="1" ht="32" x14ac:dyDescent="0.2">
      <c r="A268" s="156">
        <v>1184</v>
      </c>
      <c r="B268" s="157" t="s">
        <v>678</v>
      </c>
      <c r="C268" s="157" t="s">
        <v>1701</v>
      </c>
      <c r="D268" s="157" t="s">
        <v>923</v>
      </c>
      <c r="E268" s="158" t="s">
        <v>34</v>
      </c>
      <c r="F268" s="161" t="s">
        <v>197</v>
      </c>
      <c r="G268" s="159" t="s">
        <v>976</v>
      </c>
      <c r="H268" s="158" t="s">
        <v>37</v>
      </c>
      <c r="I268" s="158"/>
      <c r="J268" s="158"/>
      <c r="K268" s="160" t="s">
        <v>1140</v>
      </c>
      <c r="L268" s="156" t="s">
        <v>1255</v>
      </c>
      <c r="M268" s="156"/>
      <c r="N268" s="157"/>
      <c r="O268" s="157"/>
      <c r="P268" s="158" t="s">
        <v>64</v>
      </c>
      <c r="Q268" s="157" t="s">
        <v>925</v>
      </c>
      <c r="R268" s="157" t="s">
        <v>1704</v>
      </c>
      <c r="S268" s="157" t="s">
        <v>1705</v>
      </c>
      <c r="T268" s="157"/>
      <c r="U268" s="157" t="s">
        <v>1672</v>
      </c>
      <c r="V268" s="144"/>
    </row>
    <row r="269" spans="1:22" s="148" customFormat="1" ht="32" x14ac:dyDescent="0.2">
      <c r="A269" s="156">
        <v>1186</v>
      </c>
      <c r="B269" s="157" t="s">
        <v>678</v>
      </c>
      <c r="C269" s="157" t="s">
        <v>1701</v>
      </c>
      <c r="D269" s="157" t="s">
        <v>985</v>
      </c>
      <c r="E269" s="158" t="s">
        <v>34</v>
      </c>
      <c r="F269" s="161" t="s">
        <v>197</v>
      </c>
      <c r="G269" s="159" t="s">
        <v>976</v>
      </c>
      <c r="H269" s="158" t="s">
        <v>37</v>
      </c>
      <c r="I269" s="158"/>
      <c r="J269" s="158"/>
      <c r="K269" s="160" t="s">
        <v>1140</v>
      </c>
      <c r="L269" s="158" t="s">
        <v>1255</v>
      </c>
      <c r="M269" s="158"/>
      <c r="N269" s="157"/>
      <c r="O269" s="157"/>
      <c r="P269" s="158" t="s">
        <v>64</v>
      </c>
      <c r="Q269" s="157" t="s">
        <v>1706</v>
      </c>
      <c r="R269" s="157" t="s">
        <v>1707</v>
      </c>
      <c r="S269" s="157" t="s">
        <v>1703</v>
      </c>
      <c r="T269" s="157"/>
      <c r="U269" s="157" t="s">
        <v>1672</v>
      </c>
      <c r="V269" s="144"/>
    </row>
    <row r="270" spans="1:22" s="145" customFormat="1" ht="32" x14ac:dyDescent="0.2">
      <c r="A270" s="156">
        <v>1185</v>
      </c>
      <c r="B270" s="157" t="s">
        <v>678</v>
      </c>
      <c r="C270" s="157" t="s">
        <v>1701</v>
      </c>
      <c r="D270" s="157" t="s">
        <v>1708</v>
      </c>
      <c r="E270" s="158" t="s">
        <v>34</v>
      </c>
      <c r="F270" s="161" t="s">
        <v>81</v>
      </c>
      <c r="G270" s="159" t="s">
        <v>1709</v>
      </c>
      <c r="H270" s="158" t="s">
        <v>37</v>
      </c>
      <c r="I270" s="158"/>
      <c r="J270" s="158"/>
      <c r="K270" s="160" t="s">
        <v>1140</v>
      </c>
      <c r="L270" s="158" t="s">
        <v>1255</v>
      </c>
      <c r="M270" s="158"/>
      <c r="N270" s="157"/>
      <c r="O270" s="157"/>
      <c r="P270" s="158" t="s">
        <v>64</v>
      </c>
      <c r="Q270" s="157" t="s">
        <v>1710</v>
      </c>
      <c r="R270" s="157" t="s">
        <v>1711</v>
      </c>
      <c r="S270" s="157" t="s">
        <v>1712</v>
      </c>
      <c r="T270" s="157" t="s">
        <v>1713</v>
      </c>
      <c r="U270" s="157" t="s">
        <v>1672</v>
      </c>
      <c r="V270" s="385"/>
    </row>
    <row r="271" spans="1:22" s="147" customFormat="1" ht="32" x14ac:dyDescent="0.2">
      <c r="A271" s="156">
        <v>1190</v>
      </c>
      <c r="B271" s="157" t="s">
        <v>678</v>
      </c>
      <c r="C271" s="157" t="s">
        <v>1714</v>
      </c>
      <c r="D271" s="157" t="s">
        <v>1715</v>
      </c>
      <c r="E271" s="158" t="s">
        <v>34</v>
      </c>
      <c r="F271" s="161" t="s">
        <v>197</v>
      </c>
      <c r="G271" s="159" t="s">
        <v>1716</v>
      </c>
      <c r="H271" s="158" t="s">
        <v>37</v>
      </c>
      <c r="I271" s="158"/>
      <c r="J271" s="158"/>
      <c r="K271" s="160" t="s">
        <v>1140</v>
      </c>
      <c r="L271" s="156" t="s">
        <v>1255</v>
      </c>
      <c r="M271" s="156"/>
      <c r="N271" s="157"/>
      <c r="O271" s="157"/>
      <c r="P271" s="158" t="s">
        <v>64</v>
      </c>
      <c r="Q271" s="157" t="s">
        <v>1717</v>
      </c>
      <c r="R271" s="157" t="s">
        <v>942</v>
      </c>
      <c r="S271" s="157" t="s">
        <v>1705</v>
      </c>
      <c r="T271" s="157" t="s">
        <v>1718</v>
      </c>
      <c r="U271" s="157" t="s">
        <v>1672</v>
      </c>
      <c r="V271" s="72"/>
    </row>
    <row r="272" spans="1:22" s="147" customFormat="1" ht="32" x14ac:dyDescent="0.2">
      <c r="A272" s="156">
        <v>1188</v>
      </c>
      <c r="B272" s="157" t="s">
        <v>678</v>
      </c>
      <c r="C272" s="157" t="s">
        <v>1714</v>
      </c>
      <c r="D272" s="157" t="s">
        <v>1009</v>
      </c>
      <c r="E272" s="158" t="s">
        <v>34</v>
      </c>
      <c r="F272" s="161" t="s">
        <v>197</v>
      </c>
      <c r="G272" s="159" t="s">
        <v>1719</v>
      </c>
      <c r="H272" s="158" t="s">
        <v>37</v>
      </c>
      <c r="I272" s="158"/>
      <c r="J272" s="158"/>
      <c r="K272" s="160" t="s">
        <v>1140</v>
      </c>
      <c r="L272" s="158" t="s">
        <v>1255</v>
      </c>
      <c r="M272" s="158"/>
      <c r="N272" s="157"/>
      <c r="O272" s="157"/>
      <c r="P272" s="158" t="s">
        <v>64</v>
      </c>
      <c r="Q272" s="157" t="s">
        <v>1720</v>
      </c>
      <c r="R272" s="157" t="s">
        <v>1707</v>
      </c>
      <c r="S272" s="157" t="s">
        <v>1703</v>
      </c>
      <c r="T272" s="157"/>
      <c r="U272" s="157" t="s">
        <v>1672</v>
      </c>
      <c r="V272" s="72"/>
    </row>
    <row r="273" spans="1:22" s="147" customFormat="1" ht="39" customHeight="1" x14ac:dyDescent="0.2">
      <c r="A273" s="156">
        <v>5270</v>
      </c>
      <c r="B273" s="157" t="s">
        <v>678</v>
      </c>
      <c r="C273" s="157" t="s">
        <v>1701</v>
      </c>
      <c r="D273" s="157" t="s">
        <v>1708</v>
      </c>
      <c r="E273" s="158" t="s">
        <v>34</v>
      </c>
      <c r="F273" s="161" t="s">
        <v>117</v>
      </c>
      <c r="G273" s="159" t="s">
        <v>973</v>
      </c>
      <c r="H273" s="158" t="s">
        <v>37</v>
      </c>
      <c r="I273" s="158"/>
      <c r="J273" s="158"/>
      <c r="K273" s="160" t="s">
        <v>1140</v>
      </c>
      <c r="L273" s="354" t="s">
        <v>1242</v>
      </c>
      <c r="M273" s="354"/>
      <c r="N273" s="157"/>
      <c r="O273" s="157"/>
      <c r="P273" s="158" t="s">
        <v>64</v>
      </c>
      <c r="Q273" s="157" t="s">
        <v>966</v>
      </c>
      <c r="R273" s="157" t="s">
        <v>1721</v>
      </c>
      <c r="S273" s="157" t="s">
        <v>1705</v>
      </c>
      <c r="T273" s="157"/>
      <c r="U273" s="157" t="s">
        <v>1672</v>
      </c>
      <c r="V273" s="72"/>
    </row>
    <row r="274" spans="1:22" s="147" customFormat="1" ht="39" customHeight="1" x14ac:dyDescent="0.2">
      <c r="A274" s="156">
        <v>5272</v>
      </c>
      <c r="B274" s="157" t="s">
        <v>678</v>
      </c>
      <c r="C274" s="157" t="s">
        <v>1714</v>
      </c>
      <c r="D274" s="157" t="s">
        <v>945</v>
      </c>
      <c r="E274" s="158" t="s">
        <v>34</v>
      </c>
      <c r="F274" s="161" t="s">
        <v>81</v>
      </c>
      <c r="G274" s="159" t="s">
        <v>946</v>
      </c>
      <c r="H274" s="158" t="s">
        <v>37</v>
      </c>
      <c r="I274" s="158"/>
      <c r="J274" s="158"/>
      <c r="K274" s="160" t="s">
        <v>1140</v>
      </c>
      <c r="L274" s="158" t="s">
        <v>1242</v>
      </c>
      <c r="M274" s="158"/>
      <c r="N274" s="157"/>
      <c r="O274" s="157"/>
      <c r="P274" s="158" t="s">
        <v>64</v>
      </c>
      <c r="Q274" s="157" t="s">
        <v>947</v>
      </c>
      <c r="R274" s="157"/>
      <c r="S274" s="157" t="s">
        <v>948</v>
      </c>
      <c r="T274" s="157"/>
      <c r="U274" s="157" t="s">
        <v>1672</v>
      </c>
      <c r="V274" s="72"/>
    </row>
    <row r="275" spans="1:22" s="147" customFormat="1" ht="16" x14ac:dyDescent="0.2">
      <c r="A275" s="156">
        <v>5273</v>
      </c>
      <c r="B275" s="157" t="s">
        <v>678</v>
      </c>
      <c r="C275" s="157" t="s">
        <v>1693</v>
      </c>
      <c r="D275" s="157" t="s">
        <v>1698</v>
      </c>
      <c r="E275" s="158" t="s">
        <v>34</v>
      </c>
      <c r="F275" s="161" t="s">
        <v>81</v>
      </c>
      <c r="G275" s="159" t="s">
        <v>1722</v>
      </c>
      <c r="H275" s="158" t="s">
        <v>37</v>
      </c>
      <c r="I275" s="158"/>
      <c r="J275" s="158"/>
      <c r="K275" s="160" t="s">
        <v>1140</v>
      </c>
      <c r="L275" s="158" t="s">
        <v>1242</v>
      </c>
      <c r="M275" s="158"/>
      <c r="N275" s="157"/>
      <c r="O275" s="157"/>
      <c r="P275" s="158" t="s">
        <v>64</v>
      </c>
      <c r="Q275" s="157" t="s">
        <v>1700</v>
      </c>
      <c r="R275" s="157" t="s">
        <v>1723</v>
      </c>
      <c r="S275" s="157" t="s">
        <v>1724</v>
      </c>
      <c r="T275" s="157" t="s">
        <v>958</v>
      </c>
      <c r="U275" s="157" t="s">
        <v>1672</v>
      </c>
      <c r="V275" s="72"/>
    </row>
    <row r="276" spans="1:22" s="147" customFormat="1" ht="16" x14ac:dyDescent="0.2">
      <c r="A276" s="149">
        <v>5273</v>
      </c>
      <c r="B276" s="353" t="s">
        <v>678</v>
      </c>
      <c r="C276" s="353" t="s">
        <v>1725</v>
      </c>
      <c r="D276" s="353" t="s">
        <v>1690</v>
      </c>
      <c r="E276" s="354" t="s">
        <v>34</v>
      </c>
      <c r="F276" s="150" t="s">
        <v>197</v>
      </c>
      <c r="G276" s="355" t="s">
        <v>1726</v>
      </c>
      <c r="H276" s="354" t="s">
        <v>101</v>
      </c>
      <c r="I276" s="354"/>
      <c r="J276" s="354"/>
      <c r="K276" s="160" t="s">
        <v>1140</v>
      </c>
      <c r="L276" s="354" t="s">
        <v>1242</v>
      </c>
      <c r="M276" s="354"/>
      <c r="N276" s="353"/>
      <c r="O276" s="353"/>
      <c r="P276" s="354" t="s">
        <v>64</v>
      </c>
      <c r="Q276" s="353" t="s">
        <v>1727</v>
      </c>
      <c r="R276" s="353" t="s">
        <v>1728</v>
      </c>
      <c r="S276" s="353" t="s">
        <v>1729</v>
      </c>
      <c r="T276" s="353"/>
      <c r="U276" s="157" t="s">
        <v>1672</v>
      </c>
      <c r="V276" s="72"/>
    </row>
    <row r="277" spans="1:22" s="147" customFormat="1" ht="16" x14ac:dyDescent="0.2">
      <c r="A277" s="8">
        <v>5288</v>
      </c>
      <c r="B277" s="9" t="s">
        <v>678</v>
      </c>
      <c r="C277" s="9" t="s">
        <v>1730</v>
      </c>
      <c r="D277" s="9" t="s">
        <v>680</v>
      </c>
      <c r="E277" s="10" t="s">
        <v>34</v>
      </c>
      <c r="F277" s="11" t="s">
        <v>197</v>
      </c>
      <c r="G277" s="12" t="s">
        <v>976</v>
      </c>
      <c r="H277" s="10" t="s">
        <v>37</v>
      </c>
      <c r="I277" s="8"/>
      <c r="J277" s="8"/>
      <c r="K277" s="8" t="s">
        <v>1140</v>
      </c>
      <c r="L277" s="10" t="s">
        <v>1242</v>
      </c>
      <c r="M277" s="10"/>
      <c r="N277" s="9"/>
      <c r="O277" s="9"/>
      <c r="P277" s="10" t="s">
        <v>64</v>
      </c>
      <c r="Q277" s="9" t="s">
        <v>984</v>
      </c>
      <c r="R277" s="9"/>
      <c r="S277" s="9" t="s">
        <v>1731</v>
      </c>
      <c r="T277" s="9"/>
      <c r="U277" s="9" t="s">
        <v>1672</v>
      </c>
      <c r="V277" s="72"/>
    </row>
    <row r="278" spans="1:22" s="147" customFormat="1" ht="16" x14ac:dyDescent="0.2">
      <c r="A278" s="156">
        <v>5269</v>
      </c>
      <c r="B278" s="157" t="s">
        <v>678</v>
      </c>
      <c r="C278" s="157" t="s">
        <v>1701</v>
      </c>
      <c r="D278" s="157" t="s">
        <v>923</v>
      </c>
      <c r="E278" s="158" t="s">
        <v>936</v>
      </c>
      <c r="F278" s="158" t="s">
        <v>81</v>
      </c>
      <c r="G278" s="159" t="s">
        <v>937</v>
      </c>
      <c r="H278" s="158" t="s">
        <v>37</v>
      </c>
      <c r="I278" s="158"/>
      <c r="J278" s="158"/>
      <c r="K278" s="160" t="s">
        <v>1140</v>
      </c>
      <c r="L278" s="354" t="s">
        <v>1242</v>
      </c>
      <c r="M278" s="354"/>
      <c r="N278" s="157"/>
      <c r="O278" s="157"/>
      <c r="P278" s="158" t="s">
        <v>64</v>
      </c>
      <c r="Q278" s="157" t="s">
        <v>925</v>
      </c>
      <c r="R278" s="157" t="s">
        <v>1704</v>
      </c>
      <c r="S278" s="157" t="s">
        <v>1705</v>
      </c>
      <c r="T278" s="157"/>
      <c r="U278" s="157" t="s">
        <v>1672</v>
      </c>
      <c r="V278" s="72"/>
    </row>
    <row r="279" spans="1:22" s="147" customFormat="1" ht="16" x14ac:dyDescent="0.2">
      <c r="A279" s="8">
        <v>5278</v>
      </c>
      <c r="B279" s="9" t="s">
        <v>678</v>
      </c>
      <c r="C279" s="9" t="s">
        <v>1693</v>
      </c>
      <c r="D279" s="9" t="s">
        <v>1732</v>
      </c>
      <c r="E279" s="10" t="s">
        <v>34</v>
      </c>
      <c r="F279" s="11" t="s">
        <v>81</v>
      </c>
      <c r="G279" s="12" t="s">
        <v>924</v>
      </c>
      <c r="H279" s="10" t="s">
        <v>37</v>
      </c>
      <c r="I279" s="10"/>
      <c r="J279" s="10"/>
      <c r="K279" s="10" t="s">
        <v>1520</v>
      </c>
      <c r="L279" s="8" t="s">
        <v>1733</v>
      </c>
      <c r="M279" s="8"/>
      <c r="N279" s="9"/>
      <c r="O279" s="9"/>
      <c r="P279" s="10" t="s">
        <v>64</v>
      </c>
      <c r="Q279" s="9" t="s">
        <v>1734</v>
      </c>
      <c r="R279" s="9"/>
      <c r="S279" s="9" t="s">
        <v>1735</v>
      </c>
      <c r="T279" s="9"/>
      <c r="U279" s="9" t="s">
        <v>1672</v>
      </c>
      <c r="V279" s="72"/>
    </row>
    <row r="280" spans="1:22" s="147" customFormat="1" ht="16" x14ac:dyDescent="0.2">
      <c r="A280" s="8">
        <v>5279</v>
      </c>
      <c r="B280" s="9" t="s">
        <v>678</v>
      </c>
      <c r="C280" s="9" t="s">
        <v>1693</v>
      </c>
      <c r="D280" s="9" t="s">
        <v>1732</v>
      </c>
      <c r="E280" s="10" t="s">
        <v>34</v>
      </c>
      <c r="F280" s="205" t="s">
        <v>197</v>
      </c>
      <c r="G280" s="12" t="s">
        <v>976</v>
      </c>
      <c r="H280" s="10" t="s">
        <v>37</v>
      </c>
      <c r="I280" s="10"/>
      <c r="J280" s="10"/>
      <c r="K280" s="10" t="s">
        <v>1520</v>
      </c>
      <c r="L280" s="8" t="s">
        <v>1736</v>
      </c>
      <c r="M280" s="8"/>
      <c r="N280" s="9"/>
      <c r="O280" s="9"/>
      <c r="P280" s="10" t="s">
        <v>64</v>
      </c>
      <c r="Q280" s="9" t="s">
        <v>1734</v>
      </c>
      <c r="R280" s="9"/>
      <c r="S280" s="9" t="s">
        <v>1735</v>
      </c>
      <c r="T280" s="9"/>
      <c r="U280" s="9" t="s">
        <v>1672</v>
      </c>
      <c r="V280" s="72"/>
    </row>
    <row r="281" spans="1:22" s="147" customFormat="1" ht="16" x14ac:dyDescent="0.2">
      <c r="A281" s="8">
        <v>5285</v>
      </c>
      <c r="B281" s="9" t="s">
        <v>678</v>
      </c>
      <c r="C281" s="9" t="s">
        <v>1689</v>
      </c>
      <c r="D281" s="9" t="s">
        <v>1690</v>
      </c>
      <c r="E281" s="10" t="s">
        <v>34</v>
      </c>
      <c r="F281" s="11" t="s">
        <v>117</v>
      </c>
      <c r="G281" s="12" t="s">
        <v>1737</v>
      </c>
      <c r="H281" s="10" t="s">
        <v>37</v>
      </c>
      <c r="I281" s="10"/>
      <c r="J281" s="10"/>
      <c r="K281" s="10" t="s">
        <v>1520</v>
      </c>
      <c r="L281" s="8" t="s">
        <v>1736</v>
      </c>
      <c r="M281" s="8"/>
      <c r="N281" s="9"/>
      <c r="O281" s="9"/>
      <c r="P281" s="10" t="s">
        <v>64</v>
      </c>
      <c r="Q281" s="9" t="s">
        <v>955</v>
      </c>
      <c r="R281" s="9" t="s">
        <v>1738</v>
      </c>
      <c r="S281" s="9"/>
      <c r="T281" s="9"/>
      <c r="U281" s="9" t="s">
        <v>1672</v>
      </c>
      <c r="V281" s="72"/>
    </row>
    <row r="282" spans="1:22" s="147" customFormat="1" ht="32" x14ac:dyDescent="0.2">
      <c r="A282" s="8">
        <v>5281</v>
      </c>
      <c r="B282" s="9" t="s">
        <v>678</v>
      </c>
      <c r="C282" s="9" t="s">
        <v>1714</v>
      </c>
      <c r="D282" s="9" t="s">
        <v>1715</v>
      </c>
      <c r="E282" s="10" t="s">
        <v>34</v>
      </c>
      <c r="F282" s="11" t="s">
        <v>81</v>
      </c>
      <c r="G282" s="12" t="s">
        <v>1739</v>
      </c>
      <c r="H282" s="10" t="s">
        <v>37</v>
      </c>
      <c r="I282" s="10"/>
      <c r="J282" s="10"/>
      <c r="K282" s="10" t="s">
        <v>1520</v>
      </c>
      <c r="L282" s="8" t="s">
        <v>1740</v>
      </c>
      <c r="M282" s="8"/>
      <c r="N282" s="9"/>
      <c r="O282" s="9"/>
      <c r="P282" s="10" t="s">
        <v>64</v>
      </c>
      <c r="Q282" s="9" t="s">
        <v>1720</v>
      </c>
      <c r="R282" s="9" t="s">
        <v>1741</v>
      </c>
      <c r="S282" s="9" t="s">
        <v>1703</v>
      </c>
      <c r="T282" s="9"/>
      <c r="U282" s="9" t="s">
        <v>1672</v>
      </c>
      <c r="V282" s="72"/>
    </row>
    <row r="283" spans="1:22" s="148" customFormat="1" ht="16" x14ac:dyDescent="0.2">
      <c r="A283" s="8">
        <v>5280</v>
      </c>
      <c r="B283" s="9" t="s">
        <v>678</v>
      </c>
      <c r="C283" s="9" t="s">
        <v>1701</v>
      </c>
      <c r="D283" s="9" t="s">
        <v>985</v>
      </c>
      <c r="E283" s="10" t="s">
        <v>34</v>
      </c>
      <c r="F283" s="205" t="s">
        <v>197</v>
      </c>
      <c r="G283" s="12" t="s">
        <v>976</v>
      </c>
      <c r="H283" s="10" t="s">
        <v>37</v>
      </c>
      <c r="I283" s="10"/>
      <c r="J283" s="10"/>
      <c r="K283" s="10" t="s">
        <v>1520</v>
      </c>
      <c r="L283" s="8" t="s">
        <v>1742</v>
      </c>
      <c r="M283" s="8"/>
      <c r="N283" s="9"/>
      <c r="O283" s="9"/>
      <c r="P283" s="10" t="s">
        <v>64</v>
      </c>
      <c r="Q283" s="9" t="s">
        <v>1706</v>
      </c>
      <c r="R283" s="9" t="s">
        <v>1743</v>
      </c>
      <c r="S283" s="9" t="s">
        <v>1703</v>
      </c>
      <c r="T283" s="9"/>
      <c r="U283" s="9" t="s">
        <v>1672</v>
      </c>
      <c r="V283" s="144"/>
    </row>
    <row r="284" spans="1:22" s="147" customFormat="1" ht="32" x14ac:dyDescent="0.2">
      <c r="A284" s="8">
        <v>5282</v>
      </c>
      <c r="B284" s="9" t="s">
        <v>678</v>
      </c>
      <c r="C284" s="9" t="s">
        <v>1714</v>
      </c>
      <c r="D284" s="9" t="s">
        <v>1009</v>
      </c>
      <c r="E284" s="10" t="s">
        <v>34</v>
      </c>
      <c r="F284" s="205" t="s">
        <v>197</v>
      </c>
      <c r="G284" s="12" t="s">
        <v>1719</v>
      </c>
      <c r="H284" s="10" t="s">
        <v>37</v>
      </c>
      <c r="I284" s="10"/>
      <c r="J284" s="10"/>
      <c r="K284" s="10" t="s">
        <v>1520</v>
      </c>
      <c r="L284" s="8" t="s">
        <v>1742</v>
      </c>
      <c r="M284" s="8"/>
      <c r="N284" s="9"/>
      <c r="O284" s="9"/>
      <c r="P284" s="10" t="s">
        <v>64</v>
      </c>
      <c r="Q284" s="9" t="s">
        <v>1720</v>
      </c>
      <c r="R284" s="9" t="s">
        <v>1707</v>
      </c>
      <c r="S284" s="9" t="s">
        <v>1703</v>
      </c>
      <c r="T284" s="9"/>
      <c r="U284" s="9" t="s">
        <v>1672</v>
      </c>
      <c r="V284" s="72"/>
    </row>
    <row r="285" spans="1:22" s="147" customFormat="1" ht="32" x14ac:dyDescent="0.2">
      <c r="A285" s="8">
        <v>5283</v>
      </c>
      <c r="B285" s="9" t="s">
        <v>678</v>
      </c>
      <c r="C285" s="9" t="s">
        <v>1714</v>
      </c>
      <c r="D285" s="9" t="s">
        <v>945</v>
      </c>
      <c r="E285" s="10" t="s">
        <v>34</v>
      </c>
      <c r="F285" s="11" t="s">
        <v>81</v>
      </c>
      <c r="G285" s="12" t="s">
        <v>1744</v>
      </c>
      <c r="H285" s="10" t="s">
        <v>37</v>
      </c>
      <c r="I285" s="10"/>
      <c r="J285" s="10"/>
      <c r="K285" s="10" t="s">
        <v>1520</v>
      </c>
      <c r="L285" s="8" t="s">
        <v>1745</v>
      </c>
      <c r="M285" s="8"/>
      <c r="N285" s="9"/>
      <c r="O285" s="9"/>
      <c r="P285" s="10" t="s">
        <v>64</v>
      </c>
      <c r="Q285" s="9" t="s">
        <v>1746</v>
      </c>
      <c r="R285" s="9" t="s">
        <v>1747</v>
      </c>
      <c r="S285" s="9" t="s">
        <v>1748</v>
      </c>
      <c r="T285" s="9"/>
      <c r="U285" s="9" t="s">
        <v>1672</v>
      </c>
      <c r="V285" s="72"/>
    </row>
    <row r="286" spans="1:22" s="162" customFormat="1" ht="16" x14ac:dyDescent="0.2">
      <c r="A286" s="8">
        <v>5289</v>
      </c>
      <c r="B286" s="9" t="s">
        <v>678</v>
      </c>
      <c r="C286" s="9" t="s">
        <v>1730</v>
      </c>
      <c r="D286" s="9" t="s">
        <v>680</v>
      </c>
      <c r="E286" s="10" t="s">
        <v>34</v>
      </c>
      <c r="F286" s="11" t="s">
        <v>197</v>
      </c>
      <c r="G286" s="12" t="s">
        <v>976</v>
      </c>
      <c r="H286" s="10" t="s">
        <v>37</v>
      </c>
      <c r="I286" s="8"/>
      <c r="J286" s="8"/>
      <c r="K286" s="10" t="s">
        <v>1520</v>
      </c>
      <c r="L286" s="10" t="s">
        <v>1242</v>
      </c>
      <c r="M286" s="10"/>
      <c r="N286" s="9"/>
      <c r="O286" s="9"/>
      <c r="P286" s="10" t="s">
        <v>64</v>
      </c>
      <c r="Q286" s="9" t="s">
        <v>984</v>
      </c>
      <c r="R286" s="9"/>
      <c r="S286" s="9" t="s">
        <v>1731</v>
      </c>
      <c r="T286" s="9"/>
      <c r="U286" s="9" t="s">
        <v>1672</v>
      </c>
      <c r="V286" s="386"/>
    </row>
    <row r="287" spans="1:22" s="162" customFormat="1" ht="48" x14ac:dyDescent="0.2">
      <c r="A287" s="8">
        <v>5286</v>
      </c>
      <c r="B287" s="9" t="s">
        <v>678</v>
      </c>
      <c r="C287" s="9" t="s">
        <v>101</v>
      </c>
      <c r="D287" s="9" t="s">
        <v>1690</v>
      </c>
      <c r="E287" s="10" t="s">
        <v>34</v>
      </c>
      <c r="F287" s="11" t="s">
        <v>197</v>
      </c>
      <c r="G287" s="12" t="s">
        <v>1749</v>
      </c>
      <c r="H287" s="10" t="s">
        <v>37</v>
      </c>
      <c r="I287" s="10"/>
      <c r="J287" s="10"/>
      <c r="K287" s="10" t="s">
        <v>1520</v>
      </c>
      <c r="L287" s="8" t="s">
        <v>1733</v>
      </c>
      <c r="M287" s="8"/>
      <c r="N287" s="9"/>
      <c r="O287" s="9"/>
      <c r="P287" s="10" t="s">
        <v>64</v>
      </c>
      <c r="Q287" s="9" t="s">
        <v>1750</v>
      </c>
      <c r="R287" s="9" t="s">
        <v>1750</v>
      </c>
      <c r="S287" s="9"/>
      <c r="T287" s="9"/>
      <c r="U287" s="9" t="s">
        <v>1751</v>
      </c>
      <c r="V287" s="386"/>
    </row>
    <row r="288" spans="1:22" s="162" customFormat="1" ht="48" x14ac:dyDescent="0.2">
      <c r="A288" s="8">
        <v>5287</v>
      </c>
      <c r="B288" s="9" t="s">
        <v>678</v>
      </c>
      <c r="C288" s="9" t="s">
        <v>101</v>
      </c>
      <c r="D288" s="9" t="s">
        <v>1690</v>
      </c>
      <c r="E288" s="10" t="s">
        <v>34</v>
      </c>
      <c r="F288" s="11" t="s">
        <v>81</v>
      </c>
      <c r="G288" s="12" t="s">
        <v>1752</v>
      </c>
      <c r="H288" s="10" t="s">
        <v>37</v>
      </c>
      <c r="I288" s="10"/>
      <c r="J288" s="10"/>
      <c r="K288" s="10" t="s">
        <v>1520</v>
      </c>
      <c r="L288" s="8" t="s">
        <v>1733</v>
      </c>
      <c r="M288" s="8"/>
      <c r="N288" s="9"/>
      <c r="O288" s="9"/>
      <c r="P288" s="10" t="s">
        <v>64</v>
      </c>
      <c r="Q288" s="9" t="s">
        <v>1750</v>
      </c>
      <c r="R288" s="9" t="s">
        <v>1750</v>
      </c>
      <c r="S288" s="9"/>
      <c r="T288" s="9"/>
      <c r="U288" s="9" t="s">
        <v>1751</v>
      </c>
      <c r="V288" s="386"/>
    </row>
    <row r="289" spans="1:22" s="148" customFormat="1" ht="43.5" customHeight="1" x14ac:dyDescent="0.2">
      <c r="A289" s="8">
        <v>5107</v>
      </c>
      <c r="B289" s="9" t="s">
        <v>77</v>
      </c>
      <c r="C289" s="9" t="s">
        <v>104</v>
      </c>
      <c r="D289" s="54" t="s">
        <v>112</v>
      </c>
      <c r="E289" s="10" t="s">
        <v>34</v>
      </c>
      <c r="F289" s="10" t="s">
        <v>58</v>
      </c>
      <c r="G289" s="12" t="s">
        <v>1550</v>
      </c>
      <c r="H289" s="11" t="s">
        <v>50</v>
      </c>
      <c r="I289" s="203" t="s">
        <v>1753</v>
      </c>
      <c r="J289" s="203"/>
      <c r="K289" s="13" t="s">
        <v>1131</v>
      </c>
      <c r="L289" s="10"/>
      <c r="M289" s="10"/>
      <c r="N289" s="54"/>
      <c r="O289" s="54"/>
      <c r="P289" s="8" t="s">
        <v>41</v>
      </c>
      <c r="Q289" s="9" t="s">
        <v>1551</v>
      </c>
      <c r="R289" s="204" t="s">
        <v>1754</v>
      </c>
      <c r="S289" s="54" t="s">
        <v>1556</v>
      </c>
      <c r="T289" s="54" t="s">
        <v>142</v>
      </c>
      <c r="U289" s="88" t="s">
        <v>120</v>
      </c>
      <c r="V289" s="359" t="s">
        <v>1755</v>
      </c>
    </row>
    <row r="290" spans="1:22" s="147" customFormat="1" ht="16" x14ac:dyDescent="0.2">
      <c r="A290" s="8">
        <v>5260</v>
      </c>
      <c r="B290" s="9" t="s">
        <v>893</v>
      </c>
      <c r="C290" s="9" t="s">
        <v>894</v>
      </c>
      <c r="D290" s="9" t="s">
        <v>928</v>
      </c>
      <c r="E290" s="10" t="s">
        <v>34</v>
      </c>
      <c r="F290" s="11" t="s">
        <v>81</v>
      </c>
      <c r="G290" s="12" t="s">
        <v>1756</v>
      </c>
      <c r="H290" s="10" t="s">
        <v>37</v>
      </c>
      <c r="I290" s="203"/>
      <c r="J290" s="203"/>
      <c r="K290" s="10" t="s">
        <v>1131</v>
      </c>
      <c r="L290" s="8"/>
      <c r="M290" s="8"/>
      <c r="N290" s="9"/>
      <c r="O290" s="9"/>
      <c r="P290" s="8" t="s">
        <v>41</v>
      </c>
      <c r="Q290" s="9" t="s">
        <v>901</v>
      </c>
      <c r="R290" s="204"/>
      <c r="S290" s="9" t="s">
        <v>1757</v>
      </c>
      <c r="T290" s="9"/>
      <c r="U290" s="9" t="s">
        <v>919</v>
      </c>
      <c r="V290" s="72"/>
    </row>
    <row r="291" spans="1:22" s="152" customFormat="1" ht="43.5" customHeight="1" x14ac:dyDescent="0.2">
      <c r="A291" s="8">
        <v>5162</v>
      </c>
      <c r="B291" s="9" t="s">
        <v>77</v>
      </c>
      <c r="C291" s="9" t="s">
        <v>429</v>
      </c>
      <c r="D291" s="54" t="s">
        <v>1758</v>
      </c>
      <c r="E291" s="10" t="s">
        <v>464</v>
      </c>
      <c r="F291" s="10" t="s">
        <v>58</v>
      </c>
      <c r="G291" s="12" t="s">
        <v>1759</v>
      </c>
      <c r="H291" s="10" t="s">
        <v>1348</v>
      </c>
      <c r="I291" s="203"/>
      <c r="J291" s="203"/>
      <c r="K291" s="13" t="s">
        <v>1136</v>
      </c>
      <c r="L291" s="10"/>
      <c r="M291" s="10"/>
      <c r="N291" s="54"/>
      <c r="O291" s="54"/>
      <c r="P291" s="8" t="s">
        <v>41</v>
      </c>
      <c r="Q291" s="9" t="s">
        <v>456</v>
      </c>
      <c r="R291" s="204"/>
      <c r="S291" s="54" t="s">
        <v>466</v>
      </c>
      <c r="T291" s="54"/>
      <c r="U291" s="92" t="s">
        <v>445</v>
      </c>
      <c r="V291" s="360" t="s">
        <v>467</v>
      </c>
    </row>
    <row r="292" spans="1:22" s="146" customFormat="1" ht="48" x14ac:dyDescent="0.2">
      <c r="A292" s="8">
        <v>5163</v>
      </c>
      <c r="B292" s="9" t="s">
        <v>77</v>
      </c>
      <c r="C292" s="9" t="s">
        <v>429</v>
      </c>
      <c r="D292" s="54" t="s">
        <v>1758</v>
      </c>
      <c r="E292" s="10" t="s">
        <v>464</v>
      </c>
      <c r="F292" s="10" t="s">
        <v>98</v>
      </c>
      <c r="G292" s="12" t="s">
        <v>1760</v>
      </c>
      <c r="H292" s="10" t="s">
        <v>1348</v>
      </c>
      <c r="I292" s="203"/>
      <c r="J292" s="203"/>
      <c r="K292" s="13" t="s">
        <v>1140</v>
      </c>
      <c r="L292" s="10"/>
      <c r="M292" s="10"/>
      <c r="N292" s="54"/>
      <c r="O292" s="54"/>
      <c r="P292" s="8" t="s">
        <v>41</v>
      </c>
      <c r="Q292" s="9" t="s">
        <v>456</v>
      </c>
      <c r="R292" s="204"/>
      <c r="S292" s="54" t="s">
        <v>466</v>
      </c>
      <c r="T292" s="54"/>
      <c r="U292" s="92" t="s">
        <v>445</v>
      </c>
      <c r="V292" s="360" t="s">
        <v>470</v>
      </c>
    </row>
    <row r="293" spans="1:22" s="147" customFormat="1" ht="43.5" customHeight="1" x14ac:dyDescent="0.2">
      <c r="A293" s="8">
        <v>5164</v>
      </c>
      <c r="B293" s="9" t="s">
        <v>77</v>
      </c>
      <c r="C293" s="9" t="s">
        <v>429</v>
      </c>
      <c r="D293" s="54" t="s">
        <v>1758</v>
      </c>
      <c r="E293" s="10" t="s">
        <v>464</v>
      </c>
      <c r="F293" s="10" t="s">
        <v>98</v>
      </c>
      <c r="G293" s="12" t="s">
        <v>1761</v>
      </c>
      <c r="H293" s="10" t="s">
        <v>1348</v>
      </c>
      <c r="I293" s="203"/>
      <c r="J293" s="203"/>
      <c r="K293" s="13" t="s">
        <v>1140</v>
      </c>
      <c r="L293" s="10"/>
      <c r="M293" s="10"/>
      <c r="N293" s="54"/>
      <c r="O293" s="54"/>
      <c r="P293" s="8" t="s">
        <v>41</v>
      </c>
      <c r="Q293" s="9" t="s">
        <v>456</v>
      </c>
      <c r="R293" s="204"/>
      <c r="S293" s="54" t="s">
        <v>466</v>
      </c>
      <c r="T293" s="54"/>
      <c r="U293" s="92" t="s">
        <v>445</v>
      </c>
      <c r="V293" s="360" t="s">
        <v>472</v>
      </c>
    </row>
    <row r="294" spans="1:22" customFormat="1" ht="30" customHeight="1" x14ac:dyDescent="0.2">
      <c r="A294" s="239">
        <v>5104</v>
      </c>
      <c r="B294" s="248" t="s">
        <v>77</v>
      </c>
      <c r="C294" s="248" t="s">
        <v>122</v>
      </c>
      <c r="D294" s="249" t="s">
        <v>134</v>
      </c>
      <c r="E294" s="301" t="s">
        <v>34</v>
      </c>
      <c r="F294" s="250" t="s">
        <v>98</v>
      </c>
      <c r="G294" s="252" t="s">
        <v>1762</v>
      </c>
      <c r="H294" s="251" t="s">
        <v>50</v>
      </c>
      <c r="I294" s="250"/>
      <c r="J294" s="250"/>
      <c r="K294" s="250" t="s">
        <v>1131</v>
      </c>
      <c r="L294" s="250"/>
      <c r="M294" s="250"/>
      <c r="N294" s="249"/>
      <c r="O294" s="239"/>
      <c r="P294" s="239" t="s">
        <v>41</v>
      </c>
      <c r="Q294" s="248" t="s">
        <v>1297</v>
      </c>
      <c r="R294" s="248"/>
      <c r="S294" s="249"/>
      <c r="T294" s="250"/>
      <c r="U294" s="248"/>
      <c r="V294" s="302" t="s">
        <v>1763</v>
      </c>
    </row>
    <row r="295" spans="1:22" ht="30" customHeight="1" x14ac:dyDescent="0.2">
      <c r="A295" s="239">
        <v>1181</v>
      </c>
      <c r="B295" s="248" t="s">
        <v>678</v>
      </c>
      <c r="C295" s="248" t="s">
        <v>679</v>
      </c>
      <c r="D295" s="248" t="s">
        <v>952</v>
      </c>
      <c r="E295" s="250" t="s">
        <v>34</v>
      </c>
      <c r="F295" s="250" t="s">
        <v>98</v>
      </c>
      <c r="G295" s="252" t="s">
        <v>1764</v>
      </c>
      <c r="H295" s="250" t="s">
        <v>37</v>
      </c>
      <c r="I295" s="239">
        <v>5</v>
      </c>
      <c r="J295" s="239"/>
      <c r="K295" s="239" t="s">
        <v>1131</v>
      </c>
      <c r="L295" s="250"/>
      <c r="M295" s="239"/>
      <c r="N295" s="248"/>
      <c r="O295" s="239"/>
      <c r="P295" s="250" t="s">
        <v>109</v>
      </c>
      <c r="Q295" s="248" t="s">
        <v>955</v>
      </c>
      <c r="R295" s="248" t="s">
        <v>956</v>
      </c>
      <c r="S295" s="254" t="s">
        <v>957</v>
      </c>
      <c r="T295" s="248"/>
      <c r="U295" s="248"/>
      <c r="V295" s="302" t="s">
        <v>1765</v>
      </c>
    </row>
    <row r="296" spans="1:22" x14ac:dyDescent="0.2">
      <c r="A296" s="361">
        <v>9001</v>
      </c>
      <c r="B296" s="362" t="s">
        <v>1126</v>
      </c>
      <c r="C296" s="361"/>
      <c r="D296" s="361"/>
      <c r="E296" s="361"/>
      <c r="F296" s="361"/>
      <c r="G296" s="361"/>
      <c r="H296" s="361"/>
      <c r="I296" s="361"/>
      <c r="J296" s="361"/>
      <c r="K296" s="361"/>
      <c r="L296" s="361"/>
      <c r="M296" s="361"/>
      <c r="N296" s="361"/>
      <c r="O296" s="361"/>
      <c r="P296" s="361"/>
      <c r="Q296" s="361"/>
      <c r="R296" s="361"/>
      <c r="S296" s="361"/>
      <c r="T296" s="361"/>
      <c r="U296" s="54"/>
      <c r="V296" s="104"/>
    </row>
  </sheetData>
  <autoFilter ref="A1:V1" xr:uid="{62D6818F-430A-A14F-98C5-C2F46A3B229F}"/>
  <pageMargins left="0" right="0" top="0.75" bottom="0.75" header="0.3" footer="0.3"/>
  <pageSetup scale="67" fitToHeight="0" orientation="landscape"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6ED9-16C7-4D97-A01E-ABCF01BBF056}">
  <sheetPr filterMode="1">
    <tabColor theme="9" tint="0.59999389629810485"/>
  </sheetPr>
  <dimension ref="B1:AT521"/>
  <sheetViews>
    <sheetView showGridLines="0" zoomScale="110" zoomScaleNormal="110" workbookViewId="0">
      <pane xSplit="10" ySplit="7" topLeftCell="K437" activePane="bottomRight" state="frozen"/>
      <selection pane="topRight" activeCell="J1" sqref="J1"/>
      <selection pane="bottomLeft" activeCell="A7" sqref="A7"/>
      <selection pane="bottomRight" activeCell="H505" sqref="B1:AT521"/>
    </sheetView>
  </sheetViews>
  <sheetFormatPr baseColWidth="10" defaultColWidth="7.6640625" defaultRowHeight="13" outlineLevelCol="1" x14ac:dyDescent="0.15"/>
  <cols>
    <col min="1" max="1" width="1.5" style="308" customWidth="1"/>
    <col min="2" max="2" width="7.6640625" style="307" customWidth="1"/>
    <col min="3" max="3" width="30.6640625" style="308" bestFit="1" customWidth="1"/>
    <col min="4" max="4" width="18" style="309" bestFit="1" customWidth="1"/>
    <col min="5" max="5" width="23.5" style="308" bestFit="1" customWidth="1"/>
    <col min="6" max="6" width="64.83203125" style="308" bestFit="1" customWidth="1"/>
    <col min="7" max="7" width="9.5" style="308" bestFit="1" customWidth="1"/>
    <col min="8" max="8" width="9.33203125" style="307" customWidth="1"/>
    <col min="9" max="10" width="9.33203125" style="307" hidden="1" customWidth="1" outlineLevel="1"/>
    <col min="11" max="11" width="7.6640625" style="308" collapsed="1"/>
    <col min="12" max="16384" width="7.6640625" style="308"/>
  </cols>
  <sheetData>
    <row r="1" spans="2:46" x14ac:dyDescent="0.15">
      <c r="H1" s="308"/>
      <c r="I1" s="308"/>
      <c r="J1" s="308"/>
    </row>
    <row r="2" spans="2:46" x14ac:dyDescent="0.15">
      <c r="H2" s="310" t="s">
        <v>1766</v>
      </c>
      <c r="I2" s="308"/>
      <c r="J2" s="308"/>
      <c r="K2" s="310">
        <f t="shared" ref="K2:AT2" si="0">SUBTOTAL(9,K8:K1048576)</f>
        <v>160</v>
      </c>
      <c r="L2" s="310">
        <f t="shared" si="0"/>
        <v>160</v>
      </c>
      <c r="M2" s="310">
        <f t="shared" si="0"/>
        <v>204</v>
      </c>
      <c r="N2" s="310">
        <f t="shared" si="0"/>
        <v>204</v>
      </c>
      <c r="O2" s="310">
        <f t="shared" si="0"/>
        <v>204</v>
      </c>
      <c r="P2" s="310">
        <f t="shared" si="0"/>
        <v>224</v>
      </c>
      <c r="Q2" s="310">
        <f t="shared" si="0"/>
        <v>224</v>
      </c>
      <c r="R2" s="310">
        <f t="shared" si="0"/>
        <v>224</v>
      </c>
      <c r="S2" s="310">
        <f t="shared" si="0"/>
        <v>246</v>
      </c>
      <c r="T2" s="310">
        <f t="shared" si="0"/>
        <v>246</v>
      </c>
      <c r="U2" s="310">
        <f t="shared" si="0"/>
        <v>246</v>
      </c>
      <c r="V2" s="310">
        <f t="shared" si="0"/>
        <v>255</v>
      </c>
      <c r="W2" s="310">
        <f t="shared" si="0"/>
        <v>255</v>
      </c>
      <c r="X2" s="310">
        <f t="shared" si="0"/>
        <v>255</v>
      </c>
      <c r="Y2" s="310">
        <f t="shared" si="0"/>
        <v>255</v>
      </c>
      <c r="Z2" s="310">
        <f t="shared" si="0"/>
        <v>255</v>
      </c>
      <c r="AA2" s="310">
        <f t="shared" si="0"/>
        <v>255</v>
      </c>
      <c r="AB2" s="310">
        <f t="shared" si="0"/>
        <v>255</v>
      </c>
      <c r="AC2" s="310">
        <f t="shared" si="0"/>
        <v>255</v>
      </c>
      <c r="AD2" s="310">
        <f t="shared" si="0"/>
        <v>255</v>
      </c>
      <c r="AE2" s="310">
        <f t="shared" si="0"/>
        <v>255</v>
      </c>
      <c r="AF2" s="310">
        <f t="shared" si="0"/>
        <v>255</v>
      </c>
      <c r="AG2" s="310">
        <f t="shared" si="0"/>
        <v>255</v>
      </c>
      <c r="AH2" s="310">
        <f t="shared" si="0"/>
        <v>255</v>
      </c>
      <c r="AI2" s="310">
        <f t="shared" si="0"/>
        <v>255</v>
      </c>
      <c r="AJ2" s="310">
        <f t="shared" si="0"/>
        <v>255</v>
      </c>
      <c r="AK2" s="310">
        <f t="shared" si="0"/>
        <v>255</v>
      </c>
      <c r="AL2" s="310">
        <f t="shared" si="0"/>
        <v>255</v>
      </c>
      <c r="AM2" s="310">
        <f t="shared" si="0"/>
        <v>255</v>
      </c>
      <c r="AN2" s="310">
        <f t="shared" si="0"/>
        <v>255</v>
      </c>
      <c r="AO2" s="310">
        <f t="shared" si="0"/>
        <v>255</v>
      </c>
      <c r="AP2" s="310">
        <f t="shared" si="0"/>
        <v>255</v>
      </c>
      <c r="AQ2" s="310">
        <f t="shared" si="0"/>
        <v>255</v>
      </c>
      <c r="AR2" s="310">
        <f t="shared" si="0"/>
        <v>255</v>
      </c>
      <c r="AS2" s="310">
        <f t="shared" si="0"/>
        <v>255</v>
      </c>
      <c r="AT2" s="310">
        <f t="shared" si="0"/>
        <v>255</v>
      </c>
    </row>
    <row r="3" spans="2:46" x14ac:dyDescent="0.15">
      <c r="C3" s="331" t="s">
        <v>1767</v>
      </c>
      <c r="H3" s="310" t="s">
        <v>1768</v>
      </c>
      <c r="I3" s="308"/>
      <c r="J3" s="308"/>
      <c r="K3" s="310">
        <f t="shared" ref="K3:AT3" si="1">SUM(K8:K1048576)</f>
        <v>160</v>
      </c>
      <c r="L3" s="310">
        <f t="shared" si="1"/>
        <v>160</v>
      </c>
      <c r="M3" s="310">
        <f t="shared" si="1"/>
        <v>204</v>
      </c>
      <c r="N3" s="310">
        <f t="shared" si="1"/>
        <v>204</v>
      </c>
      <c r="O3" s="310">
        <f t="shared" si="1"/>
        <v>204</v>
      </c>
      <c r="P3" s="310">
        <f t="shared" si="1"/>
        <v>224</v>
      </c>
      <c r="Q3" s="310">
        <f t="shared" si="1"/>
        <v>224</v>
      </c>
      <c r="R3" s="310">
        <f t="shared" si="1"/>
        <v>224</v>
      </c>
      <c r="S3" s="310">
        <f t="shared" si="1"/>
        <v>246</v>
      </c>
      <c r="T3" s="310">
        <f t="shared" si="1"/>
        <v>246</v>
      </c>
      <c r="U3" s="310">
        <f t="shared" si="1"/>
        <v>246</v>
      </c>
      <c r="V3" s="310">
        <f t="shared" si="1"/>
        <v>255</v>
      </c>
      <c r="W3" s="310">
        <f t="shared" si="1"/>
        <v>255</v>
      </c>
      <c r="X3" s="310">
        <f t="shared" si="1"/>
        <v>255</v>
      </c>
      <c r="Y3" s="310">
        <f t="shared" si="1"/>
        <v>396</v>
      </c>
      <c r="Z3" s="310">
        <f t="shared" si="1"/>
        <v>396</v>
      </c>
      <c r="AA3" s="310">
        <f t="shared" si="1"/>
        <v>396</v>
      </c>
      <c r="AB3" s="310">
        <f t="shared" si="1"/>
        <v>443</v>
      </c>
      <c r="AC3" s="310">
        <f t="shared" si="1"/>
        <v>443</v>
      </c>
      <c r="AD3" s="310">
        <f t="shared" si="1"/>
        <v>443</v>
      </c>
      <c r="AE3" s="310">
        <f t="shared" si="1"/>
        <v>484</v>
      </c>
      <c r="AF3" s="310">
        <f t="shared" si="1"/>
        <v>484</v>
      </c>
      <c r="AG3" s="310">
        <f t="shared" si="1"/>
        <v>484</v>
      </c>
      <c r="AH3" s="310">
        <f t="shared" si="1"/>
        <v>509</v>
      </c>
      <c r="AI3" s="310">
        <f t="shared" si="1"/>
        <v>509</v>
      </c>
      <c r="AJ3" s="310">
        <f t="shared" si="1"/>
        <v>509</v>
      </c>
      <c r="AK3" s="310">
        <f t="shared" si="1"/>
        <v>519</v>
      </c>
      <c r="AL3" s="310">
        <f t="shared" si="1"/>
        <v>519</v>
      </c>
      <c r="AM3" s="310">
        <f t="shared" si="1"/>
        <v>519</v>
      </c>
      <c r="AN3" s="310">
        <f t="shared" si="1"/>
        <v>521</v>
      </c>
      <c r="AO3" s="310">
        <f t="shared" si="1"/>
        <v>521</v>
      </c>
      <c r="AP3" s="310">
        <f t="shared" si="1"/>
        <v>521</v>
      </c>
      <c r="AQ3" s="310">
        <f t="shared" si="1"/>
        <v>521</v>
      </c>
      <c r="AR3" s="310">
        <f t="shared" si="1"/>
        <v>521</v>
      </c>
      <c r="AS3" s="310">
        <f t="shared" si="1"/>
        <v>521</v>
      </c>
      <c r="AT3" s="310">
        <f t="shared" si="1"/>
        <v>521</v>
      </c>
    </row>
    <row r="4" spans="2:46" x14ac:dyDescent="0.15">
      <c r="C4" s="331" t="s">
        <v>1769</v>
      </c>
      <c r="H4" s="308"/>
      <c r="I4" s="308"/>
      <c r="J4" s="308"/>
    </row>
    <row r="5" spans="2:46" x14ac:dyDescent="0.15">
      <c r="H5" s="308"/>
      <c r="I5" s="308"/>
      <c r="J5" s="308"/>
      <c r="K5" s="311">
        <v>2026</v>
      </c>
      <c r="L5" s="311">
        <v>2026</v>
      </c>
      <c r="M5" s="311">
        <v>2026</v>
      </c>
      <c r="N5" s="311">
        <v>2026</v>
      </c>
      <c r="O5" s="311">
        <v>2026</v>
      </c>
      <c r="P5" s="311">
        <v>2026</v>
      </c>
      <c r="Q5" s="311">
        <v>2026</v>
      </c>
      <c r="R5" s="311">
        <v>2026</v>
      </c>
      <c r="S5" s="311">
        <v>2026</v>
      </c>
      <c r="T5" s="311">
        <v>2026</v>
      </c>
      <c r="U5" s="311">
        <v>2026</v>
      </c>
      <c r="V5" s="311">
        <v>2026</v>
      </c>
      <c r="W5" s="311">
        <v>2027</v>
      </c>
      <c r="X5" s="311">
        <v>2027</v>
      </c>
      <c r="Y5" s="311">
        <v>2027</v>
      </c>
      <c r="Z5" s="311">
        <v>2027</v>
      </c>
      <c r="AA5" s="311">
        <v>2027</v>
      </c>
      <c r="AB5" s="311">
        <v>2027</v>
      </c>
      <c r="AC5" s="311">
        <v>2027</v>
      </c>
      <c r="AD5" s="311">
        <v>2027</v>
      </c>
      <c r="AE5" s="311">
        <v>2027</v>
      </c>
      <c r="AF5" s="311">
        <v>2027</v>
      </c>
      <c r="AG5" s="311">
        <v>2027</v>
      </c>
      <c r="AH5" s="311">
        <v>2027</v>
      </c>
      <c r="AI5" s="311">
        <v>2028</v>
      </c>
      <c r="AJ5" s="311">
        <v>2028</v>
      </c>
      <c r="AK5" s="311">
        <v>2028</v>
      </c>
      <c r="AL5" s="311">
        <v>2028</v>
      </c>
      <c r="AM5" s="311">
        <v>2028</v>
      </c>
      <c r="AN5" s="311">
        <v>2028</v>
      </c>
      <c r="AO5" s="311">
        <v>2028</v>
      </c>
      <c r="AP5" s="311">
        <v>2028</v>
      </c>
      <c r="AQ5" s="311">
        <v>2028</v>
      </c>
      <c r="AR5" s="311">
        <v>2028</v>
      </c>
      <c r="AS5" s="311">
        <v>2028</v>
      </c>
      <c r="AT5" s="311">
        <v>2028</v>
      </c>
    </row>
    <row r="6" spans="2:46" ht="14" x14ac:dyDescent="0.15">
      <c r="K6" s="311" t="s">
        <v>1770</v>
      </c>
      <c r="L6" s="311" t="s">
        <v>1770</v>
      </c>
      <c r="M6" s="311" t="s">
        <v>1770</v>
      </c>
      <c r="N6" s="311" t="s">
        <v>1771</v>
      </c>
      <c r="O6" s="311" t="s">
        <v>1771</v>
      </c>
      <c r="P6" s="311" t="s">
        <v>1771</v>
      </c>
      <c r="Q6" s="311" t="s">
        <v>1772</v>
      </c>
      <c r="R6" s="311" t="s">
        <v>1772</v>
      </c>
      <c r="S6" s="311" t="s">
        <v>1772</v>
      </c>
      <c r="T6" s="311" t="s">
        <v>1773</v>
      </c>
      <c r="U6" s="311" t="s">
        <v>1773</v>
      </c>
      <c r="V6" s="311" t="s">
        <v>1773</v>
      </c>
      <c r="W6" s="311" t="s">
        <v>1770</v>
      </c>
      <c r="X6" s="311" t="s">
        <v>1770</v>
      </c>
      <c r="Y6" s="311" t="s">
        <v>1770</v>
      </c>
      <c r="Z6" s="311" t="s">
        <v>1771</v>
      </c>
      <c r="AA6" s="311" t="s">
        <v>1771</v>
      </c>
      <c r="AB6" s="311" t="s">
        <v>1771</v>
      </c>
      <c r="AC6" s="311" t="s">
        <v>1772</v>
      </c>
      <c r="AD6" s="311" t="s">
        <v>1772</v>
      </c>
      <c r="AE6" s="311" t="s">
        <v>1772</v>
      </c>
      <c r="AF6" s="311" t="s">
        <v>1773</v>
      </c>
      <c r="AG6" s="311" t="s">
        <v>1773</v>
      </c>
      <c r="AH6" s="311" t="s">
        <v>1773</v>
      </c>
      <c r="AI6" s="311" t="s">
        <v>1770</v>
      </c>
      <c r="AJ6" s="311" t="s">
        <v>1770</v>
      </c>
      <c r="AK6" s="311" t="s">
        <v>1770</v>
      </c>
      <c r="AL6" s="311" t="s">
        <v>1771</v>
      </c>
      <c r="AM6" s="311" t="s">
        <v>1771</v>
      </c>
      <c r="AN6" s="311" t="s">
        <v>1771</v>
      </c>
      <c r="AO6" s="311" t="s">
        <v>1772</v>
      </c>
      <c r="AP6" s="311" t="s">
        <v>1772</v>
      </c>
      <c r="AQ6" s="311" t="s">
        <v>1772</v>
      </c>
      <c r="AR6" s="311" t="s">
        <v>1773</v>
      </c>
      <c r="AS6" s="311" t="s">
        <v>1773</v>
      </c>
      <c r="AT6" s="311" t="s">
        <v>1773</v>
      </c>
    </row>
    <row r="7" spans="2:46" ht="28" x14ac:dyDescent="0.15">
      <c r="B7" s="311" t="s">
        <v>0</v>
      </c>
      <c r="C7" s="311" t="s">
        <v>2</v>
      </c>
      <c r="D7" s="311" t="s">
        <v>1774</v>
      </c>
      <c r="E7" s="311" t="s">
        <v>5</v>
      </c>
      <c r="F7" s="311" t="s">
        <v>1775</v>
      </c>
      <c r="G7" s="311" t="s">
        <v>427</v>
      </c>
      <c r="H7" s="311" t="s">
        <v>1776</v>
      </c>
      <c r="I7" s="311" t="s">
        <v>1777</v>
      </c>
      <c r="J7" s="311" t="s">
        <v>1778</v>
      </c>
      <c r="K7" s="311" t="s">
        <v>1779</v>
      </c>
      <c r="L7" s="311" t="s">
        <v>1780</v>
      </c>
      <c r="M7" s="311" t="s">
        <v>1781</v>
      </c>
      <c r="N7" s="311" t="s">
        <v>1782</v>
      </c>
      <c r="O7" s="311" t="s">
        <v>1783</v>
      </c>
      <c r="P7" s="311" t="s">
        <v>1784</v>
      </c>
      <c r="Q7" s="311" t="s">
        <v>1785</v>
      </c>
      <c r="R7" s="311" t="s">
        <v>1786</v>
      </c>
      <c r="S7" s="311" t="s">
        <v>1787</v>
      </c>
      <c r="T7" s="311" t="s">
        <v>1788</v>
      </c>
      <c r="U7" s="311" t="s">
        <v>1789</v>
      </c>
      <c r="V7" s="311" t="s">
        <v>1790</v>
      </c>
      <c r="W7" s="311" t="s">
        <v>1779</v>
      </c>
      <c r="X7" s="311" t="s">
        <v>1780</v>
      </c>
      <c r="Y7" s="311" t="s">
        <v>1781</v>
      </c>
      <c r="Z7" s="311" t="s">
        <v>1782</v>
      </c>
      <c r="AA7" s="311" t="s">
        <v>1783</v>
      </c>
      <c r="AB7" s="311" t="s">
        <v>1784</v>
      </c>
      <c r="AC7" s="311" t="s">
        <v>1785</v>
      </c>
      <c r="AD7" s="311" t="s">
        <v>1786</v>
      </c>
      <c r="AE7" s="311" t="s">
        <v>1787</v>
      </c>
      <c r="AF7" s="311" t="s">
        <v>1788</v>
      </c>
      <c r="AG7" s="311" t="s">
        <v>1789</v>
      </c>
      <c r="AH7" s="311" t="s">
        <v>1790</v>
      </c>
      <c r="AI7" s="311" t="s">
        <v>1779</v>
      </c>
      <c r="AJ7" s="311" t="s">
        <v>1780</v>
      </c>
      <c r="AK7" s="311" t="s">
        <v>1781</v>
      </c>
      <c r="AL7" s="311" t="s">
        <v>1782</v>
      </c>
      <c r="AM7" s="311" t="s">
        <v>1783</v>
      </c>
      <c r="AN7" s="311" t="s">
        <v>1784</v>
      </c>
      <c r="AO7" s="311" t="s">
        <v>1785</v>
      </c>
      <c r="AP7" s="311" t="s">
        <v>1786</v>
      </c>
      <c r="AQ7" s="311" t="s">
        <v>1787</v>
      </c>
      <c r="AR7" s="311" t="s">
        <v>1788</v>
      </c>
      <c r="AS7" s="311" t="s">
        <v>1789</v>
      </c>
      <c r="AT7" s="311" t="s">
        <v>1790</v>
      </c>
    </row>
    <row r="8" spans="2:46" ht="12.75" customHeight="1" x14ac:dyDescent="0.15">
      <c r="B8" s="329">
        <v>1195</v>
      </c>
      <c r="C8" s="313" t="s">
        <v>1791</v>
      </c>
      <c r="D8" s="313" t="s">
        <v>952</v>
      </c>
      <c r="E8" s="313" t="s">
        <v>1792</v>
      </c>
      <c r="F8" s="313" t="s">
        <v>961</v>
      </c>
      <c r="G8" s="315" t="str">
        <f>_xlfn.XLOOKUP(B8,'WFP Details - 2026'!A:A,'WFP Details - 2026'!Z:Z)</f>
        <v>x</v>
      </c>
      <c r="H8" s="314">
        <v>45292</v>
      </c>
      <c r="I8" s="315">
        <v>1</v>
      </c>
      <c r="J8" s="315">
        <v>2024</v>
      </c>
      <c r="K8" s="316">
        <v>1</v>
      </c>
      <c r="L8" s="316">
        <v>1</v>
      </c>
      <c r="M8" s="316">
        <v>1</v>
      </c>
      <c r="N8" s="316">
        <v>1</v>
      </c>
      <c r="O8" s="316">
        <v>1</v>
      </c>
      <c r="P8" s="316">
        <v>1</v>
      </c>
      <c r="Q8" s="316">
        <v>1</v>
      </c>
      <c r="R8" s="316">
        <v>1</v>
      </c>
      <c r="S8" s="316">
        <v>1</v>
      </c>
      <c r="T8" s="316">
        <v>1</v>
      </c>
      <c r="U8" s="316">
        <v>1</v>
      </c>
      <c r="V8" s="316">
        <v>1</v>
      </c>
      <c r="W8" s="316">
        <v>1</v>
      </c>
      <c r="X8" s="316">
        <v>1</v>
      </c>
      <c r="Y8" s="316">
        <v>1</v>
      </c>
      <c r="Z8" s="316">
        <v>1</v>
      </c>
      <c r="AA8" s="316">
        <v>1</v>
      </c>
      <c r="AB8" s="316">
        <v>1</v>
      </c>
      <c r="AC8" s="316">
        <v>1</v>
      </c>
      <c r="AD8" s="316">
        <v>1</v>
      </c>
      <c r="AE8" s="316">
        <v>1</v>
      </c>
      <c r="AF8" s="316">
        <v>1</v>
      </c>
      <c r="AG8" s="316">
        <v>1</v>
      </c>
      <c r="AH8" s="316">
        <v>1</v>
      </c>
      <c r="AI8" s="316">
        <v>1</v>
      </c>
      <c r="AJ8" s="316">
        <v>1</v>
      </c>
      <c r="AK8" s="316">
        <v>1</v>
      </c>
      <c r="AL8" s="316">
        <v>1</v>
      </c>
      <c r="AM8" s="316">
        <v>1</v>
      </c>
      <c r="AN8" s="316">
        <v>1</v>
      </c>
      <c r="AO8" s="316">
        <v>1</v>
      </c>
      <c r="AP8" s="316">
        <v>1</v>
      </c>
      <c r="AQ8" s="316">
        <v>1</v>
      </c>
      <c r="AR8" s="316">
        <v>1</v>
      </c>
      <c r="AS8" s="316">
        <v>1</v>
      </c>
      <c r="AT8" s="316">
        <v>1</v>
      </c>
    </row>
    <row r="9" spans="2:46" ht="12.75" customHeight="1" x14ac:dyDescent="0.15">
      <c r="B9" s="330">
        <v>1192</v>
      </c>
      <c r="C9" s="313" t="s">
        <v>1791</v>
      </c>
      <c r="D9" s="313" t="s">
        <v>1715</v>
      </c>
      <c r="E9" s="313" t="s">
        <v>1793</v>
      </c>
      <c r="F9" s="313" t="s">
        <v>967</v>
      </c>
      <c r="G9" s="315" t="str">
        <f>_xlfn.XLOOKUP(B9,'WFP Details - 2026'!A:A,'WFP Details - 2026'!Z:Z)</f>
        <v>x</v>
      </c>
      <c r="H9" s="314">
        <v>45488</v>
      </c>
      <c r="I9" s="315">
        <v>7</v>
      </c>
      <c r="J9" s="315">
        <v>2024</v>
      </c>
      <c r="K9" s="316">
        <v>1</v>
      </c>
      <c r="L9" s="316">
        <v>1</v>
      </c>
      <c r="M9" s="316">
        <v>1</v>
      </c>
      <c r="N9" s="316">
        <v>1</v>
      </c>
      <c r="O9" s="316">
        <v>1</v>
      </c>
      <c r="P9" s="316">
        <v>1</v>
      </c>
      <c r="Q9" s="316">
        <v>1</v>
      </c>
      <c r="R9" s="316">
        <v>1</v>
      </c>
      <c r="S9" s="316">
        <v>1</v>
      </c>
      <c r="T9" s="316">
        <v>1</v>
      </c>
      <c r="U9" s="316">
        <v>1</v>
      </c>
      <c r="V9" s="316">
        <v>1</v>
      </c>
      <c r="W9" s="316">
        <v>1</v>
      </c>
      <c r="X9" s="316">
        <v>1</v>
      </c>
      <c r="Y9" s="316">
        <v>1</v>
      </c>
      <c r="Z9" s="316">
        <v>1</v>
      </c>
      <c r="AA9" s="316">
        <v>1</v>
      </c>
      <c r="AB9" s="316">
        <v>1</v>
      </c>
      <c r="AC9" s="316">
        <v>1</v>
      </c>
      <c r="AD9" s="316">
        <v>1</v>
      </c>
      <c r="AE9" s="316">
        <v>1</v>
      </c>
      <c r="AF9" s="316">
        <v>1</v>
      </c>
      <c r="AG9" s="316">
        <v>1</v>
      </c>
      <c r="AH9" s="316">
        <v>1</v>
      </c>
      <c r="AI9" s="316">
        <v>1</v>
      </c>
      <c r="AJ9" s="316">
        <v>1</v>
      </c>
      <c r="AK9" s="316">
        <v>1</v>
      </c>
      <c r="AL9" s="316">
        <v>1</v>
      </c>
      <c r="AM9" s="316">
        <v>1</v>
      </c>
      <c r="AN9" s="316">
        <v>1</v>
      </c>
      <c r="AO9" s="316">
        <v>1</v>
      </c>
      <c r="AP9" s="316">
        <v>1</v>
      </c>
      <c r="AQ9" s="316">
        <v>1</v>
      </c>
      <c r="AR9" s="316">
        <v>1</v>
      </c>
      <c r="AS9" s="316">
        <v>1</v>
      </c>
      <c r="AT9" s="316">
        <v>1</v>
      </c>
    </row>
    <row r="10" spans="2:46" ht="12.75" customHeight="1" x14ac:dyDescent="0.15">
      <c r="B10" s="330">
        <v>1176</v>
      </c>
      <c r="C10" s="313" t="s">
        <v>1791</v>
      </c>
      <c r="D10" s="313" t="s">
        <v>923</v>
      </c>
      <c r="E10" s="313" t="s">
        <v>1794</v>
      </c>
      <c r="F10" s="313" t="s">
        <v>976</v>
      </c>
      <c r="G10" s="315" t="str">
        <f>_xlfn.XLOOKUP(B10,'WFP Details - 2026'!A:A,'WFP Details - 2026'!Z:Z)</f>
        <v>x</v>
      </c>
      <c r="H10" s="314">
        <v>45509</v>
      </c>
      <c r="I10" s="315">
        <v>8</v>
      </c>
      <c r="J10" s="315">
        <v>2024</v>
      </c>
      <c r="K10" s="316">
        <v>1</v>
      </c>
      <c r="L10" s="316">
        <v>1</v>
      </c>
      <c r="M10" s="316">
        <v>1</v>
      </c>
      <c r="N10" s="316">
        <v>1</v>
      </c>
      <c r="O10" s="316">
        <v>1</v>
      </c>
      <c r="P10" s="316">
        <v>1</v>
      </c>
      <c r="Q10" s="316">
        <v>1</v>
      </c>
      <c r="R10" s="316">
        <v>1</v>
      </c>
      <c r="S10" s="316">
        <v>1</v>
      </c>
      <c r="T10" s="316">
        <v>1</v>
      </c>
      <c r="U10" s="316">
        <v>1</v>
      </c>
      <c r="V10" s="316">
        <v>1</v>
      </c>
      <c r="W10" s="316">
        <v>1</v>
      </c>
      <c r="X10" s="316">
        <v>1</v>
      </c>
      <c r="Y10" s="316">
        <v>1</v>
      </c>
      <c r="Z10" s="316">
        <v>1</v>
      </c>
      <c r="AA10" s="316">
        <v>1</v>
      </c>
      <c r="AB10" s="316">
        <v>1</v>
      </c>
      <c r="AC10" s="316">
        <v>1</v>
      </c>
      <c r="AD10" s="316">
        <v>1</v>
      </c>
      <c r="AE10" s="316">
        <v>1</v>
      </c>
      <c r="AF10" s="316">
        <v>1</v>
      </c>
      <c r="AG10" s="316">
        <v>1</v>
      </c>
      <c r="AH10" s="316">
        <v>1</v>
      </c>
      <c r="AI10" s="316">
        <v>1</v>
      </c>
      <c r="AJ10" s="316">
        <v>1</v>
      </c>
      <c r="AK10" s="316">
        <v>1</v>
      </c>
      <c r="AL10" s="316">
        <v>1</v>
      </c>
      <c r="AM10" s="316">
        <v>1</v>
      </c>
      <c r="AN10" s="316">
        <v>1</v>
      </c>
      <c r="AO10" s="316">
        <v>1</v>
      </c>
      <c r="AP10" s="316">
        <v>1</v>
      </c>
      <c r="AQ10" s="316">
        <v>1</v>
      </c>
      <c r="AR10" s="316">
        <v>1</v>
      </c>
      <c r="AS10" s="316">
        <v>1</v>
      </c>
      <c r="AT10" s="316">
        <v>1</v>
      </c>
    </row>
    <row r="11" spans="2:46" ht="12.75" customHeight="1" x14ac:dyDescent="0.15">
      <c r="B11" s="329">
        <v>1174</v>
      </c>
      <c r="C11" s="313" t="s">
        <v>1791</v>
      </c>
      <c r="D11" s="313" t="s">
        <v>985</v>
      </c>
      <c r="E11" s="313" t="s">
        <v>1794</v>
      </c>
      <c r="F11" s="313" t="s">
        <v>976</v>
      </c>
      <c r="G11" s="315" t="str">
        <f>_xlfn.XLOOKUP(B11,'WFP Details - 2026'!A:A,'WFP Details - 2026'!Z:Z)</f>
        <v>x</v>
      </c>
      <c r="H11" s="314">
        <v>45523</v>
      </c>
      <c r="I11" s="315">
        <v>8</v>
      </c>
      <c r="J11" s="315">
        <v>2024</v>
      </c>
      <c r="K11" s="316">
        <v>1</v>
      </c>
      <c r="L11" s="316">
        <v>1</v>
      </c>
      <c r="M11" s="316">
        <v>1</v>
      </c>
      <c r="N11" s="316">
        <v>1</v>
      </c>
      <c r="O11" s="316">
        <v>1</v>
      </c>
      <c r="P11" s="316">
        <v>1</v>
      </c>
      <c r="Q11" s="316">
        <v>1</v>
      </c>
      <c r="R11" s="316">
        <v>1</v>
      </c>
      <c r="S11" s="316">
        <v>1</v>
      </c>
      <c r="T11" s="316">
        <v>1</v>
      </c>
      <c r="U11" s="316">
        <v>1</v>
      </c>
      <c r="V11" s="316">
        <v>1</v>
      </c>
      <c r="W11" s="316">
        <v>1</v>
      </c>
      <c r="X11" s="316">
        <v>1</v>
      </c>
      <c r="Y11" s="316">
        <v>1</v>
      </c>
      <c r="Z11" s="316">
        <v>1</v>
      </c>
      <c r="AA11" s="316">
        <v>1</v>
      </c>
      <c r="AB11" s="316">
        <v>1</v>
      </c>
      <c r="AC11" s="316">
        <v>1</v>
      </c>
      <c r="AD11" s="316">
        <v>1</v>
      </c>
      <c r="AE11" s="316">
        <v>1</v>
      </c>
      <c r="AF11" s="316">
        <v>1</v>
      </c>
      <c r="AG11" s="316">
        <v>1</v>
      </c>
      <c r="AH11" s="316">
        <v>1</v>
      </c>
      <c r="AI11" s="316">
        <v>1</v>
      </c>
      <c r="AJ11" s="316">
        <v>1</v>
      </c>
      <c r="AK11" s="316">
        <v>1</v>
      </c>
      <c r="AL11" s="316">
        <v>1</v>
      </c>
      <c r="AM11" s="316">
        <v>1</v>
      </c>
      <c r="AN11" s="316">
        <v>1</v>
      </c>
      <c r="AO11" s="316">
        <v>1</v>
      </c>
      <c r="AP11" s="316">
        <v>1</v>
      </c>
      <c r="AQ11" s="316">
        <v>1</v>
      </c>
      <c r="AR11" s="316">
        <v>1</v>
      </c>
      <c r="AS11" s="316">
        <v>1</v>
      </c>
      <c r="AT11" s="316">
        <v>1</v>
      </c>
    </row>
    <row r="12" spans="2:46" ht="12.75" customHeight="1" x14ac:dyDescent="0.15">
      <c r="B12" s="329">
        <v>1169</v>
      </c>
      <c r="C12" s="313" t="s">
        <v>1791</v>
      </c>
      <c r="D12" s="313" t="s">
        <v>975</v>
      </c>
      <c r="E12" s="313" t="s">
        <v>1795</v>
      </c>
      <c r="F12" s="313" t="s">
        <v>964</v>
      </c>
      <c r="G12" s="315" t="str">
        <f>_xlfn.XLOOKUP(B12,'WFP Details - 2026'!A:A,'WFP Details - 2026'!Z:Z)</f>
        <v>x</v>
      </c>
      <c r="H12" s="314">
        <v>45523</v>
      </c>
      <c r="I12" s="315">
        <v>8</v>
      </c>
      <c r="J12" s="315">
        <v>2024</v>
      </c>
      <c r="K12" s="316">
        <v>1</v>
      </c>
      <c r="L12" s="316">
        <v>1</v>
      </c>
      <c r="M12" s="316">
        <v>1</v>
      </c>
      <c r="N12" s="316">
        <v>1</v>
      </c>
      <c r="O12" s="316">
        <v>1</v>
      </c>
      <c r="P12" s="316">
        <v>1</v>
      </c>
      <c r="Q12" s="316">
        <v>1</v>
      </c>
      <c r="R12" s="316">
        <v>1</v>
      </c>
      <c r="S12" s="316">
        <v>1</v>
      </c>
      <c r="T12" s="316">
        <v>1</v>
      </c>
      <c r="U12" s="316">
        <v>1</v>
      </c>
      <c r="V12" s="316">
        <v>1</v>
      </c>
      <c r="W12" s="316">
        <v>1</v>
      </c>
      <c r="X12" s="316">
        <v>1</v>
      </c>
      <c r="Y12" s="316">
        <v>1</v>
      </c>
      <c r="Z12" s="316">
        <v>1</v>
      </c>
      <c r="AA12" s="316">
        <v>1</v>
      </c>
      <c r="AB12" s="316">
        <v>1</v>
      </c>
      <c r="AC12" s="316">
        <v>1</v>
      </c>
      <c r="AD12" s="316">
        <v>1</v>
      </c>
      <c r="AE12" s="316">
        <v>1</v>
      </c>
      <c r="AF12" s="316">
        <v>1</v>
      </c>
      <c r="AG12" s="316">
        <v>1</v>
      </c>
      <c r="AH12" s="316">
        <v>1</v>
      </c>
      <c r="AI12" s="316">
        <v>1</v>
      </c>
      <c r="AJ12" s="316">
        <v>1</v>
      </c>
      <c r="AK12" s="316">
        <v>1</v>
      </c>
      <c r="AL12" s="316">
        <v>1</v>
      </c>
      <c r="AM12" s="316">
        <v>1</v>
      </c>
      <c r="AN12" s="316">
        <v>1</v>
      </c>
      <c r="AO12" s="316">
        <v>1</v>
      </c>
      <c r="AP12" s="316">
        <v>1</v>
      </c>
      <c r="AQ12" s="316">
        <v>1</v>
      </c>
      <c r="AR12" s="316">
        <v>1</v>
      </c>
      <c r="AS12" s="316">
        <v>1</v>
      </c>
      <c r="AT12" s="316">
        <v>1</v>
      </c>
    </row>
    <row r="13" spans="2:46" ht="12.75" customHeight="1" x14ac:dyDescent="0.15">
      <c r="B13" s="327">
        <v>1172</v>
      </c>
      <c r="C13" s="313" t="s">
        <v>1791</v>
      </c>
      <c r="D13" s="313" t="s">
        <v>1796</v>
      </c>
      <c r="E13" s="313" t="s">
        <v>1793</v>
      </c>
      <c r="F13" s="313" t="s">
        <v>973</v>
      </c>
      <c r="G13" s="315" t="str">
        <f>_xlfn.XLOOKUP(B13,'WFP Details - 2026'!A:A,'WFP Details - 2026'!Z:Z)</f>
        <v>x</v>
      </c>
      <c r="H13" s="314">
        <v>45551</v>
      </c>
      <c r="I13" s="315">
        <v>9</v>
      </c>
      <c r="J13" s="315">
        <v>2024</v>
      </c>
      <c r="K13" s="316">
        <v>1</v>
      </c>
      <c r="L13" s="316">
        <v>1</v>
      </c>
      <c r="M13" s="316">
        <v>1</v>
      </c>
      <c r="N13" s="316">
        <v>1</v>
      </c>
      <c r="O13" s="316">
        <v>1</v>
      </c>
      <c r="P13" s="316">
        <v>1</v>
      </c>
      <c r="Q13" s="316">
        <v>1</v>
      </c>
      <c r="R13" s="316">
        <v>1</v>
      </c>
      <c r="S13" s="316">
        <v>1</v>
      </c>
      <c r="T13" s="316">
        <v>1</v>
      </c>
      <c r="U13" s="316">
        <v>1</v>
      </c>
      <c r="V13" s="316">
        <v>1</v>
      </c>
      <c r="W13" s="316">
        <v>1</v>
      </c>
      <c r="X13" s="316">
        <v>1</v>
      </c>
      <c r="Y13" s="316">
        <v>1</v>
      </c>
      <c r="Z13" s="316">
        <v>1</v>
      </c>
      <c r="AA13" s="316">
        <v>1</v>
      </c>
      <c r="AB13" s="316">
        <v>1</v>
      </c>
      <c r="AC13" s="316">
        <v>1</v>
      </c>
      <c r="AD13" s="316">
        <v>1</v>
      </c>
      <c r="AE13" s="316">
        <v>1</v>
      </c>
      <c r="AF13" s="316">
        <v>1</v>
      </c>
      <c r="AG13" s="316">
        <v>1</v>
      </c>
      <c r="AH13" s="316">
        <v>1</v>
      </c>
      <c r="AI13" s="316">
        <v>1</v>
      </c>
      <c r="AJ13" s="316">
        <v>1</v>
      </c>
      <c r="AK13" s="316">
        <v>1</v>
      </c>
      <c r="AL13" s="316">
        <v>1</v>
      </c>
      <c r="AM13" s="316">
        <v>1</v>
      </c>
      <c r="AN13" s="316">
        <v>1</v>
      </c>
      <c r="AO13" s="316">
        <v>1</v>
      </c>
      <c r="AP13" s="316">
        <v>1</v>
      </c>
      <c r="AQ13" s="316">
        <v>1</v>
      </c>
      <c r="AR13" s="316">
        <v>1</v>
      </c>
      <c r="AS13" s="316">
        <v>1</v>
      </c>
      <c r="AT13" s="316">
        <v>1</v>
      </c>
    </row>
    <row r="14" spans="2:46" ht="12.75" customHeight="1" x14ac:dyDescent="0.15">
      <c r="B14" s="327">
        <v>1182</v>
      </c>
      <c r="C14" s="313" t="s">
        <v>1791</v>
      </c>
      <c r="D14" s="313" t="s">
        <v>935</v>
      </c>
      <c r="E14" s="313" t="s">
        <v>1793</v>
      </c>
      <c r="F14" s="313" t="s">
        <v>970</v>
      </c>
      <c r="G14" s="315" t="str">
        <f>_xlfn.XLOOKUP(B14,'WFP Details - 2026'!A:A,'WFP Details - 2026'!Z:Z)</f>
        <v>x</v>
      </c>
      <c r="H14" s="314">
        <v>45551</v>
      </c>
      <c r="I14" s="315">
        <v>9</v>
      </c>
      <c r="J14" s="315">
        <v>2024</v>
      </c>
      <c r="K14" s="316">
        <v>1</v>
      </c>
      <c r="L14" s="316">
        <v>1</v>
      </c>
      <c r="M14" s="316">
        <v>1</v>
      </c>
      <c r="N14" s="316">
        <v>1</v>
      </c>
      <c r="O14" s="316">
        <v>1</v>
      </c>
      <c r="P14" s="316">
        <v>1</v>
      </c>
      <c r="Q14" s="316">
        <v>1</v>
      </c>
      <c r="R14" s="316">
        <v>1</v>
      </c>
      <c r="S14" s="316">
        <v>1</v>
      </c>
      <c r="T14" s="316">
        <v>1</v>
      </c>
      <c r="U14" s="316">
        <v>1</v>
      </c>
      <c r="V14" s="316">
        <v>1</v>
      </c>
      <c r="W14" s="316">
        <v>1</v>
      </c>
      <c r="X14" s="316">
        <v>1</v>
      </c>
      <c r="Y14" s="316">
        <v>1</v>
      </c>
      <c r="Z14" s="316">
        <v>1</v>
      </c>
      <c r="AA14" s="316">
        <v>1</v>
      </c>
      <c r="AB14" s="316">
        <v>1</v>
      </c>
      <c r="AC14" s="316">
        <v>1</v>
      </c>
      <c r="AD14" s="316">
        <v>1</v>
      </c>
      <c r="AE14" s="316">
        <v>1</v>
      </c>
      <c r="AF14" s="316">
        <v>1</v>
      </c>
      <c r="AG14" s="316">
        <v>1</v>
      </c>
      <c r="AH14" s="316">
        <v>1</v>
      </c>
      <c r="AI14" s="316">
        <v>1</v>
      </c>
      <c r="AJ14" s="316">
        <v>1</v>
      </c>
      <c r="AK14" s="316">
        <v>1</v>
      </c>
      <c r="AL14" s="316">
        <v>1</v>
      </c>
      <c r="AM14" s="316">
        <v>1</v>
      </c>
      <c r="AN14" s="316">
        <v>1</v>
      </c>
      <c r="AO14" s="316">
        <v>1</v>
      </c>
      <c r="AP14" s="316">
        <v>1</v>
      </c>
      <c r="AQ14" s="316">
        <v>1</v>
      </c>
      <c r="AR14" s="316">
        <v>1</v>
      </c>
      <c r="AS14" s="316">
        <v>1</v>
      </c>
      <c r="AT14" s="316">
        <v>1</v>
      </c>
    </row>
    <row r="15" spans="2:46" ht="12.75" customHeight="1" x14ac:dyDescent="0.15">
      <c r="B15" s="328">
        <v>1187</v>
      </c>
      <c r="C15" s="313" t="s">
        <v>1791</v>
      </c>
      <c r="D15" s="313" t="s">
        <v>1797</v>
      </c>
      <c r="E15" s="313" t="s">
        <v>1794</v>
      </c>
      <c r="F15" s="319" t="s">
        <v>980</v>
      </c>
      <c r="G15" s="315" t="str">
        <f>_xlfn.XLOOKUP(B15,'WFP Details - 2026'!A:A,'WFP Details - 2026'!Z:Z)</f>
        <v>x</v>
      </c>
      <c r="H15" s="314">
        <v>45551</v>
      </c>
      <c r="I15" s="315">
        <v>9</v>
      </c>
      <c r="J15" s="315">
        <v>2024</v>
      </c>
      <c r="K15" s="316">
        <v>1</v>
      </c>
      <c r="L15" s="316">
        <v>1</v>
      </c>
      <c r="M15" s="316">
        <v>1</v>
      </c>
      <c r="N15" s="316">
        <v>1</v>
      </c>
      <c r="O15" s="316">
        <v>1</v>
      </c>
      <c r="P15" s="316">
        <v>1</v>
      </c>
      <c r="Q15" s="316">
        <v>1</v>
      </c>
      <c r="R15" s="316">
        <v>1</v>
      </c>
      <c r="S15" s="316">
        <v>1</v>
      </c>
      <c r="T15" s="316">
        <v>1</v>
      </c>
      <c r="U15" s="316">
        <v>1</v>
      </c>
      <c r="V15" s="316">
        <v>1</v>
      </c>
      <c r="W15" s="316">
        <v>1</v>
      </c>
      <c r="X15" s="316">
        <v>1</v>
      </c>
      <c r="Y15" s="316">
        <v>1</v>
      </c>
      <c r="Z15" s="316">
        <v>1</v>
      </c>
      <c r="AA15" s="316">
        <v>1</v>
      </c>
      <c r="AB15" s="316">
        <v>1</v>
      </c>
      <c r="AC15" s="316">
        <v>1</v>
      </c>
      <c r="AD15" s="316">
        <v>1</v>
      </c>
      <c r="AE15" s="316">
        <v>1</v>
      </c>
      <c r="AF15" s="316">
        <v>1</v>
      </c>
      <c r="AG15" s="316">
        <v>1</v>
      </c>
      <c r="AH15" s="316">
        <v>1</v>
      </c>
      <c r="AI15" s="316">
        <v>1</v>
      </c>
      <c r="AJ15" s="316">
        <v>1</v>
      </c>
      <c r="AK15" s="316">
        <v>1</v>
      </c>
      <c r="AL15" s="316">
        <v>1</v>
      </c>
      <c r="AM15" s="316">
        <v>1</v>
      </c>
      <c r="AN15" s="316">
        <v>1</v>
      </c>
      <c r="AO15" s="316">
        <v>1</v>
      </c>
      <c r="AP15" s="316">
        <v>1</v>
      </c>
      <c r="AQ15" s="316">
        <v>1</v>
      </c>
      <c r="AR15" s="316">
        <v>1</v>
      </c>
      <c r="AS15" s="316">
        <v>1</v>
      </c>
      <c r="AT15" s="316">
        <v>1</v>
      </c>
    </row>
    <row r="16" spans="2:46" ht="12.75" customHeight="1" x14ac:dyDescent="0.15">
      <c r="B16" s="328">
        <v>1154</v>
      </c>
      <c r="C16" s="313" t="s">
        <v>1791</v>
      </c>
      <c r="D16" s="313" t="s">
        <v>1798</v>
      </c>
      <c r="E16" s="313" t="s">
        <v>1792</v>
      </c>
      <c r="F16" s="319" t="s">
        <v>982</v>
      </c>
      <c r="G16" s="315" t="str">
        <f>_xlfn.XLOOKUP(B16,'WFP Details - 2026'!A:A,'WFP Details - 2026'!Z:Z)</f>
        <v>x</v>
      </c>
      <c r="H16" s="314">
        <v>45706</v>
      </c>
      <c r="I16" s="315">
        <v>2</v>
      </c>
      <c r="J16" s="315">
        <v>2025</v>
      </c>
      <c r="K16" s="316">
        <v>1</v>
      </c>
      <c r="L16" s="316">
        <v>1</v>
      </c>
      <c r="M16" s="316">
        <v>1</v>
      </c>
      <c r="N16" s="316">
        <v>1</v>
      </c>
      <c r="O16" s="316">
        <v>1</v>
      </c>
      <c r="P16" s="316">
        <v>1</v>
      </c>
      <c r="Q16" s="316">
        <v>1</v>
      </c>
      <c r="R16" s="316">
        <v>1</v>
      </c>
      <c r="S16" s="316">
        <v>1</v>
      </c>
      <c r="T16" s="316">
        <v>1</v>
      </c>
      <c r="U16" s="316">
        <v>1</v>
      </c>
      <c r="V16" s="316">
        <v>1</v>
      </c>
      <c r="W16" s="316">
        <v>1</v>
      </c>
      <c r="X16" s="316">
        <v>1</v>
      </c>
      <c r="Y16" s="316">
        <v>1</v>
      </c>
      <c r="Z16" s="316">
        <v>1</v>
      </c>
      <c r="AA16" s="316">
        <v>1</v>
      </c>
      <c r="AB16" s="316">
        <v>1</v>
      </c>
      <c r="AC16" s="316">
        <v>1</v>
      </c>
      <c r="AD16" s="316">
        <v>1</v>
      </c>
      <c r="AE16" s="316">
        <v>1</v>
      </c>
      <c r="AF16" s="316">
        <v>1</v>
      </c>
      <c r="AG16" s="316">
        <v>1</v>
      </c>
      <c r="AH16" s="316">
        <v>1</v>
      </c>
      <c r="AI16" s="316">
        <v>1</v>
      </c>
      <c r="AJ16" s="316">
        <v>1</v>
      </c>
      <c r="AK16" s="316">
        <v>1</v>
      </c>
      <c r="AL16" s="316">
        <v>1</v>
      </c>
      <c r="AM16" s="316">
        <v>1</v>
      </c>
      <c r="AN16" s="316">
        <v>1</v>
      </c>
      <c r="AO16" s="316">
        <v>1</v>
      </c>
      <c r="AP16" s="316">
        <v>1</v>
      </c>
      <c r="AQ16" s="316">
        <v>1</v>
      </c>
      <c r="AR16" s="316">
        <v>1</v>
      </c>
      <c r="AS16" s="316">
        <v>1</v>
      </c>
      <c r="AT16" s="316">
        <v>1</v>
      </c>
    </row>
    <row r="17" spans="2:46" ht="12.75" customHeight="1" x14ac:dyDescent="0.15">
      <c r="B17" s="328">
        <v>1173</v>
      </c>
      <c r="C17" s="313" t="s">
        <v>1791</v>
      </c>
      <c r="D17" s="313" t="s">
        <v>1799</v>
      </c>
      <c r="E17" s="313" t="s">
        <v>1794</v>
      </c>
      <c r="F17" s="319" t="s">
        <v>986</v>
      </c>
      <c r="G17" s="315" t="str">
        <f>_xlfn.XLOOKUP(B17,'WFP Details - 2026'!A:A,'WFP Details - 2026'!Z:Z)</f>
        <v>x</v>
      </c>
      <c r="H17" s="314">
        <v>45880</v>
      </c>
      <c r="I17" s="315">
        <v>8</v>
      </c>
      <c r="J17" s="315">
        <v>2025</v>
      </c>
      <c r="K17" s="316">
        <v>1</v>
      </c>
      <c r="L17" s="316">
        <v>1</v>
      </c>
      <c r="M17" s="316">
        <v>1</v>
      </c>
      <c r="N17" s="316">
        <v>1</v>
      </c>
      <c r="O17" s="316">
        <v>1</v>
      </c>
      <c r="P17" s="316">
        <v>1</v>
      </c>
      <c r="Q17" s="316">
        <v>1</v>
      </c>
      <c r="R17" s="316">
        <v>1</v>
      </c>
      <c r="S17" s="316">
        <v>1</v>
      </c>
      <c r="T17" s="316">
        <v>1</v>
      </c>
      <c r="U17" s="316">
        <v>1</v>
      </c>
      <c r="V17" s="316">
        <v>1</v>
      </c>
      <c r="W17" s="316">
        <v>1</v>
      </c>
      <c r="X17" s="316">
        <v>1</v>
      </c>
      <c r="Y17" s="316">
        <v>1</v>
      </c>
      <c r="Z17" s="316">
        <v>1</v>
      </c>
      <c r="AA17" s="316">
        <v>1</v>
      </c>
      <c r="AB17" s="316">
        <v>1</v>
      </c>
      <c r="AC17" s="316">
        <v>1</v>
      </c>
      <c r="AD17" s="316">
        <v>1</v>
      </c>
      <c r="AE17" s="316">
        <v>1</v>
      </c>
      <c r="AF17" s="316">
        <v>1</v>
      </c>
      <c r="AG17" s="316">
        <v>1</v>
      </c>
      <c r="AH17" s="316">
        <v>1</v>
      </c>
      <c r="AI17" s="316">
        <v>1</v>
      </c>
      <c r="AJ17" s="316">
        <v>1</v>
      </c>
      <c r="AK17" s="316">
        <v>1</v>
      </c>
      <c r="AL17" s="316">
        <v>1</v>
      </c>
      <c r="AM17" s="316">
        <v>1</v>
      </c>
      <c r="AN17" s="316">
        <v>1</v>
      </c>
      <c r="AO17" s="316">
        <v>1</v>
      </c>
      <c r="AP17" s="316">
        <v>1</v>
      </c>
      <c r="AQ17" s="316">
        <v>1</v>
      </c>
      <c r="AR17" s="316">
        <v>1</v>
      </c>
      <c r="AS17" s="316">
        <v>1</v>
      </c>
      <c r="AT17" s="316">
        <v>1</v>
      </c>
    </row>
    <row r="18" spans="2:46" ht="12.75" customHeight="1" x14ac:dyDescent="0.15">
      <c r="B18" s="315">
        <v>1170</v>
      </c>
      <c r="C18" s="313" t="s">
        <v>1791</v>
      </c>
      <c r="D18" s="313" t="s">
        <v>1800</v>
      </c>
      <c r="E18" s="313" t="s">
        <v>1801</v>
      </c>
      <c r="F18" s="319" t="s">
        <v>1802</v>
      </c>
      <c r="G18" s="315" t="str">
        <f>_xlfn.XLOOKUP(B18,'WFP Details - 2026'!A:A,'WFP Details - 2026'!Z:Z)</f>
        <v>x</v>
      </c>
      <c r="H18" s="314">
        <v>46096</v>
      </c>
      <c r="I18" s="315">
        <v>3</v>
      </c>
      <c r="J18" s="315">
        <v>2026</v>
      </c>
      <c r="K18" s="316">
        <v>0</v>
      </c>
      <c r="L18" s="316">
        <v>0</v>
      </c>
      <c r="M18" s="316">
        <v>1</v>
      </c>
      <c r="N18" s="316">
        <v>1</v>
      </c>
      <c r="O18" s="316">
        <v>1</v>
      </c>
      <c r="P18" s="316">
        <v>1</v>
      </c>
      <c r="Q18" s="316">
        <v>1</v>
      </c>
      <c r="R18" s="316">
        <v>1</v>
      </c>
      <c r="S18" s="316">
        <v>1</v>
      </c>
      <c r="T18" s="316">
        <v>1</v>
      </c>
      <c r="U18" s="316">
        <v>1</v>
      </c>
      <c r="V18" s="316">
        <v>1</v>
      </c>
      <c r="W18" s="316">
        <v>1</v>
      </c>
      <c r="X18" s="316">
        <v>1</v>
      </c>
      <c r="Y18" s="316">
        <v>1</v>
      </c>
      <c r="Z18" s="316">
        <v>1</v>
      </c>
      <c r="AA18" s="316">
        <v>1</v>
      </c>
      <c r="AB18" s="316">
        <v>1</v>
      </c>
      <c r="AC18" s="316">
        <v>1</v>
      </c>
      <c r="AD18" s="316">
        <v>1</v>
      </c>
      <c r="AE18" s="316">
        <v>1</v>
      </c>
      <c r="AF18" s="316">
        <v>1</v>
      </c>
      <c r="AG18" s="316">
        <v>1</v>
      </c>
      <c r="AH18" s="316">
        <v>1</v>
      </c>
      <c r="AI18" s="316">
        <v>1</v>
      </c>
      <c r="AJ18" s="316">
        <v>1</v>
      </c>
      <c r="AK18" s="316">
        <v>1</v>
      </c>
      <c r="AL18" s="316">
        <v>1</v>
      </c>
      <c r="AM18" s="316">
        <v>1</v>
      </c>
      <c r="AN18" s="316">
        <v>1</v>
      </c>
      <c r="AO18" s="316">
        <v>1</v>
      </c>
      <c r="AP18" s="316">
        <v>1</v>
      </c>
      <c r="AQ18" s="316">
        <v>1</v>
      </c>
      <c r="AR18" s="316">
        <v>1</v>
      </c>
      <c r="AS18" s="316">
        <v>1</v>
      </c>
      <c r="AT18" s="316">
        <v>1</v>
      </c>
    </row>
    <row r="19" spans="2:46" ht="12.75" customHeight="1" x14ac:dyDescent="0.15">
      <c r="B19" s="315">
        <v>1177</v>
      </c>
      <c r="C19" s="313" t="s">
        <v>1791</v>
      </c>
      <c r="D19" s="313" t="s">
        <v>101</v>
      </c>
      <c r="E19" s="313" t="s">
        <v>1794</v>
      </c>
      <c r="F19" s="319" t="s">
        <v>1803</v>
      </c>
      <c r="G19" s="315" t="str">
        <f>_xlfn.XLOOKUP(B19,'WFP Details - 2026'!A:A,'WFP Details - 2026'!Z:Z)</f>
        <v>x</v>
      </c>
      <c r="H19" s="314">
        <v>46096</v>
      </c>
      <c r="I19" s="315">
        <v>3</v>
      </c>
      <c r="J19" s="315">
        <v>2026</v>
      </c>
      <c r="K19" s="316">
        <v>0</v>
      </c>
      <c r="L19" s="316">
        <v>0</v>
      </c>
      <c r="M19" s="316">
        <v>1</v>
      </c>
      <c r="N19" s="316">
        <v>1</v>
      </c>
      <c r="O19" s="316">
        <v>1</v>
      </c>
      <c r="P19" s="316">
        <v>1</v>
      </c>
      <c r="Q19" s="316">
        <v>1</v>
      </c>
      <c r="R19" s="316">
        <v>1</v>
      </c>
      <c r="S19" s="316">
        <v>1</v>
      </c>
      <c r="T19" s="316">
        <v>1</v>
      </c>
      <c r="U19" s="316">
        <v>1</v>
      </c>
      <c r="V19" s="316">
        <v>1</v>
      </c>
      <c r="W19" s="316">
        <v>1</v>
      </c>
      <c r="X19" s="316">
        <v>1</v>
      </c>
      <c r="Y19" s="316">
        <v>1</v>
      </c>
      <c r="Z19" s="316">
        <v>1</v>
      </c>
      <c r="AA19" s="316">
        <v>1</v>
      </c>
      <c r="AB19" s="316">
        <v>1</v>
      </c>
      <c r="AC19" s="316">
        <v>1</v>
      </c>
      <c r="AD19" s="316">
        <v>1</v>
      </c>
      <c r="AE19" s="316">
        <v>1</v>
      </c>
      <c r="AF19" s="316">
        <v>1</v>
      </c>
      <c r="AG19" s="316">
        <v>1</v>
      </c>
      <c r="AH19" s="316">
        <v>1</v>
      </c>
      <c r="AI19" s="316">
        <v>1</v>
      </c>
      <c r="AJ19" s="316">
        <v>1</v>
      </c>
      <c r="AK19" s="316">
        <v>1</v>
      </c>
      <c r="AL19" s="316">
        <v>1</v>
      </c>
      <c r="AM19" s="316">
        <v>1</v>
      </c>
      <c r="AN19" s="316">
        <v>1</v>
      </c>
      <c r="AO19" s="316">
        <v>1</v>
      </c>
      <c r="AP19" s="316">
        <v>1</v>
      </c>
      <c r="AQ19" s="316">
        <v>1</v>
      </c>
      <c r="AR19" s="316">
        <v>1</v>
      </c>
      <c r="AS19" s="316">
        <v>1</v>
      </c>
      <c r="AT19" s="316">
        <v>1</v>
      </c>
    </row>
    <row r="20" spans="2:46" ht="12.75" customHeight="1" x14ac:dyDescent="0.15">
      <c r="B20" s="315">
        <v>1178</v>
      </c>
      <c r="C20" s="313" t="s">
        <v>1791</v>
      </c>
      <c r="D20" s="313" t="s">
        <v>1804</v>
      </c>
      <c r="E20" s="313" t="s">
        <v>1794</v>
      </c>
      <c r="F20" s="319" t="s">
        <v>1726</v>
      </c>
      <c r="G20" s="315" t="str">
        <f>_xlfn.XLOOKUP(B20,'WFP Details - 2026'!A:A,'WFP Details - 2026'!Z:Z)</f>
        <v>x</v>
      </c>
      <c r="H20" s="314">
        <v>46096</v>
      </c>
      <c r="I20" s="315">
        <v>3</v>
      </c>
      <c r="J20" s="315">
        <v>2026</v>
      </c>
      <c r="K20" s="316">
        <v>0</v>
      </c>
      <c r="L20" s="316">
        <v>0</v>
      </c>
      <c r="M20" s="316">
        <v>1</v>
      </c>
      <c r="N20" s="316">
        <v>1</v>
      </c>
      <c r="O20" s="316">
        <v>1</v>
      </c>
      <c r="P20" s="316">
        <v>1</v>
      </c>
      <c r="Q20" s="316">
        <v>1</v>
      </c>
      <c r="R20" s="316">
        <v>1</v>
      </c>
      <c r="S20" s="316">
        <v>1</v>
      </c>
      <c r="T20" s="316">
        <v>1</v>
      </c>
      <c r="U20" s="316">
        <v>1</v>
      </c>
      <c r="V20" s="316">
        <v>1</v>
      </c>
      <c r="W20" s="316">
        <v>1</v>
      </c>
      <c r="X20" s="316">
        <v>1</v>
      </c>
      <c r="Y20" s="316">
        <v>1</v>
      </c>
      <c r="Z20" s="316">
        <v>1</v>
      </c>
      <c r="AA20" s="316">
        <v>1</v>
      </c>
      <c r="AB20" s="316">
        <v>1</v>
      </c>
      <c r="AC20" s="316">
        <v>1</v>
      </c>
      <c r="AD20" s="316">
        <v>1</v>
      </c>
      <c r="AE20" s="316">
        <v>1</v>
      </c>
      <c r="AF20" s="316">
        <v>1</v>
      </c>
      <c r="AG20" s="316">
        <v>1</v>
      </c>
      <c r="AH20" s="316">
        <v>1</v>
      </c>
      <c r="AI20" s="316">
        <v>1</v>
      </c>
      <c r="AJ20" s="316">
        <v>1</v>
      </c>
      <c r="AK20" s="316">
        <v>1</v>
      </c>
      <c r="AL20" s="316">
        <v>1</v>
      </c>
      <c r="AM20" s="316">
        <v>1</v>
      </c>
      <c r="AN20" s="316">
        <v>1</v>
      </c>
      <c r="AO20" s="316">
        <v>1</v>
      </c>
      <c r="AP20" s="316">
        <v>1</v>
      </c>
      <c r="AQ20" s="316">
        <v>1</v>
      </c>
      <c r="AR20" s="316">
        <v>1</v>
      </c>
      <c r="AS20" s="316">
        <v>1</v>
      </c>
      <c r="AT20" s="316">
        <v>1</v>
      </c>
    </row>
    <row r="21" spans="2:46" ht="12.75" customHeight="1" x14ac:dyDescent="0.15">
      <c r="B21" s="315">
        <v>1155</v>
      </c>
      <c r="C21" s="313" t="s">
        <v>1791</v>
      </c>
      <c r="D21" s="313" t="s">
        <v>101</v>
      </c>
      <c r="E21" s="313" t="s">
        <v>1794</v>
      </c>
      <c r="F21" s="319" t="s">
        <v>976</v>
      </c>
      <c r="G21" s="315" t="str">
        <f>_xlfn.XLOOKUP(B21,'WFP Details - 2026'!A:A,'WFP Details - 2026'!Z:Z)</f>
        <v>x</v>
      </c>
      <c r="H21" s="314">
        <v>46096</v>
      </c>
      <c r="I21" s="315">
        <v>3</v>
      </c>
      <c r="J21" s="315">
        <v>2026</v>
      </c>
      <c r="K21" s="316">
        <v>0</v>
      </c>
      <c r="L21" s="316">
        <v>0</v>
      </c>
      <c r="M21" s="316">
        <v>1</v>
      </c>
      <c r="N21" s="316">
        <v>1</v>
      </c>
      <c r="O21" s="316">
        <v>1</v>
      </c>
      <c r="P21" s="316">
        <v>1</v>
      </c>
      <c r="Q21" s="316">
        <v>1</v>
      </c>
      <c r="R21" s="316">
        <v>1</v>
      </c>
      <c r="S21" s="316">
        <v>1</v>
      </c>
      <c r="T21" s="316">
        <v>1</v>
      </c>
      <c r="U21" s="316">
        <v>1</v>
      </c>
      <c r="V21" s="316">
        <v>1</v>
      </c>
      <c r="W21" s="316">
        <v>1</v>
      </c>
      <c r="X21" s="316">
        <v>1</v>
      </c>
      <c r="Y21" s="316">
        <v>1</v>
      </c>
      <c r="Z21" s="316">
        <v>1</v>
      </c>
      <c r="AA21" s="316">
        <v>1</v>
      </c>
      <c r="AB21" s="316">
        <v>1</v>
      </c>
      <c r="AC21" s="316">
        <v>1</v>
      </c>
      <c r="AD21" s="316">
        <v>1</v>
      </c>
      <c r="AE21" s="316">
        <v>1</v>
      </c>
      <c r="AF21" s="316">
        <v>1</v>
      </c>
      <c r="AG21" s="316">
        <v>1</v>
      </c>
      <c r="AH21" s="316">
        <v>1</v>
      </c>
      <c r="AI21" s="316">
        <v>1</v>
      </c>
      <c r="AJ21" s="316">
        <v>1</v>
      </c>
      <c r="AK21" s="316">
        <v>1</v>
      </c>
      <c r="AL21" s="316">
        <v>1</v>
      </c>
      <c r="AM21" s="316">
        <v>1</v>
      </c>
      <c r="AN21" s="316">
        <v>1</v>
      </c>
      <c r="AO21" s="316">
        <v>1</v>
      </c>
      <c r="AP21" s="316">
        <v>1</v>
      </c>
      <c r="AQ21" s="316">
        <v>1</v>
      </c>
      <c r="AR21" s="316">
        <v>1</v>
      </c>
      <c r="AS21" s="316">
        <v>1</v>
      </c>
      <c r="AT21" s="316">
        <v>1</v>
      </c>
    </row>
    <row r="22" spans="2:46" ht="12.75" customHeight="1" x14ac:dyDescent="0.15">
      <c r="B22" s="315">
        <v>1181</v>
      </c>
      <c r="C22" s="313" t="s">
        <v>1791</v>
      </c>
      <c r="D22" s="313" t="s">
        <v>101</v>
      </c>
      <c r="E22" s="313" t="s">
        <v>1805</v>
      </c>
      <c r="F22" s="319" t="s">
        <v>1764</v>
      </c>
      <c r="G22" s="315" t="e">
        <f>_xlfn.XLOOKUP(B22,'WFP Details - 2026'!A:A,'WFP Details - 2026'!Z:Z)</f>
        <v>#N/A</v>
      </c>
      <c r="H22" s="314">
        <v>46096</v>
      </c>
      <c r="I22" s="315">
        <v>3</v>
      </c>
      <c r="J22" s="315">
        <v>2026</v>
      </c>
      <c r="K22" s="316">
        <v>0</v>
      </c>
      <c r="L22" s="316">
        <v>0</v>
      </c>
      <c r="M22" s="316">
        <v>1</v>
      </c>
      <c r="N22" s="316">
        <v>1</v>
      </c>
      <c r="O22" s="316">
        <v>1</v>
      </c>
      <c r="P22" s="316">
        <v>1</v>
      </c>
      <c r="Q22" s="316">
        <v>1</v>
      </c>
      <c r="R22" s="316">
        <v>1</v>
      </c>
      <c r="S22" s="316">
        <v>1</v>
      </c>
      <c r="T22" s="316">
        <v>1</v>
      </c>
      <c r="U22" s="316">
        <v>1</v>
      </c>
      <c r="V22" s="316">
        <v>1</v>
      </c>
      <c r="W22" s="316">
        <v>1</v>
      </c>
      <c r="X22" s="316">
        <v>1</v>
      </c>
      <c r="Y22" s="316">
        <v>1</v>
      </c>
      <c r="Z22" s="316">
        <v>1</v>
      </c>
      <c r="AA22" s="316">
        <v>1</v>
      </c>
      <c r="AB22" s="316">
        <v>1</v>
      </c>
      <c r="AC22" s="316">
        <v>1</v>
      </c>
      <c r="AD22" s="316">
        <v>1</v>
      </c>
      <c r="AE22" s="316">
        <v>1</v>
      </c>
      <c r="AF22" s="316">
        <v>1</v>
      </c>
      <c r="AG22" s="316">
        <v>1</v>
      </c>
      <c r="AH22" s="316">
        <v>1</v>
      </c>
      <c r="AI22" s="316">
        <v>1</v>
      </c>
      <c r="AJ22" s="316">
        <v>1</v>
      </c>
      <c r="AK22" s="316">
        <v>1</v>
      </c>
      <c r="AL22" s="316">
        <v>1</v>
      </c>
      <c r="AM22" s="316">
        <v>1</v>
      </c>
      <c r="AN22" s="316">
        <v>1</v>
      </c>
      <c r="AO22" s="316">
        <v>1</v>
      </c>
      <c r="AP22" s="316">
        <v>1</v>
      </c>
      <c r="AQ22" s="316">
        <v>1</v>
      </c>
      <c r="AR22" s="316">
        <v>1</v>
      </c>
      <c r="AS22" s="316">
        <v>1</v>
      </c>
      <c r="AT22" s="316">
        <v>1</v>
      </c>
    </row>
    <row r="23" spans="2:46" ht="12.75" customHeight="1" x14ac:dyDescent="0.15">
      <c r="B23" s="315">
        <v>1175</v>
      </c>
      <c r="C23" s="313" t="s">
        <v>1791</v>
      </c>
      <c r="D23" s="313" t="s">
        <v>101</v>
      </c>
      <c r="E23" s="313" t="s">
        <v>1801</v>
      </c>
      <c r="F23" s="319" t="s">
        <v>924</v>
      </c>
      <c r="G23" s="315" t="str">
        <f>_xlfn.XLOOKUP(B23,'WFP Details - 2026'!A:A,'WFP Details - 2026'!Z:Z)</f>
        <v>x</v>
      </c>
      <c r="H23" s="314">
        <v>46280</v>
      </c>
      <c r="I23" s="315">
        <v>9</v>
      </c>
      <c r="J23" s="315">
        <v>2026</v>
      </c>
      <c r="K23" s="316">
        <v>0</v>
      </c>
      <c r="L23" s="316">
        <v>0</v>
      </c>
      <c r="M23" s="316">
        <v>0</v>
      </c>
      <c r="N23" s="316">
        <v>0</v>
      </c>
      <c r="O23" s="316">
        <v>0</v>
      </c>
      <c r="P23" s="316">
        <v>0</v>
      </c>
      <c r="Q23" s="316">
        <v>0</v>
      </c>
      <c r="R23" s="316">
        <v>0</v>
      </c>
      <c r="S23" s="316">
        <v>1</v>
      </c>
      <c r="T23" s="316">
        <v>1</v>
      </c>
      <c r="U23" s="316">
        <v>1</v>
      </c>
      <c r="V23" s="316">
        <v>1</v>
      </c>
      <c r="W23" s="316">
        <v>1</v>
      </c>
      <c r="X23" s="316">
        <v>1</v>
      </c>
      <c r="Y23" s="316">
        <v>1</v>
      </c>
      <c r="Z23" s="316">
        <v>1</v>
      </c>
      <c r="AA23" s="316">
        <v>1</v>
      </c>
      <c r="AB23" s="316">
        <v>1</v>
      </c>
      <c r="AC23" s="316">
        <v>1</v>
      </c>
      <c r="AD23" s="316">
        <v>1</v>
      </c>
      <c r="AE23" s="316">
        <v>1</v>
      </c>
      <c r="AF23" s="316">
        <v>1</v>
      </c>
      <c r="AG23" s="316">
        <v>1</v>
      </c>
      <c r="AH23" s="316">
        <v>1</v>
      </c>
      <c r="AI23" s="316">
        <v>1</v>
      </c>
      <c r="AJ23" s="316">
        <v>1</v>
      </c>
      <c r="AK23" s="316">
        <v>1</v>
      </c>
      <c r="AL23" s="316">
        <v>1</v>
      </c>
      <c r="AM23" s="316">
        <v>1</v>
      </c>
      <c r="AN23" s="316">
        <v>1</v>
      </c>
      <c r="AO23" s="316">
        <v>1</v>
      </c>
      <c r="AP23" s="316">
        <v>1</v>
      </c>
      <c r="AQ23" s="316">
        <v>1</v>
      </c>
      <c r="AR23" s="316">
        <v>1</v>
      </c>
      <c r="AS23" s="316">
        <v>1</v>
      </c>
      <c r="AT23" s="316">
        <v>1</v>
      </c>
    </row>
    <row r="24" spans="2:46" ht="12.75" customHeight="1" x14ac:dyDescent="0.15">
      <c r="B24" s="315">
        <v>5284</v>
      </c>
      <c r="C24" s="313" t="s">
        <v>1791</v>
      </c>
      <c r="D24" s="313" t="s">
        <v>101</v>
      </c>
      <c r="E24" s="313" t="s">
        <v>1795</v>
      </c>
      <c r="F24" s="319" t="s">
        <v>998</v>
      </c>
      <c r="G24" s="315" t="str">
        <f>_xlfn.XLOOKUP(B24,'WFP Details - 2026'!A:A,'WFP Details - 2026'!Z:Z)</f>
        <v>x</v>
      </c>
      <c r="H24" s="314">
        <v>46371</v>
      </c>
      <c r="I24" s="315">
        <v>12</v>
      </c>
      <c r="J24" s="315">
        <v>2026</v>
      </c>
      <c r="K24" s="316">
        <v>0</v>
      </c>
      <c r="L24" s="316">
        <v>0</v>
      </c>
      <c r="M24" s="316">
        <v>0</v>
      </c>
      <c r="N24" s="316">
        <v>0</v>
      </c>
      <c r="O24" s="316">
        <v>0</v>
      </c>
      <c r="P24" s="316">
        <v>0</v>
      </c>
      <c r="Q24" s="316">
        <v>0</v>
      </c>
      <c r="R24" s="316">
        <v>0</v>
      </c>
      <c r="S24" s="316">
        <v>0</v>
      </c>
      <c r="T24" s="316">
        <v>0</v>
      </c>
      <c r="U24" s="316">
        <v>0</v>
      </c>
      <c r="V24" s="316">
        <v>1</v>
      </c>
      <c r="W24" s="316">
        <v>1</v>
      </c>
      <c r="X24" s="316">
        <v>1</v>
      </c>
      <c r="Y24" s="316">
        <v>1</v>
      </c>
      <c r="Z24" s="316">
        <v>1</v>
      </c>
      <c r="AA24" s="316">
        <v>1</v>
      </c>
      <c r="AB24" s="316">
        <v>1</v>
      </c>
      <c r="AC24" s="316">
        <v>1</v>
      </c>
      <c r="AD24" s="316">
        <v>1</v>
      </c>
      <c r="AE24" s="316">
        <v>1</v>
      </c>
      <c r="AF24" s="316">
        <v>1</v>
      </c>
      <c r="AG24" s="316">
        <v>1</v>
      </c>
      <c r="AH24" s="316">
        <v>1</v>
      </c>
      <c r="AI24" s="316">
        <v>1</v>
      </c>
      <c r="AJ24" s="316">
        <v>1</v>
      </c>
      <c r="AK24" s="316">
        <v>1</v>
      </c>
      <c r="AL24" s="316">
        <v>1</v>
      </c>
      <c r="AM24" s="316">
        <v>1</v>
      </c>
      <c r="AN24" s="316">
        <v>1</v>
      </c>
      <c r="AO24" s="316">
        <v>1</v>
      </c>
      <c r="AP24" s="316">
        <v>1</v>
      </c>
      <c r="AQ24" s="316">
        <v>1</v>
      </c>
      <c r="AR24" s="316">
        <v>1</v>
      </c>
      <c r="AS24" s="316">
        <v>1</v>
      </c>
      <c r="AT24" s="316">
        <v>1</v>
      </c>
    </row>
    <row r="25" spans="2:46" ht="12.75" hidden="1" customHeight="1" x14ac:dyDescent="0.15">
      <c r="B25" s="315">
        <v>1189</v>
      </c>
      <c r="C25" s="313" t="s">
        <v>1791</v>
      </c>
      <c r="D25" s="313" t="s">
        <v>101</v>
      </c>
      <c r="E25" s="313" t="s">
        <v>1801</v>
      </c>
      <c r="F25" s="319" t="s">
        <v>946</v>
      </c>
      <c r="G25" s="315">
        <f>_xlfn.XLOOKUP(B25,'WFP Details - 2026'!A:A,'WFP Details - 2026'!Z:Z)</f>
        <v>0</v>
      </c>
      <c r="H25" s="314">
        <v>46461</v>
      </c>
      <c r="I25" s="315">
        <v>3</v>
      </c>
      <c r="J25" s="315">
        <v>2027</v>
      </c>
      <c r="K25" s="316">
        <v>0</v>
      </c>
      <c r="L25" s="316">
        <v>0</v>
      </c>
      <c r="M25" s="316">
        <v>0</v>
      </c>
      <c r="N25" s="316">
        <v>0</v>
      </c>
      <c r="O25" s="316">
        <v>0</v>
      </c>
      <c r="P25" s="316">
        <v>0</v>
      </c>
      <c r="Q25" s="316">
        <v>0</v>
      </c>
      <c r="R25" s="316">
        <v>0</v>
      </c>
      <c r="S25" s="316">
        <v>0</v>
      </c>
      <c r="T25" s="316">
        <v>0</v>
      </c>
      <c r="U25" s="316">
        <v>0</v>
      </c>
      <c r="V25" s="316">
        <v>0</v>
      </c>
      <c r="W25" s="316">
        <v>0</v>
      </c>
      <c r="X25" s="316">
        <v>0</v>
      </c>
      <c r="Y25" s="316">
        <v>1</v>
      </c>
      <c r="Z25" s="316">
        <v>1</v>
      </c>
      <c r="AA25" s="316">
        <v>1</v>
      </c>
      <c r="AB25" s="316">
        <v>1</v>
      </c>
      <c r="AC25" s="316">
        <v>1</v>
      </c>
      <c r="AD25" s="316">
        <v>1</v>
      </c>
      <c r="AE25" s="316">
        <v>1</v>
      </c>
      <c r="AF25" s="316">
        <v>1</v>
      </c>
      <c r="AG25" s="316">
        <v>1</v>
      </c>
      <c r="AH25" s="316">
        <v>1</v>
      </c>
      <c r="AI25" s="316">
        <v>1</v>
      </c>
      <c r="AJ25" s="316">
        <v>1</v>
      </c>
      <c r="AK25" s="316">
        <v>1</v>
      </c>
      <c r="AL25" s="316">
        <v>1</v>
      </c>
      <c r="AM25" s="316">
        <v>1</v>
      </c>
      <c r="AN25" s="316">
        <v>1</v>
      </c>
      <c r="AO25" s="316">
        <v>1</v>
      </c>
      <c r="AP25" s="316">
        <v>1</v>
      </c>
      <c r="AQ25" s="316">
        <v>1</v>
      </c>
      <c r="AR25" s="316">
        <v>1</v>
      </c>
      <c r="AS25" s="316">
        <v>1</v>
      </c>
      <c r="AT25" s="316">
        <v>1</v>
      </c>
    </row>
    <row r="26" spans="2:46" ht="12.75" hidden="1" customHeight="1" x14ac:dyDescent="0.15">
      <c r="B26" s="315">
        <v>5271</v>
      </c>
      <c r="C26" s="313" t="s">
        <v>1791</v>
      </c>
      <c r="D26" s="313" t="s">
        <v>101</v>
      </c>
      <c r="E26" s="313" t="s">
        <v>1801</v>
      </c>
      <c r="F26" s="319" t="s">
        <v>940</v>
      </c>
      <c r="G26" s="315">
        <f>_xlfn.XLOOKUP(B26,'WFP Details - 2026'!A:A,'WFP Details - 2026'!Z:Z)</f>
        <v>0</v>
      </c>
      <c r="H26" s="314">
        <v>46461</v>
      </c>
      <c r="I26" s="315">
        <v>3</v>
      </c>
      <c r="J26" s="315">
        <v>2027</v>
      </c>
      <c r="K26" s="316">
        <v>0</v>
      </c>
      <c r="L26" s="316">
        <v>0</v>
      </c>
      <c r="M26" s="316">
        <v>0</v>
      </c>
      <c r="N26" s="316">
        <v>0</v>
      </c>
      <c r="O26" s="316">
        <v>0</v>
      </c>
      <c r="P26" s="316">
        <v>0</v>
      </c>
      <c r="Q26" s="316">
        <v>0</v>
      </c>
      <c r="R26" s="316">
        <v>0</v>
      </c>
      <c r="S26" s="316">
        <v>0</v>
      </c>
      <c r="T26" s="316">
        <v>0</v>
      </c>
      <c r="U26" s="316">
        <v>0</v>
      </c>
      <c r="V26" s="316">
        <v>0</v>
      </c>
      <c r="W26" s="316">
        <v>0</v>
      </c>
      <c r="X26" s="316">
        <v>0</v>
      </c>
      <c r="Y26" s="316">
        <v>1</v>
      </c>
      <c r="Z26" s="316">
        <v>1</v>
      </c>
      <c r="AA26" s="316">
        <v>1</v>
      </c>
      <c r="AB26" s="316">
        <v>1</v>
      </c>
      <c r="AC26" s="316">
        <v>1</v>
      </c>
      <c r="AD26" s="316">
        <v>1</v>
      </c>
      <c r="AE26" s="316">
        <v>1</v>
      </c>
      <c r="AF26" s="316">
        <v>1</v>
      </c>
      <c r="AG26" s="316">
        <v>1</v>
      </c>
      <c r="AH26" s="316">
        <v>1</v>
      </c>
      <c r="AI26" s="316">
        <v>1</v>
      </c>
      <c r="AJ26" s="316">
        <v>1</v>
      </c>
      <c r="AK26" s="316">
        <v>1</v>
      </c>
      <c r="AL26" s="316">
        <v>1</v>
      </c>
      <c r="AM26" s="316">
        <v>1</v>
      </c>
      <c r="AN26" s="316">
        <v>1</v>
      </c>
      <c r="AO26" s="316">
        <v>1</v>
      </c>
      <c r="AP26" s="316">
        <v>1</v>
      </c>
      <c r="AQ26" s="316">
        <v>1</v>
      </c>
      <c r="AR26" s="316">
        <v>1</v>
      </c>
      <c r="AS26" s="316">
        <v>1</v>
      </c>
      <c r="AT26" s="316">
        <v>1</v>
      </c>
    </row>
    <row r="27" spans="2:46" ht="12.75" hidden="1" customHeight="1" x14ac:dyDescent="0.15">
      <c r="B27" s="315">
        <v>1382</v>
      </c>
      <c r="C27" s="313" t="s">
        <v>1791</v>
      </c>
      <c r="D27" s="313" t="s">
        <v>101</v>
      </c>
      <c r="E27" s="313" t="s">
        <v>1801</v>
      </c>
      <c r="F27" s="319" t="s">
        <v>959</v>
      </c>
      <c r="G27" s="315">
        <f>_xlfn.XLOOKUP(B27,'WFP Details - 2026'!A:A,'WFP Details - 2026'!Z:Z)</f>
        <v>0</v>
      </c>
      <c r="H27" s="314">
        <v>46461</v>
      </c>
      <c r="I27" s="315">
        <v>3</v>
      </c>
      <c r="J27" s="315">
        <v>2027</v>
      </c>
      <c r="K27" s="316">
        <v>0</v>
      </c>
      <c r="L27" s="316">
        <v>0</v>
      </c>
      <c r="M27" s="316">
        <v>0</v>
      </c>
      <c r="N27" s="316">
        <v>0</v>
      </c>
      <c r="O27" s="316">
        <v>0</v>
      </c>
      <c r="P27" s="316">
        <v>0</v>
      </c>
      <c r="Q27" s="316">
        <v>0</v>
      </c>
      <c r="R27" s="316">
        <v>0</v>
      </c>
      <c r="S27" s="316">
        <v>0</v>
      </c>
      <c r="T27" s="316">
        <v>0</v>
      </c>
      <c r="U27" s="316">
        <v>0</v>
      </c>
      <c r="V27" s="316">
        <v>0</v>
      </c>
      <c r="W27" s="316">
        <v>0</v>
      </c>
      <c r="X27" s="316">
        <v>0</v>
      </c>
      <c r="Y27" s="316">
        <v>1</v>
      </c>
      <c r="Z27" s="316">
        <v>1</v>
      </c>
      <c r="AA27" s="316">
        <v>1</v>
      </c>
      <c r="AB27" s="316">
        <v>1</v>
      </c>
      <c r="AC27" s="316">
        <v>1</v>
      </c>
      <c r="AD27" s="316">
        <v>1</v>
      </c>
      <c r="AE27" s="316">
        <v>1</v>
      </c>
      <c r="AF27" s="316">
        <v>1</v>
      </c>
      <c r="AG27" s="316">
        <v>1</v>
      </c>
      <c r="AH27" s="316">
        <v>1</v>
      </c>
      <c r="AI27" s="316">
        <v>1</v>
      </c>
      <c r="AJ27" s="316">
        <v>1</v>
      </c>
      <c r="AK27" s="316">
        <v>1</v>
      </c>
      <c r="AL27" s="316">
        <v>1</v>
      </c>
      <c r="AM27" s="316">
        <v>1</v>
      </c>
      <c r="AN27" s="316">
        <v>1</v>
      </c>
      <c r="AO27" s="316">
        <v>1</v>
      </c>
      <c r="AP27" s="316">
        <v>1</v>
      </c>
      <c r="AQ27" s="316">
        <v>1</v>
      </c>
      <c r="AR27" s="316">
        <v>1</v>
      </c>
      <c r="AS27" s="316">
        <v>1</v>
      </c>
      <c r="AT27" s="316">
        <v>1</v>
      </c>
    </row>
    <row r="28" spans="2:46" ht="12.75" hidden="1" customHeight="1" x14ac:dyDescent="0.15">
      <c r="B28" s="315">
        <v>5275</v>
      </c>
      <c r="C28" s="313" t="s">
        <v>1791</v>
      </c>
      <c r="D28" s="313" t="s">
        <v>101</v>
      </c>
      <c r="E28" s="313" t="s">
        <v>1793</v>
      </c>
      <c r="F28" s="319" t="s">
        <v>953</v>
      </c>
      <c r="G28" s="315" t="e">
        <f>_xlfn.XLOOKUP(B28,'WFP Details - 2026'!A:A,'WFP Details - 2026'!Z:Z)</f>
        <v>#N/A</v>
      </c>
      <c r="H28" s="314">
        <v>46461</v>
      </c>
      <c r="I28" s="315">
        <v>3</v>
      </c>
      <c r="J28" s="315">
        <v>2027</v>
      </c>
      <c r="K28" s="316">
        <v>0</v>
      </c>
      <c r="L28" s="316">
        <v>0</v>
      </c>
      <c r="M28" s="316">
        <v>0</v>
      </c>
      <c r="N28" s="316">
        <v>0</v>
      </c>
      <c r="O28" s="316">
        <v>0</v>
      </c>
      <c r="P28" s="316">
        <v>0</v>
      </c>
      <c r="Q28" s="316">
        <v>0</v>
      </c>
      <c r="R28" s="316">
        <v>0</v>
      </c>
      <c r="S28" s="316">
        <v>0</v>
      </c>
      <c r="T28" s="316">
        <v>0</v>
      </c>
      <c r="U28" s="316">
        <v>0</v>
      </c>
      <c r="V28" s="316">
        <v>0</v>
      </c>
      <c r="W28" s="316">
        <v>0</v>
      </c>
      <c r="X28" s="316">
        <v>0</v>
      </c>
      <c r="Y28" s="316">
        <v>1</v>
      </c>
      <c r="Z28" s="316">
        <v>1</v>
      </c>
      <c r="AA28" s="316">
        <v>1</v>
      </c>
      <c r="AB28" s="316">
        <v>1</v>
      </c>
      <c r="AC28" s="316">
        <v>1</v>
      </c>
      <c r="AD28" s="316">
        <v>1</v>
      </c>
      <c r="AE28" s="316">
        <v>1</v>
      </c>
      <c r="AF28" s="316">
        <v>1</v>
      </c>
      <c r="AG28" s="316">
        <v>1</v>
      </c>
      <c r="AH28" s="316">
        <v>1</v>
      </c>
      <c r="AI28" s="316">
        <v>1</v>
      </c>
      <c r="AJ28" s="316">
        <v>1</v>
      </c>
      <c r="AK28" s="316">
        <v>1</v>
      </c>
      <c r="AL28" s="316">
        <v>1</v>
      </c>
      <c r="AM28" s="316">
        <v>1</v>
      </c>
      <c r="AN28" s="316">
        <v>1</v>
      </c>
      <c r="AO28" s="316">
        <v>1</v>
      </c>
      <c r="AP28" s="316">
        <v>1</v>
      </c>
      <c r="AQ28" s="316">
        <v>1</v>
      </c>
      <c r="AR28" s="316">
        <v>1</v>
      </c>
      <c r="AS28" s="316">
        <v>1</v>
      </c>
      <c r="AT28" s="316">
        <v>1</v>
      </c>
    </row>
    <row r="29" spans="2:46" ht="12.75" hidden="1" customHeight="1" x14ac:dyDescent="0.15">
      <c r="B29" s="315">
        <v>5276</v>
      </c>
      <c r="C29" s="313" t="s">
        <v>1791</v>
      </c>
      <c r="D29" s="313" t="s">
        <v>101</v>
      </c>
      <c r="E29" s="313" t="s">
        <v>1795</v>
      </c>
      <c r="F29" s="319" t="s">
        <v>1694</v>
      </c>
      <c r="G29" s="315" t="e">
        <f>_xlfn.XLOOKUP(B29,'WFP Details - 2026'!A:A,'WFP Details - 2026'!Z:Z)</f>
        <v>#N/A</v>
      </c>
      <c r="H29" s="314">
        <v>46461</v>
      </c>
      <c r="I29" s="315">
        <v>3</v>
      </c>
      <c r="J29" s="315">
        <v>2027</v>
      </c>
      <c r="K29" s="316">
        <v>0</v>
      </c>
      <c r="L29" s="316">
        <v>0</v>
      </c>
      <c r="M29" s="316">
        <v>0</v>
      </c>
      <c r="N29" s="316">
        <v>0</v>
      </c>
      <c r="O29" s="316">
        <v>0</v>
      </c>
      <c r="P29" s="316">
        <v>0</v>
      </c>
      <c r="Q29" s="316">
        <v>0</v>
      </c>
      <c r="R29" s="316">
        <v>0</v>
      </c>
      <c r="S29" s="316">
        <v>0</v>
      </c>
      <c r="T29" s="316">
        <v>0</v>
      </c>
      <c r="U29" s="316">
        <v>0</v>
      </c>
      <c r="V29" s="316">
        <v>0</v>
      </c>
      <c r="W29" s="316">
        <v>0</v>
      </c>
      <c r="X29" s="316">
        <v>0</v>
      </c>
      <c r="Y29" s="316">
        <v>1</v>
      </c>
      <c r="Z29" s="316">
        <v>1</v>
      </c>
      <c r="AA29" s="316">
        <v>1</v>
      </c>
      <c r="AB29" s="316">
        <v>1</v>
      </c>
      <c r="AC29" s="316">
        <v>1</v>
      </c>
      <c r="AD29" s="316">
        <v>1</v>
      </c>
      <c r="AE29" s="316">
        <v>1</v>
      </c>
      <c r="AF29" s="316">
        <v>1</v>
      </c>
      <c r="AG29" s="316">
        <v>1</v>
      </c>
      <c r="AH29" s="316">
        <v>1</v>
      </c>
      <c r="AI29" s="316">
        <v>1</v>
      </c>
      <c r="AJ29" s="316">
        <v>1</v>
      </c>
      <c r="AK29" s="316">
        <v>1</v>
      </c>
      <c r="AL29" s="316">
        <v>1</v>
      </c>
      <c r="AM29" s="316">
        <v>1</v>
      </c>
      <c r="AN29" s="316">
        <v>1</v>
      </c>
      <c r="AO29" s="316">
        <v>1</v>
      </c>
      <c r="AP29" s="316">
        <v>1</v>
      </c>
      <c r="AQ29" s="316">
        <v>1</v>
      </c>
      <c r="AR29" s="316">
        <v>1</v>
      </c>
      <c r="AS29" s="316">
        <v>1</v>
      </c>
      <c r="AT29" s="316">
        <v>1</v>
      </c>
    </row>
    <row r="30" spans="2:46" ht="12.75" hidden="1" customHeight="1" x14ac:dyDescent="0.15">
      <c r="B30" s="315">
        <v>5277</v>
      </c>
      <c r="C30" s="313" t="s">
        <v>1791</v>
      </c>
      <c r="D30" s="313" t="s">
        <v>101</v>
      </c>
      <c r="E30" s="313" t="s">
        <v>1794</v>
      </c>
      <c r="F30" s="319" t="s">
        <v>1699</v>
      </c>
      <c r="G30" s="315" t="e">
        <f>_xlfn.XLOOKUP(B30,'WFP Details - 2026'!A:A,'WFP Details - 2026'!Z:Z)</f>
        <v>#N/A</v>
      </c>
      <c r="H30" s="314">
        <v>46461</v>
      </c>
      <c r="I30" s="315">
        <v>3</v>
      </c>
      <c r="J30" s="315">
        <v>2027</v>
      </c>
      <c r="K30" s="316">
        <v>0</v>
      </c>
      <c r="L30" s="316">
        <v>0</v>
      </c>
      <c r="M30" s="316">
        <v>0</v>
      </c>
      <c r="N30" s="316">
        <v>0</v>
      </c>
      <c r="O30" s="316">
        <v>0</v>
      </c>
      <c r="P30" s="316">
        <v>0</v>
      </c>
      <c r="Q30" s="316">
        <v>0</v>
      </c>
      <c r="R30" s="316">
        <v>0</v>
      </c>
      <c r="S30" s="316">
        <v>0</v>
      </c>
      <c r="T30" s="316">
        <v>0</v>
      </c>
      <c r="U30" s="316">
        <v>0</v>
      </c>
      <c r="V30" s="316">
        <v>0</v>
      </c>
      <c r="W30" s="316">
        <v>0</v>
      </c>
      <c r="X30" s="316">
        <v>0</v>
      </c>
      <c r="Y30" s="316">
        <v>1</v>
      </c>
      <c r="Z30" s="316">
        <v>1</v>
      </c>
      <c r="AA30" s="316">
        <v>1</v>
      </c>
      <c r="AB30" s="316">
        <v>1</v>
      </c>
      <c r="AC30" s="316">
        <v>1</v>
      </c>
      <c r="AD30" s="316">
        <v>1</v>
      </c>
      <c r="AE30" s="316">
        <v>1</v>
      </c>
      <c r="AF30" s="316">
        <v>1</v>
      </c>
      <c r="AG30" s="316">
        <v>1</v>
      </c>
      <c r="AH30" s="316">
        <v>1</v>
      </c>
      <c r="AI30" s="316">
        <v>1</v>
      </c>
      <c r="AJ30" s="316">
        <v>1</v>
      </c>
      <c r="AK30" s="316">
        <v>1</v>
      </c>
      <c r="AL30" s="316">
        <v>1</v>
      </c>
      <c r="AM30" s="316">
        <v>1</v>
      </c>
      <c r="AN30" s="316">
        <v>1</v>
      </c>
      <c r="AO30" s="316">
        <v>1</v>
      </c>
      <c r="AP30" s="316">
        <v>1</v>
      </c>
      <c r="AQ30" s="316">
        <v>1</v>
      </c>
      <c r="AR30" s="316">
        <v>1</v>
      </c>
      <c r="AS30" s="316">
        <v>1</v>
      </c>
      <c r="AT30" s="316">
        <v>1</v>
      </c>
    </row>
    <row r="31" spans="2:46" ht="12.75" hidden="1" customHeight="1" x14ac:dyDescent="0.15">
      <c r="B31" s="315">
        <v>5274</v>
      </c>
      <c r="C31" s="313" t="s">
        <v>1791</v>
      </c>
      <c r="D31" s="313" t="s">
        <v>101</v>
      </c>
      <c r="E31" s="313" t="s">
        <v>1793</v>
      </c>
      <c r="F31" s="319" t="s">
        <v>953</v>
      </c>
      <c r="G31" s="315">
        <f>_xlfn.XLOOKUP(B31,'WFP Details - 2026'!A:A,'WFP Details - 2026'!Z:Z)</f>
        <v>0</v>
      </c>
      <c r="H31" s="314">
        <v>46645</v>
      </c>
      <c r="I31" s="315">
        <v>9</v>
      </c>
      <c r="J31" s="315">
        <v>2027</v>
      </c>
      <c r="K31" s="316">
        <v>0</v>
      </c>
      <c r="L31" s="316">
        <v>0</v>
      </c>
      <c r="M31" s="316">
        <v>0</v>
      </c>
      <c r="N31" s="316">
        <v>0</v>
      </c>
      <c r="O31" s="316">
        <v>0</v>
      </c>
      <c r="P31" s="316">
        <v>0</v>
      </c>
      <c r="Q31" s="316">
        <v>0</v>
      </c>
      <c r="R31" s="316">
        <v>0</v>
      </c>
      <c r="S31" s="316">
        <v>0</v>
      </c>
      <c r="T31" s="316">
        <v>0</v>
      </c>
      <c r="U31" s="316">
        <v>0</v>
      </c>
      <c r="V31" s="316">
        <v>0</v>
      </c>
      <c r="W31" s="316">
        <v>0</v>
      </c>
      <c r="X31" s="316">
        <v>0</v>
      </c>
      <c r="Y31" s="316">
        <v>0</v>
      </c>
      <c r="Z31" s="316">
        <v>0</v>
      </c>
      <c r="AA31" s="316">
        <v>0</v>
      </c>
      <c r="AB31" s="316">
        <v>0</v>
      </c>
      <c r="AC31" s="316">
        <v>0</v>
      </c>
      <c r="AD31" s="316">
        <v>0</v>
      </c>
      <c r="AE31" s="316">
        <v>1</v>
      </c>
      <c r="AF31" s="316">
        <v>1</v>
      </c>
      <c r="AG31" s="316">
        <v>1</v>
      </c>
      <c r="AH31" s="316">
        <v>1</v>
      </c>
      <c r="AI31" s="316">
        <v>1</v>
      </c>
      <c r="AJ31" s="316">
        <v>1</v>
      </c>
      <c r="AK31" s="316">
        <v>1</v>
      </c>
      <c r="AL31" s="316">
        <v>1</v>
      </c>
      <c r="AM31" s="316">
        <v>1</v>
      </c>
      <c r="AN31" s="316">
        <v>1</v>
      </c>
      <c r="AO31" s="316">
        <v>1</v>
      </c>
      <c r="AP31" s="316">
        <v>1</v>
      </c>
      <c r="AQ31" s="316">
        <v>1</v>
      </c>
      <c r="AR31" s="316">
        <v>1</v>
      </c>
      <c r="AS31" s="316">
        <v>1</v>
      </c>
      <c r="AT31" s="316">
        <v>1</v>
      </c>
    </row>
    <row r="32" spans="2:46" ht="12.75" hidden="1" customHeight="1" x14ac:dyDescent="0.15">
      <c r="B32" s="315">
        <v>1171</v>
      </c>
      <c r="C32" s="313" t="s">
        <v>1791</v>
      </c>
      <c r="D32" s="313" t="s">
        <v>101</v>
      </c>
      <c r="E32" s="313" t="s">
        <v>1794</v>
      </c>
      <c r="F32" s="319" t="s">
        <v>976</v>
      </c>
      <c r="G32" s="315" t="e">
        <f>_xlfn.XLOOKUP(B32,'WFP Details - 2026'!A:A,'WFP Details - 2026'!Z:Z)</f>
        <v>#N/A</v>
      </c>
      <c r="H32" s="314">
        <v>46645</v>
      </c>
      <c r="I32" s="315">
        <v>9</v>
      </c>
      <c r="J32" s="315">
        <v>2027</v>
      </c>
      <c r="K32" s="316">
        <v>0</v>
      </c>
      <c r="L32" s="316">
        <v>0</v>
      </c>
      <c r="M32" s="316">
        <v>0</v>
      </c>
      <c r="N32" s="316">
        <v>0</v>
      </c>
      <c r="O32" s="316">
        <v>0</v>
      </c>
      <c r="P32" s="316">
        <v>0</v>
      </c>
      <c r="Q32" s="316">
        <v>0</v>
      </c>
      <c r="R32" s="316">
        <v>0</v>
      </c>
      <c r="S32" s="316">
        <v>0</v>
      </c>
      <c r="T32" s="316">
        <v>0</v>
      </c>
      <c r="U32" s="316">
        <v>0</v>
      </c>
      <c r="V32" s="316">
        <v>0</v>
      </c>
      <c r="W32" s="316">
        <v>0</v>
      </c>
      <c r="X32" s="316">
        <v>0</v>
      </c>
      <c r="Y32" s="316">
        <v>0</v>
      </c>
      <c r="Z32" s="316">
        <v>0</v>
      </c>
      <c r="AA32" s="316">
        <v>0</v>
      </c>
      <c r="AB32" s="316">
        <v>0</v>
      </c>
      <c r="AC32" s="316">
        <v>0</v>
      </c>
      <c r="AD32" s="316">
        <v>0</v>
      </c>
      <c r="AE32" s="316">
        <v>1</v>
      </c>
      <c r="AF32" s="316">
        <v>1</v>
      </c>
      <c r="AG32" s="316">
        <v>1</v>
      </c>
      <c r="AH32" s="316">
        <v>1</v>
      </c>
      <c r="AI32" s="316">
        <v>1</v>
      </c>
      <c r="AJ32" s="316">
        <v>1</v>
      </c>
      <c r="AK32" s="316">
        <v>1</v>
      </c>
      <c r="AL32" s="316">
        <v>1</v>
      </c>
      <c r="AM32" s="316">
        <v>1</v>
      </c>
      <c r="AN32" s="316">
        <v>1</v>
      </c>
      <c r="AO32" s="316">
        <v>1</v>
      </c>
      <c r="AP32" s="316">
        <v>1</v>
      </c>
      <c r="AQ32" s="316">
        <v>1</v>
      </c>
      <c r="AR32" s="316">
        <v>1</v>
      </c>
      <c r="AS32" s="316">
        <v>1</v>
      </c>
      <c r="AT32" s="316">
        <v>1</v>
      </c>
    </row>
    <row r="33" spans="2:46" ht="12.75" hidden="1" customHeight="1" x14ac:dyDescent="0.15">
      <c r="B33" s="315">
        <v>1184</v>
      </c>
      <c r="C33" s="313" t="s">
        <v>1791</v>
      </c>
      <c r="D33" s="313" t="s">
        <v>101</v>
      </c>
      <c r="E33" s="313" t="s">
        <v>1794</v>
      </c>
      <c r="F33" s="319" t="s">
        <v>976</v>
      </c>
      <c r="G33" s="315" t="e">
        <f>_xlfn.XLOOKUP(B33,'WFP Details - 2026'!A:A,'WFP Details - 2026'!Z:Z)</f>
        <v>#N/A</v>
      </c>
      <c r="H33" s="314">
        <v>46645</v>
      </c>
      <c r="I33" s="315">
        <v>9</v>
      </c>
      <c r="J33" s="315">
        <v>2027</v>
      </c>
      <c r="K33" s="316">
        <v>0</v>
      </c>
      <c r="L33" s="316">
        <v>0</v>
      </c>
      <c r="M33" s="316">
        <v>0</v>
      </c>
      <c r="N33" s="316">
        <v>0</v>
      </c>
      <c r="O33" s="316">
        <v>0</v>
      </c>
      <c r="P33" s="316">
        <v>0</v>
      </c>
      <c r="Q33" s="316">
        <v>0</v>
      </c>
      <c r="R33" s="316">
        <v>0</v>
      </c>
      <c r="S33" s="316">
        <v>0</v>
      </c>
      <c r="T33" s="316">
        <v>0</v>
      </c>
      <c r="U33" s="316">
        <v>0</v>
      </c>
      <c r="V33" s="316">
        <v>0</v>
      </c>
      <c r="W33" s="316">
        <v>0</v>
      </c>
      <c r="X33" s="316">
        <v>0</v>
      </c>
      <c r="Y33" s="316">
        <v>0</v>
      </c>
      <c r="Z33" s="316">
        <v>0</v>
      </c>
      <c r="AA33" s="316">
        <v>0</v>
      </c>
      <c r="AB33" s="316">
        <v>0</v>
      </c>
      <c r="AC33" s="316">
        <v>0</v>
      </c>
      <c r="AD33" s="316">
        <v>0</v>
      </c>
      <c r="AE33" s="316">
        <v>1</v>
      </c>
      <c r="AF33" s="316">
        <v>1</v>
      </c>
      <c r="AG33" s="316">
        <v>1</v>
      </c>
      <c r="AH33" s="316">
        <v>1</v>
      </c>
      <c r="AI33" s="316">
        <v>1</v>
      </c>
      <c r="AJ33" s="316">
        <v>1</v>
      </c>
      <c r="AK33" s="316">
        <v>1</v>
      </c>
      <c r="AL33" s="316">
        <v>1</v>
      </c>
      <c r="AM33" s="316">
        <v>1</v>
      </c>
      <c r="AN33" s="316">
        <v>1</v>
      </c>
      <c r="AO33" s="316">
        <v>1</v>
      </c>
      <c r="AP33" s="316">
        <v>1</v>
      </c>
      <c r="AQ33" s="316">
        <v>1</v>
      </c>
      <c r="AR33" s="316">
        <v>1</v>
      </c>
      <c r="AS33" s="316">
        <v>1</v>
      </c>
      <c r="AT33" s="316">
        <v>1</v>
      </c>
    </row>
    <row r="34" spans="2:46" ht="12.75" hidden="1" customHeight="1" x14ac:dyDescent="0.15">
      <c r="B34" s="315">
        <v>1186</v>
      </c>
      <c r="C34" s="313" t="s">
        <v>1791</v>
      </c>
      <c r="D34" s="313" t="s">
        <v>101</v>
      </c>
      <c r="E34" s="313" t="s">
        <v>1794</v>
      </c>
      <c r="F34" s="319" t="s">
        <v>976</v>
      </c>
      <c r="G34" s="315" t="e">
        <f>_xlfn.XLOOKUP(B34,'WFP Details - 2026'!A:A,'WFP Details - 2026'!Z:Z)</f>
        <v>#N/A</v>
      </c>
      <c r="H34" s="314">
        <v>46645</v>
      </c>
      <c r="I34" s="315">
        <v>9</v>
      </c>
      <c r="J34" s="315">
        <v>2027</v>
      </c>
      <c r="K34" s="316">
        <v>0</v>
      </c>
      <c r="L34" s="316">
        <v>0</v>
      </c>
      <c r="M34" s="316">
        <v>0</v>
      </c>
      <c r="N34" s="316">
        <v>0</v>
      </c>
      <c r="O34" s="316">
        <v>0</v>
      </c>
      <c r="P34" s="316">
        <v>0</v>
      </c>
      <c r="Q34" s="316">
        <v>0</v>
      </c>
      <c r="R34" s="316">
        <v>0</v>
      </c>
      <c r="S34" s="316">
        <v>0</v>
      </c>
      <c r="T34" s="316">
        <v>0</v>
      </c>
      <c r="U34" s="316">
        <v>0</v>
      </c>
      <c r="V34" s="316">
        <v>0</v>
      </c>
      <c r="W34" s="316">
        <v>0</v>
      </c>
      <c r="X34" s="316">
        <v>0</v>
      </c>
      <c r="Y34" s="316">
        <v>0</v>
      </c>
      <c r="Z34" s="316">
        <v>0</v>
      </c>
      <c r="AA34" s="316">
        <v>0</v>
      </c>
      <c r="AB34" s="316">
        <v>0</v>
      </c>
      <c r="AC34" s="316">
        <v>0</v>
      </c>
      <c r="AD34" s="316">
        <v>0</v>
      </c>
      <c r="AE34" s="316">
        <v>1</v>
      </c>
      <c r="AF34" s="316">
        <v>1</v>
      </c>
      <c r="AG34" s="316">
        <v>1</v>
      </c>
      <c r="AH34" s="316">
        <v>1</v>
      </c>
      <c r="AI34" s="316">
        <v>1</v>
      </c>
      <c r="AJ34" s="316">
        <v>1</v>
      </c>
      <c r="AK34" s="316">
        <v>1</v>
      </c>
      <c r="AL34" s="316">
        <v>1</v>
      </c>
      <c r="AM34" s="316">
        <v>1</v>
      </c>
      <c r="AN34" s="316">
        <v>1</v>
      </c>
      <c r="AO34" s="316">
        <v>1</v>
      </c>
      <c r="AP34" s="316">
        <v>1</v>
      </c>
      <c r="AQ34" s="316">
        <v>1</v>
      </c>
      <c r="AR34" s="316">
        <v>1</v>
      </c>
      <c r="AS34" s="316">
        <v>1</v>
      </c>
      <c r="AT34" s="316">
        <v>1</v>
      </c>
    </row>
    <row r="35" spans="2:46" ht="12.75" hidden="1" customHeight="1" x14ac:dyDescent="0.15">
      <c r="B35" s="315">
        <v>1185</v>
      </c>
      <c r="C35" s="313" t="s">
        <v>1791</v>
      </c>
      <c r="D35" s="313" t="s">
        <v>101</v>
      </c>
      <c r="E35" s="313" t="s">
        <v>1801</v>
      </c>
      <c r="F35" s="319" t="s">
        <v>1709</v>
      </c>
      <c r="G35" s="315" t="e">
        <f>_xlfn.XLOOKUP(B35,'WFP Details - 2026'!A:A,'WFP Details - 2026'!Z:Z)</f>
        <v>#N/A</v>
      </c>
      <c r="H35" s="314">
        <v>46645</v>
      </c>
      <c r="I35" s="315">
        <v>9</v>
      </c>
      <c r="J35" s="315">
        <v>2027</v>
      </c>
      <c r="K35" s="316">
        <v>0</v>
      </c>
      <c r="L35" s="316">
        <v>0</v>
      </c>
      <c r="M35" s="316">
        <v>0</v>
      </c>
      <c r="N35" s="316">
        <v>0</v>
      </c>
      <c r="O35" s="316">
        <v>0</v>
      </c>
      <c r="P35" s="316">
        <v>0</v>
      </c>
      <c r="Q35" s="316">
        <v>0</v>
      </c>
      <c r="R35" s="316">
        <v>0</v>
      </c>
      <c r="S35" s="316">
        <v>0</v>
      </c>
      <c r="T35" s="316">
        <v>0</v>
      </c>
      <c r="U35" s="316">
        <v>0</v>
      </c>
      <c r="V35" s="316">
        <v>0</v>
      </c>
      <c r="W35" s="316">
        <v>0</v>
      </c>
      <c r="X35" s="316">
        <v>0</v>
      </c>
      <c r="Y35" s="316">
        <v>0</v>
      </c>
      <c r="Z35" s="316">
        <v>0</v>
      </c>
      <c r="AA35" s="316">
        <v>0</v>
      </c>
      <c r="AB35" s="316">
        <v>0</v>
      </c>
      <c r="AC35" s="316">
        <v>0</v>
      </c>
      <c r="AD35" s="316">
        <v>0</v>
      </c>
      <c r="AE35" s="316">
        <v>1</v>
      </c>
      <c r="AF35" s="316">
        <v>1</v>
      </c>
      <c r="AG35" s="316">
        <v>1</v>
      </c>
      <c r="AH35" s="316">
        <v>1</v>
      </c>
      <c r="AI35" s="316">
        <v>1</v>
      </c>
      <c r="AJ35" s="316">
        <v>1</v>
      </c>
      <c r="AK35" s="316">
        <v>1</v>
      </c>
      <c r="AL35" s="316">
        <v>1</v>
      </c>
      <c r="AM35" s="316">
        <v>1</v>
      </c>
      <c r="AN35" s="316">
        <v>1</v>
      </c>
      <c r="AO35" s="316">
        <v>1</v>
      </c>
      <c r="AP35" s="316">
        <v>1</v>
      </c>
      <c r="AQ35" s="316">
        <v>1</v>
      </c>
      <c r="AR35" s="316">
        <v>1</v>
      </c>
      <c r="AS35" s="316">
        <v>1</v>
      </c>
      <c r="AT35" s="316">
        <v>1</v>
      </c>
    </row>
    <row r="36" spans="2:46" ht="12.75" hidden="1" customHeight="1" x14ac:dyDescent="0.15">
      <c r="B36" s="315">
        <v>1190</v>
      </c>
      <c r="C36" s="313" t="s">
        <v>1791</v>
      </c>
      <c r="D36" s="313" t="s">
        <v>101</v>
      </c>
      <c r="E36" s="313" t="s">
        <v>1794</v>
      </c>
      <c r="F36" s="319" t="s">
        <v>1716</v>
      </c>
      <c r="G36" s="315" t="e">
        <f>_xlfn.XLOOKUP(B36,'WFP Details - 2026'!A:A,'WFP Details - 2026'!Z:Z)</f>
        <v>#N/A</v>
      </c>
      <c r="H36" s="314">
        <v>46645</v>
      </c>
      <c r="I36" s="315">
        <v>9</v>
      </c>
      <c r="J36" s="315">
        <v>2027</v>
      </c>
      <c r="K36" s="316">
        <v>0</v>
      </c>
      <c r="L36" s="316">
        <v>0</v>
      </c>
      <c r="M36" s="316">
        <v>0</v>
      </c>
      <c r="N36" s="316">
        <v>0</v>
      </c>
      <c r="O36" s="316">
        <v>0</v>
      </c>
      <c r="P36" s="316">
        <v>0</v>
      </c>
      <c r="Q36" s="316">
        <v>0</v>
      </c>
      <c r="R36" s="316">
        <v>0</v>
      </c>
      <c r="S36" s="316">
        <v>0</v>
      </c>
      <c r="T36" s="316">
        <v>0</v>
      </c>
      <c r="U36" s="316">
        <v>0</v>
      </c>
      <c r="V36" s="316">
        <v>0</v>
      </c>
      <c r="W36" s="316">
        <v>0</v>
      </c>
      <c r="X36" s="316">
        <v>0</v>
      </c>
      <c r="Y36" s="316">
        <v>0</v>
      </c>
      <c r="Z36" s="316">
        <v>0</v>
      </c>
      <c r="AA36" s="316">
        <v>0</v>
      </c>
      <c r="AB36" s="316">
        <v>0</v>
      </c>
      <c r="AC36" s="316">
        <v>0</v>
      </c>
      <c r="AD36" s="316">
        <v>0</v>
      </c>
      <c r="AE36" s="316">
        <v>1</v>
      </c>
      <c r="AF36" s="316">
        <v>1</v>
      </c>
      <c r="AG36" s="316">
        <v>1</v>
      </c>
      <c r="AH36" s="316">
        <v>1</v>
      </c>
      <c r="AI36" s="316">
        <v>1</v>
      </c>
      <c r="AJ36" s="316">
        <v>1</v>
      </c>
      <c r="AK36" s="316">
        <v>1</v>
      </c>
      <c r="AL36" s="316">
        <v>1</v>
      </c>
      <c r="AM36" s="316">
        <v>1</v>
      </c>
      <c r="AN36" s="316">
        <v>1</v>
      </c>
      <c r="AO36" s="316">
        <v>1</v>
      </c>
      <c r="AP36" s="316">
        <v>1</v>
      </c>
      <c r="AQ36" s="316">
        <v>1</v>
      </c>
      <c r="AR36" s="316">
        <v>1</v>
      </c>
      <c r="AS36" s="316">
        <v>1</v>
      </c>
      <c r="AT36" s="316">
        <v>1</v>
      </c>
    </row>
    <row r="37" spans="2:46" ht="12.75" hidden="1" customHeight="1" x14ac:dyDescent="0.15">
      <c r="B37" s="315">
        <v>1188</v>
      </c>
      <c r="C37" s="313" t="s">
        <v>1791</v>
      </c>
      <c r="D37" s="313" t="s">
        <v>101</v>
      </c>
      <c r="E37" s="313" t="s">
        <v>1794</v>
      </c>
      <c r="F37" s="319" t="s">
        <v>1719</v>
      </c>
      <c r="G37" s="315" t="e">
        <f>_xlfn.XLOOKUP(B37,'WFP Details - 2026'!A:A,'WFP Details - 2026'!Z:Z)</f>
        <v>#N/A</v>
      </c>
      <c r="H37" s="314">
        <v>46645</v>
      </c>
      <c r="I37" s="315">
        <v>9</v>
      </c>
      <c r="J37" s="315">
        <v>2027</v>
      </c>
      <c r="K37" s="316">
        <v>0</v>
      </c>
      <c r="L37" s="316">
        <v>0</v>
      </c>
      <c r="M37" s="316">
        <v>0</v>
      </c>
      <c r="N37" s="316">
        <v>0</v>
      </c>
      <c r="O37" s="316">
        <v>0</v>
      </c>
      <c r="P37" s="316">
        <v>0</v>
      </c>
      <c r="Q37" s="316">
        <v>0</v>
      </c>
      <c r="R37" s="316">
        <v>0</v>
      </c>
      <c r="S37" s="316">
        <v>0</v>
      </c>
      <c r="T37" s="316">
        <v>0</v>
      </c>
      <c r="U37" s="316">
        <v>0</v>
      </c>
      <c r="V37" s="316">
        <v>0</v>
      </c>
      <c r="W37" s="316">
        <v>0</v>
      </c>
      <c r="X37" s="316">
        <v>0</v>
      </c>
      <c r="Y37" s="316">
        <v>0</v>
      </c>
      <c r="Z37" s="316">
        <v>0</v>
      </c>
      <c r="AA37" s="316">
        <v>0</v>
      </c>
      <c r="AB37" s="316">
        <v>0</v>
      </c>
      <c r="AC37" s="316">
        <v>0</v>
      </c>
      <c r="AD37" s="316">
        <v>0</v>
      </c>
      <c r="AE37" s="316">
        <v>1</v>
      </c>
      <c r="AF37" s="316">
        <v>1</v>
      </c>
      <c r="AG37" s="316">
        <v>1</v>
      </c>
      <c r="AH37" s="316">
        <v>1</v>
      </c>
      <c r="AI37" s="316">
        <v>1</v>
      </c>
      <c r="AJ37" s="316">
        <v>1</v>
      </c>
      <c r="AK37" s="316">
        <v>1</v>
      </c>
      <c r="AL37" s="316">
        <v>1</v>
      </c>
      <c r="AM37" s="316">
        <v>1</v>
      </c>
      <c r="AN37" s="316">
        <v>1</v>
      </c>
      <c r="AO37" s="316">
        <v>1</v>
      </c>
      <c r="AP37" s="316">
        <v>1</v>
      </c>
      <c r="AQ37" s="316">
        <v>1</v>
      </c>
      <c r="AR37" s="316">
        <v>1</v>
      </c>
      <c r="AS37" s="316">
        <v>1</v>
      </c>
      <c r="AT37" s="316">
        <v>1</v>
      </c>
    </row>
    <row r="38" spans="2:46" ht="12.75" hidden="1" customHeight="1" x14ac:dyDescent="0.15">
      <c r="B38" s="315">
        <v>5270</v>
      </c>
      <c r="C38" s="313" t="s">
        <v>1791</v>
      </c>
      <c r="D38" s="313" t="s">
        <v>101</v>
      </c>
      <c r="E38" s="313" t="s">
        <v>1793</v>
      </c>
      <c r="F38" s="319" t="s">
        <v>973</v>
      </c>
      <c r="G38" s="315" t="e">
        <f>_xlfn.XLOOKUP(B38,'WFP Details - 2026'!A:A,'WFP Details - 2026'!Z:Z)</f>
        <v>#N/A</v>
      </c>
      <c r="H38" s="314">
        <v>46645</v>
      </c>
      <c r="I38" s="315">
        <v>9</v>
      </c>
      <c r="J38" s="315">
        <v>2027</v>
      </c>
      <c r="K38" s="316">
        <v>0</v>
      </c>
      <c r="L38" s="316">
        <v>0</v>
      </c>
      <c r="M38" s="316">
        <v>0</v>
      </c>
      <c r="N38" s="316">
        <v>0</v>
      </c>
      <c r="O38" s="316">
        <v>0</v>
      </c>
      <c r="P38" s="316">
        <v>0</v>
      </c>
      <c r="Q38" s="316">
        <v>0</v>
      </c>
      <c r="R38" s="316">
        <v>0</v>
      </c>
      <c r="S38" s="316">
        <v>0</v>
      </c>
      <c r="T38" s="316">
        <v>0</v>
      </c>
      <c r="U38" s="316">
        <v>0</v>
      </c>
      <c r="V38" s="316">
        <v>0</v>
      </c>
      <c r="W38" s="316">
        <v>0</v>
      </c>
      <c r="X38" s="316">
        <v>0</v>
      </c>
      <c r="Y38" s="316">
        <v>0</v>
      </c>
      <c r="Z38" s="316">
        <v>0</v>
      </c>
      <c r="AA38" s="316">
        <v>0</v>
      </c>
      <c r="AB38" s="316">
        <v>0</v>
      </c>
      <c r="AC38" s="316">
        <v>0</v>
      </c>
      <c r="AD38" s="316">
        <v>0</v>
      </c>
      <c r="AE38" s="316">
        <v>1</v>
      </c>
      <c r="AF38" s="316">
        <v>1</v>
      </c>
      <c r="AG38" s="316">
        <v>1</v>
      </c>
      <c r="AH38" s="316">
        <v>1</v>
      </c>
      <c r="AI38" s="316">
        <v>1</v>
      </c>
      <c r="AJ38" s="316">
        <v>1</v>
      </c>
      <c r="AK38" s="316">
        <v>1</v>
      </c>
      <c r="AL38" s="316">
        <v>1</v>
      </c>
      <c r="AM38" s="316">
        <v>1</v>
      </c>
      <c r="AN38" s="316">
        <v>1</v>
      </c>
      <c r="AO38" s="316">
        <v>1</v>
      </c>
      <c r="AP38" s="316">
        <v>1</v>
      </c>
      <c r="AQ38" s="316">
        <v>1</v>
      </c>
      <c r="AR38" s="316">
        <v>1</v>
      </c>
      <c r="AS38" s="316">
        <v>1</v>
      </c>
      <c r="AT38" s="316">
        <v>1</v>
      </c>
    </row>
    <row r="39" spans="2:46" ht="12.75" hidden="1" customHeight="1" x14ac:dyDescent="0.15">
      <c r="B39" s="315">
        <v>5272</v>
      </c>
      <c r="C39" s="313" t="s">
        <v>1791</v>
      </c>
      <c r="D39" s="313" t="s">
        <v>101</v>
      </c>
      <c r="E39" s="313" t="s">
        <v>1801</v>
      </c>
      <c r="F39" s="319" t="s">
        <v>946</v>
      </c>
      <c r="G39" s="315" t="e">
        <f>_xlfn.XLOOKUP(B39,'WFP Details - 2026'!A:A,'WFP Details - 2026'!Z:Z)</f>
        <v>#N/A</v>
      </c>
      <c r="H39" s="314">
        <v>46645</v>
      </c>
      <c r="I39" s="315">
        <v>9</v>
      </c>
      <c r="J39" s="315">
        <v>2027</v>
      </c>
      <c r="K39" s="316">
        <v>0</v>
      </c>
      <c r="L39" s="316">
        <v>0</v>
      </c>
      <c r="M39" s="316">
        <v>0</v>
      </c>
      <c r="N39" s="316">
        <v>0</v>
      </c>
      <c r="O39" s="316">
        <v>0</v>
      </c>
      <c r="P39" s="316">
        <v>0</v>
      </c>
      <c r="Q39" s="316">
        <v>0</v>
      </c>
      <c r="R39" s="316">
        <v>0</v>
      </c>
      <c r="S39" s="316">
        <v>0</v>
      </c>
      <c r="T39" s="316">
        <v>0</v>
      </c>
      <c r="U39" s="316">
        <v>0</v>
      </c>
      <c r="V39" s="316">
        <v>0</v>
      </c>
      <c r="W39" s="316">
        <v>0</v>
      </c>
      <c r="X39" s="316">
        <v>0</v>
      </c>
      <c r="Y39" s="316">
        <v>0</v>
      </c>
      <c r="Z39" s="316">
        <v>0</v>
      </c>
      <c r="AA39" s="316">
        <v>0</v>
      </c>
      <c r="AB39" s="316">
        <v>0</v>
      </c>
      <c r="AC39" s="316">
        <v>0</v>
      </c>
      <c r="AD39" s="316">
        <v>0</v>
      </c>
      <c r="AE39" s="316">
        <v>1</v>
      </c>
      <c r="AF39" s="316">
        <v>1</v>
      </c>
      <c r="AG39" s="316">
        <v>1</v>
      </c>
      <c r="AH39" s="316">
        <v>1</v>
      </c>
      <c r="AI39" s="316">
        <v>1</v>
      </c>
      <c r="AJ39" s="316">
        <v>1</v>
      </c>
      <c r="AK39" s="316">
        <v>1</v>
      </c>
      <c r="AL39" s="316">
        <v>1</v>
      </c>
      <c r="AM39" s="316">
        <v>1</v>
      </c>
      <c r="AN39" s="316">
        <v>1</v>
      </c>
      <c r="AO39" s="316">
        <v>1</v>
      </c>
      <c r="AP39" s="316">
        <v>1</v>
      </c>
      <c r="AQ39" s="316">
        <v>1</v>
      </c>
      <c r="AR39" s="316">
        <v>1</v>
      </c>
      <c r="AS39" s="316">
        <v>1</v>
      </c>
      <c r="AT39" s="316">
        <v>1</v>
      </c>
    </row>
    <row r="40" spans="2:46" ht="12.75" hidden="1" customHeight="1" x14ac:dyDescent="0.15">
      <c r="B40" s="315">
        <v>5273</v>
      </c>
      <c r="C40" s="313" t="s">
        <v>1791</v>
      </c>
      <c r="D40" s="313" t="s">
        <v>101</v>
      </c>
      <c r="E40" s="313" t="s">
        <v>1801</v>
      </c>
      <c r="F40" s="319" t="s">
        <v>1722</v>
      </c>
      <c r="G40" s="315" t="e">
        <f>_xlfn.XLOOKUP(B40,'WFP Details - 2026'!A:A,'WFP Details - 2026'!Z:Z)</f>
        <v>#N/A</v>
      </c>
      <c r="H40" s="314">
        <v>46645</v>
      </c>
      <c r="I40" s="315">
        <v>9</v>
      </c>
      <c r="J40" s="315">
        <v>2027</v>
      </c>
      <c r="K40" s="316">
        <v>0</v>
      </c>
      <c r="L40" s="316">
        <v>0</v>
      </c>
      <c r="M40" s="316">
        <v>0</v>
      </c>
      <c r="N40" s="316">
        <v>0</v>
      </c>
      <c r="O40" s="316">
        <v>0</v>
      </c>
      <c r="P40" s="316">
        <v>0</v>
      </c>
      <c r="Q40" s="316">
        <v>0</v>
      </c>
      <c r="R40" s="316">
        <v>0</v>
      </c>
      <c r="S40" s="316">
        <v>0</v>
      </c>
      <c r="T40" s="316">
        <v>0</v>
      </c>
      <c r="U40" s="316">
        <v>0</v>
      </c>
      <c r="V40" s="316">
        <v>0</v>
      </c>
      <c r="W40" s="316">
        <v>0</v>
      </c>
      <c r="X40" s="316">
        <v>0</v>
      </c>
      <c r="Y40" s="316">
        <v>0</v>
      </c>
      <c r="Z40" s="316">
        <v>0</v>
      </c>
      <c r="AA40" s="316">
        <v>0</v>
      </c>
      <c r="AB40" s="316">
        <v>0</v>
      </c>
      <c r="AC40" s="316">
        <v>0</v>
      </c>
      <c r="AD40" s="316">
        <v>0</v>
      </c>
      <c r="AE40" s="316">
        <v>1</v>
      </c>
      <c r="AF40" s="316">
        <v>1</v>
      </c>
      <c r="AG40" s="316">
        <v>1</v>
      </c>
      <c r="AH40" s="316">
        <v>1</v>
      </c>
      <c r="AI40" s="316">
        <v>1</v>
      </c>
      <c r="AJ40" s="316">
        <v>1</v>
      </c>
      <c r="AK40" s="316">
        <v>1</v>
      </c>
      <c r="AL40" s="316">
        <v>1</v>
      </c>
      <c r="AM40" s="316">
        <v>1</v>
      </c>
      <c r="AN40" s="316">
        <v>1</v>
      </c>
      <c r="AO40" s="316">
        <v>1</v>
      </c>
      <c r="AP40" s="316">
        <v>1</v>
      </c>
      <c r="AQ40" s="316">
        <v>1</v>
      </c>
      <c r="AR40" s="316">
        <v>1</v>
      </c>
      <c r="AS40" s="316">
        <v>1</v>
      </c>
      <c r="AT40" s="316">
        <v>1</v>
      </c>
    </row>
    <row r="41" spans="2:46" ht="12.75" hidden="1" customHeight="1" x14ac:dyDescent="0.15">
      <c r="B41" s="315">
        <v>5273</v>
      </c>
      <c r="C41" s="313" t="s">
        <v>1791</v>
      </c>
      <c r="D41" s="313" t="s">
        <v>101</v>
      </c>
      <c r="E41" s="313" t="s">
        <v>1794</v>
      </c>
      <c r="F41" s="319" t="s">
        <v>1726</v>
      </c>
      <c r="G41" s="315" t="e">
        <f>_xlfn.XLOOKUP(B41,'WFP Details - 2026'!A:A,'WFP Details - 2026'!Z:Z)</f>
        <v>#N/A</v>
      </c>
      <c r="H41" s="314">
        <v>46645</v>
      </c>
      <c r="I41" s="315">
        <v>9</v>
      </c>
      <c r="J41" s="315">
        <v>2027</v>
      </c>
      <c r="K41" s="316">
        <v>0</v>
      </c>
      <c r="L41" s="316">
        <v>0</v>
      </c>
      <c r="M41" s="316">
        <v>0</v>
      </c>
      <c r="N41" s="316">
        <v>0</v>
      </c>
      <c r="O41" s="316">
        <v>0</v>
      </c>
      <c r="P41" s="316">
        <v>0</v>
      </c>
      <c r="Q41" s="316">
        <v>0</v>
      </c>
      <c r="R41" s="316">
        <v>0</v>
      </c>
      <c r="S41" s="316">
        <v>0</v>
      </c>
      <c r="T41" s="316">
        <v>0</v>
      </c>
      <c r="U41" s="316">
        <v>0</v>
      </c>
      <c r="V41" s="316">
        <v>0</v>
      </c>
      <c r="W41" s="316">
        <v>0</v>
      </c>
      <c r="X41" s="316">
        <v>0</v>
      </c>
      <c r="Y41" s="316">
        <v>0</v>
      </c>
      <c r="Z41" s="316">
        <v>0</v>
      </c>
      <c r="AA41" s="316">
        <v>0</v>
      </c>
      <c r="AB41" s="316">
        <v>0</v>
      </c>
      <c r="AC41" s="316">
        <v>0</v>
      </c>
      <c r="AD41" s="316">
        <v>0</v>
      </c>
      <c r="AE41" s="316">
        <v>1</v>
      </c>
      <c r="AF41" s="316">
        <v>1</v>
      </c>
      <c r="AG41" s="316">
        <v>1</v>
      </c>
      <c r="AH41" s="316">
        <v>1</v>
      </c>
      <c r="AI41" s="316">
        <v>1</v>
      </c>
      <c r="AJ41" s="316">
        <v>1</v>
      </c>
      <c r="AK41" s="316">
        <v>1</v>
      </c>
      <c r="AL41" s="316">
        <v>1</v>
      </c>
      <c r="AM41" s="316">
        <v>1</v>
      </c>
      <c r="AN41" s="316">
        <v>1</v>
      </c>
      <c r="AO41" s="316">
        <v>1</v>
      </c>
      <c r="AP41" s="316">
        <v>1</v>
      </c>
      <c r="AQ41" s="316">
        <v>1</v>
      </c>
      <c r="AR41" s="316">
        <v>1</v>
      </c>
      <c r="AS41" s="316">
        <v>1</v>
      </c>
      <c r="AT41" s="316">
        <v>1</v>
      </c>
    </row>
    <row r="42" spans="2:46" ht="12.75" hidden="1" customHeight="1" x14ac:dyDescent="0.15">
      <c r="B42" s="315">
        <v>5288</v>
      </c>
      <c r="C42" s="313" t="s">
        <v>1791</v>
      </c>
      <c r="D42" s="313" t="s">
        <v>101</v>
      </c>
      <c r="E42" s="313" t="s">
        <v>1794</v>
      </c>
      <c r="F42" s="319" t="s">
        <v>976</v>
      </c>
      <c r="G42" s="315" t="e">
        <f>_xlfn.XLOOKUP(B42,'WFP Details - 2026'!A:A,'WFP Details - 2026'!Z:Z)</f>
        <v>#N/A</v>
      </c>
      <c r="H42" s="314">
        <v>46645</v>
      </c>
      <c r="I42" s="315">
        <v>9</v>
      </c>
      <c r="J42" s="315">
        <v>2027</v>
      </c>
      <c r="K42" s="316">
        <v>0</v>
      </c>
      <c r="L42" s="316">
        <v>0</v>
      </c>
      <c r="M42" s="316">
        <v>0</v>
      </c>
      <c r="N42" s="316">
        <v>0</v>
      </c>
      <c r="O42" s="316">
        <v>0</v>
      </c>
      <c r="P42" s="316">
        <v>0</v>
      </c>
      <c r="Q42" s="316">
        <v>0</v>
      </c>
      <c r="R42" s="316">
        <v>0</v>
      </c>
      <c r="S42" s="316">
        <v>0</v>
      </c>
      <c r="T42" s="316">
        <v>0</v>
      </c>
      <c r="U42" s="316">
        <v>0</v>
      </c>
      <c r="V42" s="316">
        <v>0</v>
      </c>
      <c r="W42" s="316">
        <v>0</v>
      </c>
      <c r="X42" s="316">
        <v>0</v>
      </c>
      <c r="Y42" s="316">
        <v>0</v>
      </c>
      <c r="Z42" s="316">
        <v>0</v>
      </c>
      <c r="AA42" s="316">
        <v>0</v>
      </c>
      <c r="AB42" s="316">
        <v>0</v>
      </c>
      <c r="AC42" s="316">
        <v>0</v>
      </c>
      <c r="AD42" s="316">
        <v>0</v>
      </c>
      <c r="AE42" s="316">
        <v>1</v>
      </c>
      <c r="AF42" s="316">
        <v>1</v>
      </c>
      <c r="AG42" s="316">
        <v>1</v>
      </c>
      <c r="AH42" s="316">
        <v>1</v>
      </c>
      <c r="AI42" s="316">
        <v>1</v>
      </c>
      <c r="AJ42" s="316">
        <v>1</v>
      </c>
      <c r="AK42" s="316">
        <v>1</v>
      </c>
      <c r="AL42" s="316">
        <v>1</v>
      </c>
      <c r="AM42" s="316">
        <v>1</v>
      </c>
      <c r="AN42" s="316">
        <v>1</v>
      </c>
      <c r="AO42" s="316">
        <v>1</v>
      </c>
      <c r="AP42" s="316">
        <v>1</v>
      </c>
      <c r="AQ42" s="316">
        <v>1</v>
      </c>
      <c r="AR42" s="316">
        <v>1</v>
      </c>
      <c r="AS42" s="316">
        <v>1</v>
      </c>
      <c r="AT42" s="316">
        <v>1</v>
      </c>
    </row>
    <row r="43" spans="2:46" ht="12.75" hidden="1" customHeight="1" x14ac:dyDescent="0.15">
      <c r="B43" s="315">
        <v>5278</v>
      </c>
      <c r="C43" s="313" t="s">
        <v>1791</v>
      </c>
      <c r="D43" s="313" t="s">
        <v>101</v>
      </c>
      <c r="E43" s="313" t="s">
        <v>1801</v>
      </c>
      <c r="F43" s="319" t="s">
        <v>924</v>
      </c>
      <c r="G43" s="315" t="e">
        <f>_xlfn.XLOOKUP(B43,'WFP Details - 2026'!A:A,'WFP Details - 2026'!Z:Z)</f>
        <v>#N/A</v>
      </c>
      <c r="H43" s="314">
        <v>46736</v>
      </c>
      <c r="I43" s="315">
        <v>12</v>
      </c>
      <c r="J43" s="315">
        <v>2027</v>
      </c>
      <c r="K43" s="316">
        <v>0</v>
      </c>
      <c r="L43" s="316">
        <v>0</v>
      </c>
      <c r="M43" s="316">
        <v>0</v>
      </c>
      <c r="N43" s="316">
        <v>0</v>
      </c>
      <c r="O43" s="316">
        <v>0</v>
      </c>
      <c r="P43" s="316">
        <v>0</v>
      </c>
      <c r="Q43" s="316">
        <v>0</v>
      </c>
      <c r="R43" s="316">
        <v>0</v>
      </c>
      <c r="S43" s="316">
        <v>0</v>
      </c>
      <c r="T43" s="316">
        <v>0</v>
      </c>
      <c r="U43" s="316">
        <v>0</v>
      </c>
      <c r="V43" s="316">
        <v>0</v>
      </c>
      <c r="W43" s="316">
        <v>0</v>
      </c>
      <c r="X43" s="316">
        <v>0</v>
      </c>
      <c r="Y43" s="316">
        <v>0</v>
      </c>
      <c r="Z43" s="316">
        <v>0</v>
      </c>
      <c r="AA43" s="316">
        <v>0</v>
      </c>
      <c r="AB43" s="316">
        <v>0</v>
      </c>
      <c r="AC43" s="316">
        <v>0</v>
      </c>
      <c r="AD43" s="316">
        <v>0</v>
      </c>
      <c r="AE43" s="316">
        <v>0</v>
      </c>
      <c r="AF43" s="316">
        <v>0</v>
      </c>
      <c r="AG43" s="316">
        <v>0</v>
      </c>
      <c r="AH43" s="316">
        <v>1</v>
      </c>
      <c r="AI43" s="316">
        <v>1</v>
      </c>
      <c r="AJ43" s="316">
        <v>1</v>
      </c>
      <c r="AK43" s="316">
        <v>1</v>
      </c>
      <c r="AL43" s="316">
        <v>1</v>
      </c>
      <c r="AM43" s="316">
        <v>1</v>
      </c>
      <c r="AN43" s="316">
        <v>1</v>
      </c>
      <c r="AO43" s="316">
        <v>1</v>
      </c>
      <c r="AP43" s="316">
        <v>1</v>
      </c>
      <c r="AQ43" s="316">
        <v>1</v>
      </c>
      <c r="AR43" s="316">
        <v>1</v>
      </c>
      <c r="AS43" s="316">
        <v>1</v>
      </c>
      <c r="AT43" s="316">
        <v>1</v>
      </c>
    </row>
    <row r="44" spans="2:46" ht="12.75" hidden="1" customHeight="1" x14ac:dyDescent="0.15">
      <c r="B44" s="315">
        <v>5279</v>
      </c>
      <c r="C44" s="313" t="s">
        <v>1791</v>
      </c>
      <c r="D44" s="313" t="s">
        <v>101</v>
      </c>
      <c r="E44" s="313" t="s">
        <v>1794</v>
      </c>
      <c r="F44" s="319" t="s">
        <v>976</v>
      </c>
      <c r="G44" s="315" t="e">
        <f>_xlfn.XLOOKUP(B44,'WFP Details - 2026'!A:A,'WFP Details - 2026'!Z:Z)</f>
        <v>#N/A</v>
      </c>
      <c r="H44" s="314">
        <v>46736</v>
      </c>
      <c r="I44" s="315">
        <v>12</v>
      </c>
      <c r="J44" s="315">
        <v>2027</v>
      </c>
      <c r="K44" s="316">
        <v>0</v>
      </c>
      <c r="L44" s="316">
        <v>0</v>
      </c>
      <c r="M44" s="316">
        <v>0</v>
      </c>
      <c r="N44" s="316">
        <v>0</v>
      </c>
      <c r="O44" s="316">
        <v>0</v>
      </c>
      <c r="P44" s="316">
        <v>0</v>
      </c>
      <c r="Q44" s="316">
        <v>0</v>
      </c>
      <c r="R44" s="316">
        <v>0</v>
      </c>
      <c r="S44" s="316">
        <v>0</v>
      </c>
      <c r="T44" s="316">
        <v>0</v>
      </c>
      <c r="U44" s="316">
        <v>0</v>
      </c>
      <c r="V44" s="316">
        <v>0</v>
      </c>
      <c r="W44" s="316">
        <v>0</v>
      </c>
      <c r="X44" s="316">
        <v>0</v>
      </c>
      <c r="Y44" s="316">
        <v>0</v>
      </c>
      <c r="Z44" s="316">
        <v>0</v>
      </c>
      <c r="AA44" s="316">
        <v>0</v>
      </c>
      <c r="AB44" s="316">
        <v>0</v>
      </c>
      <c r="AC44" s="316">
        <v>0</v>
      </c>
      <c r="AD44" s="316">
        <v>0</v>
      </c>
      <c r="AE44" s="316">
        <v>0</v>
      </c>
      <c r="AF44" s="316">
        <v>0</v>
      </c>
      <c r="AG44" s="316">
        <v>0</v>
      </c>
      <c r="AH44" s="316">
        <v>1</v>
      </c>
      <c r="AI44" s="316">
        <v>1</v>
      </c>
      <c r="AJ44" s="316">
        <v>1</v>
      </c>
      <c r="AK44" s="316">
        <v>1</v>
      </c>
      <c r="AL44" s="316">
        <v>1</v>
      </c>
      <c r="AM44" s="316">
        <v>1</v>
      </c>
      <c r="AN44" s="316">
        <v>1</v>
      </c>
      <c r="AO44" s="316">
        <v>1</v>
      </c>
      <c r="AP44" s="316">
        <v>1</v>
      </c>
      <c r="AQ44" s="316">
        <v>1</v>
      </c>
      <c r="AR44" s="316">
        <v>1</v>
      </c>
      <c r="AS44" s="316">
        <v>1</v>
      </c>
      <c r="AT44" s="316">
        <v>1</v>
      </c>
    </row>
    <row r="45" spans="2:46" ht="12.75" hidden="1" customHeight="1" x14ac:dyDescent="0.15">
      <c r="B45" s="315">
        <v>5285</v>
      </c>
      <c r="C45" s="313" t="s">
        <v>1791</v>
      </c>
      <c r="D45" s="313" t="s">
        <v>101</v>
      </c>
      <c r="E45" s="313" t="s">
        <v>1793</v>
      </c>
      <c r="F45" s="319" t="s">
        <v>1737</v>
      </c>
      <c r="G45" s="315" t="e">
        <f>_xlfn.XLOOKUP(B45,'WFP Details - 2026'!A:A,'WFP Details - 2026'!Z:Z)</f>
        <v>#N/A</v>
      </c>
      <c r="H45" s="314">
        <v>46736</v>
      </c>
      <c r="I45" s="315">
        <v>12</v>
      </c>
      <c r="J45" s="315">
        <v>2027</v>
      </c>
      <c r="K45" s="316">
        <v>0</v>
      </c>
      <c r="L45" s="316">
        <v>0</v>
      </c>
      <c r="M45" s="316">
        <v>0</v>
      </c>
      <c r="N45" s="316">
        <v>0</v>
      </c>
      <c r="O45" s="316">
        <v>0</v>
      </c>
      <c r="P45" s="316">
        <v>0</v>
      </c>
      <c r="Q45" s="316">
        <v>0</v>
      </c>
      <c r="R45" s="316">
        <v>0</v>
      </c>
      <c r="S45" s="316">
        <v>0</v>
      </c>
      <c r="T45" s="316">
        <v>0</v>
      </c>
      <c r="U45" s="316">
        <v>0</v>
      </c>
      <c r="V45" s="316">
        <v>0</v>
      </c>
      <c r="W45" s="316">
        <v>0</v>
      </c>
      <c r="X45" s="316">
        <v>0</v>
      </c>
      <c r="Y45" s="316">
        <v>0</v>
      </c>
      <c r="Z45" s="316">
        <v>0</v>
      </c>
      <c r="AA45" s="316">
        <v>0</v>
      </c>
      <c r="AB45" s="316">
        <v>0</v>
      </c>
      <c r="AC45" s="316">
        <v>0</v>
      </c>
      <c r="AD45" s="316">
        <v>0</v>
      </c>
      <c r="AE45" s="316">
        <v>0</v>
      </c>
      <c r="AF45" s="316">
        <v>0</v>
      </c>
      <c r="AG45" s="316">
        <v>0</v>
      </c>
      <c r="AH45" s="316">
        <v>1</v>
      </c>
      <c r="AI45" s="316">
        <v>1</v>
      </c>
      <c r="AJ45" s="316">
        <v>1</v>
      </c>
      <c r="AK45" s="316">
        <v>1</v>
      </c>
      <c r="AL45" s="316">
        <v>1</v>
      </c>
      <c r="AM45" s="316">
        <v>1</v>
      </c>
      <c r="AN45" s="316">
        <v>1</v>
      </c>
      <c r="AO45" s="316">
        <v>1</v>
      </c>
      <c r="AP45" s="316">
        <v>1</v>
      </c>
      <c r="AQ45" s="316">
        <v>1</v>
      </c>
      <c r="AR45" s="316">
        <v>1</v>
      </c>
      <c r="AS45" s="316">
        <v>1</v>
      </c>
      <c r="AT45" s="316">
        <v>1</v>
      </c>
    </row>
    <row r="46" spans="2:46" ht="12.75" hidden="1" customHeight="1" x14ac:dyDescent="0.15">
      <c r="B46" s="315">
        <v>5281</v>
      </c>
      <c r="C46" s="313" t="s">
        <v>1791</v>
      </c>
      <c r="D46" s="313" t="s">
        <v>101</v>
      </c>
      <c r="E46" s="313" t="s">
        <v>1801</v>
      </c>
      <c r="F46" s="319" t="s">
        <v>1739</v>
      </c>
      <c r="G46" s="315" t="e">
        <f>_xlfn.XLOOKUP(B46,'WFP Details - 2026'!A:A,'WFP Details - 2026'!Z:Z)</f>
        <v>#N/A</v>
      </c>
      <c r="H46" s="314">
        <v>46736</v>
      </c>
      <c r="I46" s="315">
        <v>12</v>
      </c>
      <c r="J46" s="315">
        <v>2027</v>
      </c>
      <c r="K46" s="316">
        <v>0</v>
      </c>
      <c r="L46" s="316">
        <v>0</v>
      </c>
      <c r="M46" s="316">
        <v>0</v>
      </c>
      <c r="N46" s="316">
        <v>0</v>
      </c>
      <c r="O46" s="316">
        <v>0</v>
      </c>
      <c r="P46" s="316">
        <v>0</v>
      </c>
      <c r="Q46" s="316">
        <v>0</v>
      </c>
      <c r="R46" s="316">
        <v>0</v>
      </c>
      <c r="S46" s="316">
        <v>0</v>
      </c>
      <c r="T46" s="316">
        <v>0</v>
      </c>
      <c r="U46" s="316">
        <v>0</v>
      </c>
      <c r="V46" s="316">
        <v>0</v>
      </c>
      <c r="W46" s="316">
        <v>0</v>
      </c>
      <c r="X46" s="316">
        <v>0</v>
      </c>
      <c r="Y46" s="316">
        <v>0</v>
      </c>
      <c r="Z46" s="316">
        <v>0</v>
      </c>
      <c r="AA46" s="316">
        <v>0</v>
      </c>
      <c r="AB46" s="316">
        <v>0</v>
      </c>
      <c r="AC46" s="316">
        <v>0</v>
      </c>
      <c r="AD46" s="316">
        <v>0</v>
      </c>
      <c r="AE46" s="316">
        <v>0</v>
      </c>
      <c r="AF46" s="316">
        <v>0</v>
      </c>
      <c r="AG46" s="316">
        <v>0</v>
      </c>
      <c r="AH46" s="316">
        <v>1</v>
      </c>
      <c r="AI46" s="316">
        <v>1</v>
      </c>
      <c r="AJ46" s="316">
        <v>1</v>
      </c>
      <c r="AK46" s="316">
        <v>1</v>
      </c>
      <c r="AL46" s="316">
        <v>1</v>
      </c>
      <c r="AM46" s="316">
        <v>1</v>
      </c>
      <c r="AN46" s="316">
        <v>1</v>
      </c>
      <c r="AO46" s="316">
        <v>1</v>
      </c>
      <c r="AP46" s="316">
        <v>1</v>
      </c>
      <c r="AQ46" s="316">
        <v>1</v>
      </c>
      <c r="AR46" s="316">
        <v>1</v>
      </c>
      <c r="AS46" s="316">
        <v>1</v>
      </c>
      <c r="AT46" s="316">
        <v>1</v>
      </c>
    </row>
    <row r="47" spans="2:46" ht="12.75" hidden="1" customHeight="1" x14ac:dyDescent="0.15">
      <c r="B47" s="312">
        <v>5280</v>
      </c>
      <c r="C47" s="313" t="s">
        <v>1791</v>
      </c>
      <c r="D47" s="313" t="s">
        <v>101</v>
      </c>
      <c r="E47" s="313" t="s">
        <v>1794</v>
      </c>
      <c r="F47" s="313" t="s">
        <v>976</v>
      </c>
      <c r="G47" s="315" t="e">
        <f>_xlfn.XLOOKUP(B47,'WFP Details - 2026'!A:A,'WFP Details - 2026'!Z:Z)</f>
        <v>#N/A</v>
      </c>
      <c r="H47" s="314">
        <v>46736</v>
      </c>
      <c r="I47" s="315">
        <v>12</v>
      </c>
      <c r="J47" s="315">
        <v>2027</v>
      </c>
      <c r="K47" s="316">
        <v>0</v>
      </c>
      <c r="L47" s="316">
        <v>0</v>
      </c>
      <c r="M47" s="316">
        <v>0</v>
      </c>
      <c r="N47" s="316">
        <v>0</v>
      </c>
      <c r="O47" s="316">
        <v>0</v>
      </c>
      <c r="P47" s="316">
        <v>0</v>
      </c>
      <c r="Q47" s="316">
        <v>0</v>
      </c>
      <c r="R47" s="316">
        <v>0</v>
      </c>
      <c r="S47" s="316">
        <v>0</v>
      </c>
      <c r="T47" s="316">
        <v>0</v>
      </c>
      <c r="U47" s="316">
        <v>0</v>
      </c>
      <c r="V47" s="316">
        <v>0</v>
      </c>
      <c r="W47" s="316">
        <v>0</v>
      </c>
      <c r="X47" s="316">
        <v>0</v>
      </c>
      <c r="Y47" s="316">
        <v>0</v>
      </c>
      <c r="Z47" s="316">
        <v>0</v>
      </c>
      <c r="AA47" s="316">
        <v>0</v>
      </c>
      <c r="AB47" s="316">
        <v>0</v>
      </c>
      <c r="AC47" s="316">
        <v>0</v>
      </c>
      <c r="AD47" s="316">
        <v>0</v>
      </c>
      <c r="AE47" s="316">
        <v>0</v>
      </c>
      <c r="AF47" s="316">
        <v>0</v>
      </c>
      <c r="AG47" s="316">
        <v>0</v>
      </c>
      <c r="AH47" s="316">
        <v>1</v>
      </c>
      <c r="AI47" s="316">
        <v>1</v>
      </c>
      <c r="AJ47" s="316">
        <v>1</v>
      </c>
      <c r="AK47" s="316">
        <v>1</v>
      </c>
      <c r="AL47" s="316">
        <v>1</v>
      </c>
      <c r="AM47" s="316">
        <v>1</v>
      </c>
      <c r="AN47" s="316">
        <v>1</v>
      </c>
      <c r="AO47" s="316">
        <v>1</v>
      </c>
      <c r="AP47" s="316">
        <v>1</v>
      </c>
      <c r="AQ47" s="316">
        <v>1</v>
      </c>
      <c r="AR47" s="316">
        <v>1</v>
      </c>
      <c r="AS47" s="316">
        <v>1</v>
      </c>
      <c r="AT47" s="316">
        <v>1</v>
      </c>
    </row>
    <row r="48" spans="2:46" ht="12.75" hidden="1" customHeight="1" x14ac:dyDescent="0.15">
      <c r="B48" s="315">
        <v>5282</v>
      </c>
      <c r="C48" s="313" t="s">
        <v>1791</v>
      </c>
      <c r="D48" s="313" t="s">
        <v>101</v>
      </c>
      <c r="E48" s="313" t="s">
        <v>1794</v>
      </c>
      <c r="F48" s="313" t="s">
        <v>1719</v>
      </c>
      <c r="G48" s="315" t="e">
        <f>_xlfn.XLOOKUP(B48,'WFP Details - 2026'!A:A,'WFP Details - 2026'!Z:Z)</f>
        <v>#N/A</v>
      </c>
      <c r="H48" s="314">
        <v>46736</v>
      </c>
      <c r="I48" s="315">
        <v>12</v>
      </c>
      <c r="J48" s="315">
        <v>2027</v>
      </c>
      <c r="K48" s="316">
        <v>0</v>
      </c>
      <c r="L48" s="316">
        <v>0</v>
      </c>
      <c r="M48" s="316">
        <v>0</v>
      </c>
      <c r="N48" s="316">
        <v>0</v>
      </c>
      <c r="O48" s="316">
        <v>0</v>
      </c>
      <c r="P48" s="316">
        <v>0</v>
      </c>
      <c r="Q48" s="316">
        <v>0</v>
      </c>
      <c r="R48" s="316">
        <v>0</v>
      </c>
      <c r="S48" s="316">
        <v>0</v>
      </c>
      <c r="T48" s="316">
        <v>0</v>
      </c>
      <c r="U48" s="316">
        <v>0</v>
      </c>
      <c r="V48" s="316">
        <v>0</v>
      </c>
      <c r="W48" s="316">
        <v>0</v>
      </c>
      <c r="X48" s="316">
        <v>0</v>
      </c>
      <c r="Y48" s="316">
        <v>0</v>
      </c>
      <c r="Z48" s="316">
        <v>0</v>
      </c>
      <c r="AA48" s="316">
        <v>0</v>
      </c>
      <c r="AB48" s="316">
        <v>0</v>
      </c>
      <c r="AC48" s="316">
        <v>0</v>
      </c>
      <c r="AD48" s="316">
        <v>0</v>
      </c>
      <c r="AE48" s="316">
        <v>0</v>
      </c>
      <c r="AF48" s="316">
        <v>0</v>
      </c>
      <c r="AG48" s="316">
        <v>0</v>
      </c>
      <c r="AH48" s="316">
        <v>1</v>
      </c>
      <c r="AI48" s="316">
        <v>1</v>
      </c>
      <c r="AJ48" s="316">
        <v>1</v>
      </c>
      <c r="AK48" s="316">
        <v>1</v>
      </c>
      <c r="AL48" s="316">
        <v>1</v>
      </c>
      <c r="AM48" s="316">
        <v>1</v>
      </c>
      <c r="AN48" s="316">
        <v>1</v>
      </c>
      <c r="AO48" s="316">
        <v>1</v>
      </c>
      <c r="AP48" s="316">
        <v>1</v>
      </c>
      <c r="AQ48" s="316">
        <v>1</v>
      </c>
      <c r="AR48" s="316">
        <v>1</v>
      </c>
      <c r="AS48" s="316">
        <v>1</v>
      </c>
      <c r="AT48" s="316">
        <v>1</v>
      </c>
    </row>
    <row r="49" spans="2:46" ht="12.75" hidden="1" customHeight="1" x14ac:dyDescent="0.15">
      <c r="B49" s="312">
        <v>5283</v>
      </c>
      <c r="C49" s="313" t="s">
        <v>1791</v>
      </c>
      <c r="D49" s="313" t="s">
        <v>101</v>
      </c>
      <c r="E49" s="313" t="s">
        <v>1801</v>
      </c>
      <c r="F49" s="313" t="s">
        <v>1744</v>
      </c>
      <c r="G49" s="315" t="e">
        <f>_xlfn.XLOOKUP(B49,'WFP Details - 2026'!A:A,'WFP Details - 2026'!Z:Z)</f>
        <v>#N/A</v>
      </c>
      <c r="H49" s="314">
        <v>46736</v>
      </c>
      <c r="I49" s="315">
        <v>12</v>
      </c>
      <c r="J49" s="315">
        <v>2027</v>
      </c>
      <c r="K49" s="316">
        <v>0</v>
      </c>
      <c r="L49" s="316">
        <v>0</v>
      </c>
      <c r="M49" s="316">
        <v>0</v>
      </c>
      <c r="N49" s="316">
        <v>0</v>
      </c>
      <c r="O49" s="316">
        <v>0</v>
      </c>
      <c r="P49" s="316">
        <v>0</v>
      </c>
      <c r="Q49" s="316">
        <v>0</v>
      </c>
      <c r="R49" s="316">
        <v>0</v>
      </c>
      <c r="S49" s="316">
        <v>0</v>
      </c>
      <c r="T49" s="316">
        <v>0</v>
      </c>
      <c r="U49" s="316">
        <v>0</v>
      </c>
      <c r="V49" s="316">
        <v>0</v>
      </c>
      <c r="W49" s="316">
        <v>0</v>
      </c>
      <c r="X49" s="316">
        <v>0</v>
      </c>
      <c r="Y49" s="316">
        <v>0</v>
      </c>
      <c r="Z49" s="316">
        <v>0</v>
      </c>
      <c r="AA49" s="316">
        <v>0</v>
      </c>
      <c r="AB49" s="316">
        <v>0</v>
      </c>
      <c r="AC49" s="316">
        <v>0</v>
      </c>
      <c r="AD49" s="316">
        <v>0</v>
      </c>
      <c r="AE49" s="316">
        <v>0</v>
      </c>
      <c r="AF49" s="316">
        <v>0</v>
      </c>
      <c r="AG49" s="316">
        <v>0</v>
      </c>
      <c r="AH49" s="316">
        <v>1</v>
      </c>
      <c r="AI49" s="316">
        <v>1</v>
      </c>
      <c r="AJ49" s="316">
        <v>1</v>
      </c>
      <c r="AK49" s="316">
        <v>1</v>
      </c>
      <c r="AL49" s="316">
        <v>1</v>
      </c>
      <c r="AM49" s="316">
        <v>1</v>
      </c>
      <c r="AN49" s="316">
        <v>1</v>
      </c>
      <c r="AO49" s="316">
        <v>1</v>
      </c>
      <c r="AP49" s="316">
        <v>1</v>
      </c>
      <c r="AQ49" s="316">
        <v>1</v>
      </c>
      <c r="AR49" s="316">
        <v>1</v>
      </c>
      <c r="AS49" s="316">
        <v>1</v>
      </c>
      <c r="AT49" s="316">
        <v>1</v>
      </c>
    </row>
    <row r="50" spans="2:46" ht="12.75" hidden="1" customHeight="1" x14ac:dyDescent="0.15">
      <c r="B50" s="318">
        <v>5289</v>
      </c>
      <c r="C50" s="313" t="s">
        <v>1791</v>
      </c>
      <c r="D50" s="313" t="s">
        <v>101</v>
      </c>
      <c r="E50" s="313" t="s">
        <v>1794</v>
      </c>
      <c r="F50" s="313" t="s">
        <v>976</v>
      </c>
      <c r="G50" s="315" t="e">
        <f>_xlfn.XLOOKUP(B50,'WFP Details - 2026'!A:A,'WFP Details - 2026'!Z:Z)</f>
        <v>#N/A</v>
      </c>
      <c r="H50" s="314">
        <v>46736</v>
      </c>
      <c r="I50" s="315">
        <v>12</v>
      </c>
      <c r="J50" s="315">
        <v>2027</v>
      </c>
      <c r="K50" s="316">
        <v>0</v>
      </c>
      <c r="L50" s="316">
        <v>0</v>
      </c>
      <c r="M50" s="316">
        <v>0</v>
      </c>
      <c r="N50" s="316">
        <v>0</v>
      </c>
      <c r="O50" s="316">
        <v>0</v>
      </c>
      <c r="P50" s="316">
        <v>0</v>
      </c>
      <c r="Q50" s="316">
        <v>0</v>
      </c>
      <c r="R50" s="316">
        <v>0</v>
      </c>
      <c r="S50" s="316">
        <v>0</v>
      </c>
      <c r="T50" s="316">
        <v>0</v>
      </c>
      <c r="U50" s="316">
        <v>0</v>
      </c>
      <c r="V50" s="316">
        <v>0</v>
      </c>
      <c r="W50" s="316">
        <v>0</v>
      </c>
      <c r="X50" s="316">
        <v>0</v>
      </c>
      <c r="Y50" s="316">
        <v>0</v>
      </c>
      <c r="Z50" s="316">
        <v>0</v>
      </c>
      <c r="AA50" s="316">
        <v>0</v>
      </c>
      <c r="AB50" s="316">
        <v>0</v>
      </c>
      <c r="AC50" s="316">
        <v>0</v>
      </c>
      <c r="AD50" s="316">
        <v>0</v>
      </c>
      <c r="AE50" s="316">
        <v>0</v>
      </c>
      <c r="AF50" s="316">
        <v>0</v>
      </c>
      <c r="AG50" s="316">
        <v>0</v>
      </c>
      <c r="AH50" s="316">
        <v>1</v>
      </c>
      <c r="AI50" s="316">
        <v>1</v>
      </c>
      <c r="AJ50" s="316">
        <v>1</v>
      </c>
      <c r="AK50" s="316">
        <v>1</v>
      </c>
      <c r="AL50" s="316">
        <v>1</v>
      </c>
      <c r="AM50" s="316">
        <v>1</v>
      </c>
      <c r="AN50" s="316">
        <v>1</v>
      </c>
      <c r="AO50" s="316">
        <v>1</v>
      </c>
      <c r="AP50" s="316">
        <v>1</v>
      </c>
      <c r="AQ50" s="316">
        <v>1</v>
      </c>
      <c r="AR50" s="316">
        <v>1</v>
      </c>
      <c r="AS50" s="316">
        <v>1</v>
      </c>
      <c r="AT50" s="316">
        <v>1</v>
      </c>
    </row>
    <row r="51" spans="2:46" ht="12.75" customHeight="1" x14ac:dyDescent="0.15">
      <c r="B51" s="327">
        <v>1168</v>
      </c>
      <c r="C51" s="313" t="s">
        <v>894</v>
      </c>
      <c r="D51" s="313" t="s">
        <v>898</v>
      </c>
      <c r="E51" s="313" t="s">
        <v>1792</v>
      </c>
      <c r="F51" s="313" t="s">
        <v>895</v>
      </c>
      <c r="G51" s="315" t="str">
        <f>_xlfn.XLOOKUP(B51,'WFP Details - 2026'!A:A,'WFP Details - 2026'!Z:Z)</f>
        <v>x</v>
      </c>
      <c r="H51" s="314">
        <v>45516</v>
      </c>
      <c r="I51" s="315">
        <v>8</v>
      </c>
      <c r="J51" s="315">
        <v>2024</v>
      </c>
      <c r="K51" s="316">
        <v>1</v>
      </c>
      <c r="L51" s="316">
        <v>1</v>
      </c>
      <c r="M51" s="316">
        <v>1</v>
      </c>
      <c r="N51" s="316">
        <v>1</v>
      </c>
      <c r="O51" s="316">
        <v>1</v>
      </c>
      <c r="P51" s="316">
        <v>1</v>
      </c>
      <c r="Q51" s="316">
        <v>1</v>
      </c>
      <c r="R51" s="316">
        <v>1</v>
      </c>
      <c r="S51" s="316">
        <v>1</v>
      </c>
      <c r="T51" s="316">
        <v>1</v>
      </c>
      <c r="U51" s="316">
        <v>1</v>
      </c>
      <c r="V51" s="316">
        <v>1</v>
      </c>
      <c r="W51" s="316">
        <v>1</v>
      </c>
      <c r="X51" s="316">
        <v>1</v>
      </c>
      <c r="Y51" s="316">
        <v>1</v>
      </c>
      <c r="Z51" s="316">
        <v>1</v>
      </c>
      <c r="AA51" s="316">
        <v>1</v>
      </c>
      <c r="AB51" s="316">
        <v>1</v>
      </c>
      <c r="AC51" s="316">
        <v>1</v>
      </c>
      <c r="AD51" s="316">
        <v>1</v>
      </c>
      <c r="AE51" s="316">
        <v>1</v>
      </c>
      <c r="AF51" s="316">
        <v>1</v>
      </c>
      <c r="AG51" s="316">
        <v>1</v>
      </c>
      <c r="AH51" s="316">
        <v>1</v>
      </c>
      <c r="AI51" s="316">
        <v>1</v>
      </c>
      <c r="AJ51" s="316">
        <v>1</v>
      </c>
      <c r="AK51" s="316">
        <v>1</v>
      </c>
      <c r="AL51" s="316">
        <v>1</v>
      </c>
      <c r="AM51" s="316">
        <v>1</v>
      </c>
      <c r="AN51" s="316">
        <v>1</v>
      </c>
      <c r="AO51" s="316">
        <v>1</v>
      </c>
      <c r="AP51" s="316">
        <v>1</v>
      </c>
      <c r="AQ51" s="316">
        <v>1</v>
      </c>
      <c r="AR51" s="316">
        <v>1</v>
      </c>
      <c r="AS51" s="316">
        <v>1</v>
      </c>
      <c r="AT51" s="316">
        <v>1</v>
      </c>
    </row>
    <row r="52" spans="2:46" ht="12.75" customHeight="1" x14ac:dyDescent="0.15">
      <c r="B52" s="328">
        <v>1167</v>
      </c>
      <c r="C52" s="313" t="s">
        <v>894</v>
      </c>
      <c r="D52" s="313" t="s">
        <v>928</v>
      </c>
      <c r="E52" s="313" t="s">
        <v>1793</v>
      </c>
      <c r="F52" s="319" t="s">
        <v>899</v>
      </c>
      <c r="G52" s="315" t="str">
        <f>_xlfn.XLOOKUP(B52,'WFP Details - 2026'!A:A,'WFP Details - 2026'!Z:Z)</f>
        <v>x</v>
      </c>
      <c r="H52" s="314">
        <v>45593</v>
      </c>
      <c r="I52" s="315">
        <v>10</v>
      </c>
      <c r="J52" s="315">
        <v>2024</v>
      </c>
      <c r="K52" s="316">
        <v>1</v>
      </c>
      <c r="L52" s="316">
        <v>1</v>
      </c>
      <c r="M52" s="316">
        <v>1</v>
      </c>
      <c r="N52" s="316">
        <v>1</v>
      </c>
      <c r="O52" s="316">
        <v>1</v>
      </c>
      <c r="P52" s="316">
        <v>1</v>
      </c>
      <c r="Q52" s="316">
        <v>1</v>
      </c>
      <c r="R52" s="316">
        <v>1</v>
      </c>
      <c r="S52" s="316">
        <v>1</v>
      </c>
      <c r="T52" s="316">
        <v>1</v>
      </c>
      <c r="U52" s="316">
        <v>1</v>
      </c>
      <c r="V52" s="316">
        <v>1</v>
      </c>
      <c r="W52" s="316">
        <v>1</v>
      </c>
      <c r="X52" s="316">
        <v>1</v>
      </c>
      <c r="Y52" s="316">
        <v>1</v>
      </c>
      <c r="Z52" s="316">
        <v>1</v>
      </c>
      <c r="AA52" s="316">
        <v>1</v>
      </c>
      <c r="AB52" s="316">
        <v>1</v>
      </c>
      <c r="AC52" s="316">
        <v>1</v>
      </c>
      <c r="AD52" s="316">
        <v>1</v>
      </c>
      <c r="AE52" s="316">
        <v>1</v>
      </c>
      <c r="AF52" s="316">
        <v>1</v>
      </c>
      <c r="AG52" s="316">
        <v>1</v>
      </c>
      <c r="AH52" s="316">
        <v>1</v>
      </c>
      <c r="AI52" s="316">
        <v>1</v>
      </c>
      <c r="AJ52" s="316">
        <v>1</v>
      </c>
      <c r="AK52" s="316">
        <v>1</v>
      </c>
      <c r="AL52" s="316">
        <v>1</v>
      </c>
      <c r="AM52" s="316">
        <v>1</v>
      </c>
      <c r="AN52" s="316">
        <v>1</v>
      </c>
      <c r="AO52" s="316">
        <v>1</v>
      </c>
      <c r="AP52" s="316">
        <v>1</v>
      </c>
      <c r="AQ52" s="316">
        <v>1</v>
      </c>
      <c r="AR52" s="316">
        <v>1</v>
      </c>
      <c r="AS52" s="316">
        <v>1</v>
      </c>
      <c r="AT52" s="316">
        <v>1</v>
      </c>
    </row>
    <row r="53" spans="2:46" ht="12.75" customHeight="1" x14ac:dyDescent="0.15">
      <c r="B53" s="328">
        <v>1165</v>
      </c>
      <c r="C53" s="313" t="s">
        <v>894</v>
      </c>
      <c r="D53" s="313" t="s">
        <v>911</v>
      </c>
      <c r="E53" s="313" t="s">
        <v>1805</v>
      </c>
      <c r="F53" s="319" t="s">
        <v>902</v>
      </c>
      <c r="G53" s="315" t="str">
        <f>_xlfn.XLOOKUP(B53,'WFP Details - 2026'!A:A,'WFP Details - 2026'!Z:Z)</f>
        <v>x</v>
      </c>
      <c r="H53" s="314">
        <v>45719</v>
      </c>
      <c r="I53" s="315">
        <v>3</v>
      </c>
      <c r="J53" s="315">
        <v>2025</v>
      </c>
      <c r="K53" s="316">
        <v>1</v>
      </c>
      <c r="L53" s="316">
        <v>1</v>
      </c>
      <c r="M53" s="316">
        <v>1</v>
      </c>
      <c r="N53" s="316">
        <v>1</v>
      </c>
      <c r="O53" s="316">
        <v>1</v>
      </c>
      <c r="P53" s="316">
        <v>1</v>
      </c>
      <c r="Q53" s="316">
        <v>1</v>
      </c>
      <c r="R53" s="316">
        <v>1</v>
      </c>
      <c r="S53" s="316">
        <v>1</v>
      </c>
      <c r="T53" s="316">
        <v>1</v>
      </c>
      <c r="U53" s="316">
        <v>1</v>
      </c>
      <c r="V53" s="316">
        <v>1</v>
      </c>
      <c r="W53" s="316">
        <v>1</v>
      </c>
      <c r="X53" s="316">
        <v>1</v>
      </c>
      <c r="Y53" s="316">
        <v>1</v>
      </c>
      <c r="Z53" s="316">
        <v>1</v>
      </c>
      <c r="AA53" s="316">
        <v>1</v>
      </c>
      <c r="AB53" s="316">
        <v>1</v>
      </c>
      <c r="AC53" s="316">
        <v>1</v>
      </c>
      <c r="AD53" s="316">
        <v>1</v>
      </c>
      <c r="AE53" s="316">
        <v>1</v>
      </c>
      <c r="AF53" s="316">
        <v>1</v>
      </c>
      <c r="AG53" s="316">
        <v>1</v>
      </c>
      <c r="AH53" s="316">
        <v>1</v>
      </c>
      <c r="AI53" s="316">
        <v>1</v>
      </c>
      <c r="AJ53" s="316">
        <v>1</v>
      </c>
      <c r="AK53" s="316">
        <v>1</v>
      </c>
      <c r="AL53" s="316">
        <v>1</v>
      </c>
      <c r="AM53" s="316">
        <v>1</v>
      </c>
      <c r="AN53" s="316">
        <v>1</v>
      </c>
      <c r="AO53" s="316">
        <v>1</v>
      </c>
      <c r="AP53" s="316">
        <v>1</v>
      </c>
      <c r="AQ53" s="316">
        <v>1</v>
      </c>
      <c r="AR53" s="316">
        <v>1</v>
      </c>
      <c r="AS53" s="316">
        <v>1</v>
      </c>
      <c r="AT53" s="316">
        <v>1</v>
      </c>
    </row>
    <row r="54" spans="2:46" ht="12.75" customHeight="1" x14ac:dyDescent="0.15">
      <c r="B54" s="328">
        <v>1162</v>
      </c>
      <c r="C54" s="313" t="s">
        <v>894</v>
      </c>
      <c r="D54" s="313" t="s">
        <v>1806</v>
      </c>
      <c r="E54" s="313" t="s">
        <v>1794</v>
      </c>
      <c r="F54" s="319" t="s">
        <v>908</v>
      </c>
      <c r="G54" s="315" t="str">
        <f>_xlfn.XLOOKUP(B54,'WFP Details - 2026'!A:A,'WFP Details - 2026'!Z:Z)</f>
        <v>x</v>
      </c>
      <c r="H54" s="314">
        <v>45733</v>
      </c>
      <c r="I54" s="315">
        <v>3</v>
      </c>
      <c r="J54" s="315">
        <v>2025</v>
      </c>
      <c r="K54" s="316">
        <v>1</v>
      </c>
      <c r="L54" s="316">
        <v>1</v>
      </c>
      <c r="M54" s="316">
        <v>1</v>
      </c>
      <c r="N54" s="316">
        <v>1</v>
      </c>
      <c r="O54" s="316">
        <v>1</v>
      </c>
      <c r="P54" s="316">
        <v>1</v>
      </c>
      <c r="Q54" s="316">
        <v>1</v>
      </c>
      <c r="R54" s="316">
        <v>1</v>
      </c>
      <c r="S54" s="316">
        <v>1</v>
      </c>
      <c r="T54" s="316">
        <v>1</v>
      </c>
      <c r="U54" s="316">
        <v>1</v>
      </c>
      <c r="V54" s="316">
        <v>1</v>
      </c>
      <c r="W54" s="316">
        <v>1</v>
      </c>
      <c r="X54" s="316">
        <v>1</v>
      </c>
      <c r="Y54" s="316">
        <v>1</v>
      </c>
      <c r="Z54" s="316">
        <v>1</v>
      </c>
      <c r="AA54" s="316">
        <v>1</v>
      </c>
      <c r="AB54" s="316">
        <v>1</v>
      </c>
      <c r="AC54" s="316">
        <v>1</v>
      </c>
      <c r="AD54" s="316">
        <v>1</v>
      </c>
      <c r="AE54" s="316">
        <v>1</v>
      </c>
      <c r="AF54" s="316">
        <v>1</v>
      </c>
      <c r="AG54" s="316">
        <v>1</v>
      </c>
      <c r="AH54" s="316">
        <v>1</v>
      </c>
      <c r="AI54" s="316">
        <v>1</v>
      </c>
      <c r="AJ54" s="316">
        <v>1</v>
      </c>
      <c r="AK54" s="316">
        <v>1</v>
      </c>
      <c r="AL54" s="316">
        <v>1</v>
      </c>
      <c r="AM54" s="316">
        <v>1</v>
      </c>
      <c r="AN54" s="316">
        <v>1</v>
      </c>
      <c r="AO54" s="316">
        <v>1</v>
      </c>
      <c r="AP54" s="316">
        <v>1</v>
      </c>
      <c r="AQ54" s="316">
        <v>1</v>
      </c>
      <c r="AR54" s="316">
        <v>1</v>
      </c>
      <c r="AS54" s="316">
        <v>1</v>
      </c>
      <c r="AT54" s="316">
        <v>1</v>
      </c>
    </row>
    <row r="55" spans="2:46" ht="12.75" customHeight="1" x14ac:dyDescent="0.15">
      <c r="B55" s="328">
        <v>1166</v>
      </c>
      <c r="C55" s="313" t="s">
        <v>894</v>
      </c>
      <c r="D55" s="313" t="s">
        <v>916</v>
      </c>
      <c r="E55" s="313" t="s">
        <v>1805</v>
      </c>
      <c r="F55" s="319" t="s">
        <v>905</v>
      </c>
      <c r="G55" s="315" t="str">
        <f>_xlfn.XLOOKUP(B55,'WFP Details - 2026'!A:A,'WFP Details - 2026'!Z:Z)</f>
        <v>x</v>
      </c>
      <c r="H55" s="314">
        <v>45747</v>
      </c>
      <c r="I55" s="315">
        <v>3</v>
      </c>
      <c r="J55" s="315">
        <v>2025</v>
      </c>
      <c r="K55" s="316">
        <v>1</v>
      </c>
      <c r="L55" s="316">
        <v>1</v>
      </c>
      <c r="M55" s="316">
        <v>1</v>
      </c>
      <c r="N55" s="316">
        <v>1</v>
      </c>
      <c r="O55" s="316">
        <v>1</v>
      </c>
      <c r="P55" s="316">
        <v>1</v>
      </c>
      <c r="Q55" s="316">
        <v>1</v>
      </c>
      <c r="R55" s="316">
        <v>1</v>
      </c>
      <c r="S55" s="316">
        <v>1</v>
      </c>
      <c r="T55" s="316">
        <v>1</v>
      </c>
      <c r="U55" s="316">
        <v>1</v>
      </c>
      <c r="V55" s="316">
        <v>1</v>
      </c>
      <c r="W55" s="316">
        <v>1</v>
      </c>
      <c r="X55" s="316">
        <v>1</v>
      </c>
      <c r="Y55" s="316">
        <v>1</v>
      </c>
      <c r="Z55" s="316">
        <v>1</v>
      </c>
      <c r="AA55" s="316">
        <v>1</v>
      </c>
      <c r="AB55" s="316">
        <v>1</v>
      </c>
      <c r="AC55" s="316">
        <v>1</v>
      </c>
      <c r="AD55" s="316">
        <v>1</v>
      </c>
      <c r="AE55" s="316">
        <v>1</v>
      </c>
      <c r="AF55" s="316">
        <v>1</v>
      </c>
      <c r="AG55" s="316">
        <v>1</v>
      </c>
      <c r="AH55" s="316">
        <v>1</v>
      </c>
      <c r="AI55" s="316">
        <v>1</v>
      </c>
      <c r="AJ55" s="316">
        <v>1</v>
      </c>
      <c r="AK55" s="316">
        <v>1</v>
      </c>
      <c r="AL55" s="316">
        <v>1</v>
      </c>
      <c r="AM55" s="316">
        <v>1</v>
      </c>
      <c r="AN55" s="316">
        <v>1</v>
      </c>
      <c r="AO55" s="316">
        <v>1</v>
      </c>
      <c r="AP55" s="316">
        <v>1</v>
      </c>
      <c r="AQ55" s="316">
        <v>1</v>
      </c>
      <c r="AR55" s="316">
        <v>1</v>
      </c>
      <c r="AS55" s="316">
        <v>1</v>
      </c>
      <c r="AT55" s="316">
        <v>1</v>
      </c>
    </row>
    <row r="56" spans="2:46" ht="12.75" customHeight="1" x14ac:dyDescent="0.15">
      <c r="B56" s="328">
        <v>1157</v>
      </c>
      <c r="C56" s="313" t="s">
        <v>894</v>
      </c>
      <c r="D56" s="313" t="s">
        <v>921</v>
      </c>
      <c r="E56" s="313" t="s">
        <v>1793</v>
      </c>
      <c r="F56" s="319" t="s">
        <v>912</v>
      </c>
      <c r="G56" s="315" t="str">
        <f>_xlfn.XLOOKUP(B56,'WFP Details - 2026'!A:A,'WFP Details - 2026'!Z:Z)</f>
        <v>x</v>
      </c>
      <c r="H56" s="314">
        <v>45824</v>
      </c>
      <c r="I56" s="315">
        <v>6</v>
      </c>
      <c r="J56" s="315">
        <v>2025</v>
      </c>
      <c r="K56" s="316">
        <v>1</v>
      </c>
      <c r="L56" s="316">
        <v>1</v>
      </c>
      <c r="M56" s="316">
        <v>1</v>
      </c>
      <c r="N56" s="316">
        <v>1</v>
      </c>
      <c r="O56" s="316">
        <v>1</v>
      </c>
      <c r="P56" s="316">
        <v>1</v>
      </c>
      <c r="Q56" s="316">
        <v>1</v>
      </c>
      <c r="R56" s="316">
        <v>1</v>
      </c>
      <c r="S56" s="316">
        <v>1</v>
      </c>
      <c r="T56" s="316">
        <v>1</v>
      </c>
      <c r="U56" s="316">
        <v>1</v>
      </c>
      <c r="V56" s="316">
        <v>1</v>
      </c>
      <c r="W56" s="316">
        <v>1</v>
      </c>
      <c r="X56" s="316">
        <v>1</v>
      </c>
      <c r="Y56" s="316">
        <v>1</v>
      </c>
      <c r="Z56" s="316">
        <v>1</v>
      </c>
      <c r="AA56" s="316">
        <v>1</v>
      </c>
      <c r="AB56" s="316">
        <v>1</v>
      </c>
      <c r="AC56" s="316">
        <v>1</v>
      </c>
      <c r="AD56" s="316">
        <v>1</v>
      </c>
      <c r="AE56" s="316">
        <v>1</v>
      </c>
      <c r="AF56" s="316">
        <v>1</v>
      </c>
      <c r="AG56" s="316">
        <v>1</v>
      </c>
      <c r="AH56" s="316">
        <v>1</v>
      </c>
      <c r="AI56" s="316">
        <v>1</v>
      </c>
      <c r="AJ56" s="316">
        <v>1</v>
      </c>
      <c r="AK56" s="316">
        <v>1</v>
      </c>
      <c r="AL56" s="316">
        <v>1</v>
      </c>
      <c r="AM56" s="316">
        <v>1</v>
      </c>
      <c r="AN56" s="316">
        <v>1</v>
      </c>
      <c r="AO56" s="316">
        <v>1</v>
      </c>
      <c r="AP56" s="316">
        <v>1</v>
      </c>
      <c r="AQ56" s="316">
        <v>1</v>
      </c>
      <c r="AR56" s="316">
        <v>1</v>
      </c>
      <c r="AS56" s="316">
        <v>1</v>
      </c>
      <c r="AT56" s="316">
        <v>1</v>
      </c>
    </row>
    <row r="57" spans="2:46" ht="12.75" customHeight="1" x14ac:dyDescent="0.15">
      <c r="B57" s="328">
        <v>1158</v>
      </c>
      <c r="C57" s="313" t="s">
        <v>894</v>
      </c>
      <c r="D57" s="313" t="s">
        <v>1807</v>
      </c>
      <c r="E57" s="313" t="s">
        <v>1794</v>
      </c>
      <c r="F57" s="319" t="s">
        <v>914</v>
      </c>
      <c r="G57" s="315" t="str">
        <f>_xlfn.XLOOKUP(B57,'WFP Details - 2026'!A:A,'WFP Details - 2026'!Z:Z)</f>
        <v>x</v>
      </c>
      <c r="H57" s="314">
        <v>45824</v>
      </c>
      <c r="I57" s="315">
        <v>6</v>
      </c>
      <c r="J57" s="315">
        <v>2025</v>
      </c>
      <c r="K57" s="316">
        <v>1</v>
      </c>
      <c r="L57" s="316">
        <v>1</v>
      </c>
      <c r="M57" s="316">
        <v>1</v>
      </c>
      <c r="N57" s="316">
        <v>1</v>
      </c>
      <c r="O57" s="316">
        <v>1</v>
      </c>
      <c r="P57" s="316">
        <v>1</v>
      </c>
      <c r="Q57" s="316">
        <v>1</v>
      </c>
      <c r="R57" s="316">
        <v>1</v>
      </c>
      <c r="S57" s="316">
        <v>1</v>
      </c>
      <c r="T57" s="316">
        <v>1</v>
      </c>
      <c r="U57" s="316">
        <v>1</v>
      </c>
      <c r="V57" s="316">
        <v>1</v>
      </c>
      <c r="W57" s="316">
        <v>1</v>
      </c>
      <c r="X57" s="316">
        <v>1</v>
      </c>
      <c r="Y57" s="316">
        <v>1</v>
      </c>
      <c r="Z57" s="316">
        <v>1</v>
      </c>
      <c r="AA57" s="316">
        <v>1</v>
      </c>
      <c r="AB57" s="316">
        <v>1</v>
      </c>
      <c r="AC57" s="316">
        <v>1</v>
      </c>
      <c r="AD57" s="316">
        <v>1</v>
      </c>
      <c r="AE57" s="316">
        <v>1</v>
      </c>
      <c r="AF57" s="316">
        <v>1</v>
      </c>
      <c r="AG57" s="316">
        <v>1</v>
      </c>
      <c r="AH57" s="316">
        <v>1</v>
      </c>
      <c r="AI57" s="316">
        <v>1</v>
      </c>
      <c r="AJ57" s="316">
        <v>1</v>
      </c>
      <c r="AK57" s="316">
        <v>1</v>
      </c>
      <c r="AL57" s="316">
        <v>1</v>
      </c>
      <c r="AM57" s="316">
        <v>1</v>
      </c>
      <c r="AN57" s="316">
        <v>1</v>
      </c>
      <c r="AO57" s="316">
        <v>1</v>
      </c>
      <c r="AP57" s="316">
        <v>1</v>
      </c>
      <c r="AQ57" s="316">
        <v>1</v>
      </c>
      <c r="AR57" s="316">
        <v>1</v>
      </c>
      <c r="AS57" s="316">
        <v>1</v>
      </c>
      <c r="AT57" s="316">
        <v>1</v>
      </c>
    </row>
    <row r="58" spans="2:46" ht="12.75" customHeight="1" x14ac:dyDescent="0.15">
      <c r="B58" s="315">
        <v>1159</v>
      </c>
      <c r="C58" s="313" t="s">
        <v>894</v>
      </c>
      <c r="D58" s="313" t="s">
        <v>101</v>
      </c>
      <c r="E58" s="313" t="s">
        <v>1795</v>
      </c>
      <c r="F58" s="319" t="s">
        <v>917</v>
      </c>
      <c r="G58" s="315" t="str">
        <f>_xlfn.XLOOKUP(B58,'WFP Details - 2026'!A:A,'WFP Details - 2026'!Z:Z)</f>
        <v>x</v>
      </c>
      <c r="H58" s="314">
        <v>46096</v>
      </c>
      <c r="I58" s="315">
        <v>3</v>
      </c>
      <c r="J58" s="315">
        <v>2026</v>
      </c>
      <c r="K58" s="316">
        <v>0</v>
      </c>
      <c r="L58" s="316">
        <v>0</v>
      </c>
      <c r="M58" s="316">
        <v>1</v>
      </c>
      <c r="N58" s="316">
        <v>1</v>
      </c>
      <c r="O58" s="316">
        <v>1</v>
      </c>
      <c r="P58" s="316">
        <v>1</v>
      </c>
      <c r="Q58" s="316">
        <v>1</v>
      </c>
      <c r="R58" s="316">
        <v>1</v>
      </c>
      <c r="S58" s="316">
        <v>1</v>
      </c>
      <c r="T58" s="316">
        <v>1</v>
      </c>
      <c r="U58" s="316">
        <v>1</v>
      </c>
      <c r="V58" s="316">
        <v>1</v>
      </c>
      <c r="W58" s="316">
        <v>1</v>
      </c>
      <c r="X58" s="316">
        <v>1</v>
      </c>
      <c r="Y58" s="316">
        <v>1</v>
      </c>
      <c r="Z58" s="316">
        <v>1</v>
      </c>
      <c r="AA58" s="316">
        <v>1</v>
      </c>
      <c r="AB58" s="316">
        <v>1</v>
      </c>
      <c r="AC58" s="316">
        <v>1</v>
      </c>
      <c r="AD58" s="316">
        <v>1</v>
      </c>
      <c r="AE58" s="316">
        <v>1</v>
      </c>
      <c r="AF58" s="316">
        <v>1</v>
      </c>
      <c r="AG58" s="316">
        <v>1</v>
      </c>
      <c r="AH58" s="316">
        <v>1</v>
      </c>
      <c r="AI58" s="316">
        <v>1</v>
      </c>
      <c r="AJ58" s="316">
        <v>1</v>
      </c>
      <c r="AK58" s="316">
        <v>1</v>
      </c>
      <c r="AL58" s="316">
        <v>1</v>
      </c>
      <c r="AM58" s="316">
        <v>1</v>
      </c>
      <c r="AN58" s="316">
        <v>1</v>
      </c>
      <c r="AO58" s="316">
        <v>1</v>
      </c>
      <c r="AP58" s="316">
        <v>1</v>
      </c>
      <c r="AQ58" s="316">
        <v>1</v>
      </c>
      <c r="AR58" s="316">
        <v>1</v>
      </c>
      <c r="AS58" s="316">
        <v>1</v>
      </c>
      <c r="AT58" s="316">
        <v>1</v>
      </c>
    </row>
    <row r="59" spans="2:46" ht="12.75" customHeight="1" x14ac:dyDescent="0.15">
      <c r="B59" s="315">
        <v>5261</v>
      </c>
      <c r="C59" s="313" t="s">
        <v>894</v>
      </c>
      <c r="D59" s="313" t="s">
        <v>101</v>
      </c>
      <c r="E59" s="313" t="s">
        <v>1801</v>
      </c>
      <c r="F59" s="319" t="s">
        <v>922</v>
      </c>
      <c r="G59" s="315" t="str">
        <f>_xlfn.XLOOKUP(B59,'WFP Details - 2026'!A:A,'WFP Details - 2026'!Z:Z)</f>
        <v>x</v>
      </c>
      <c r="H59" s="314">
        <v>46096</v>
      </c>
      <c r="I59" s="315">
        <v>3</v>
      </c>
      <c r="J59" s="315">
        <v>2026</v>
      </c>
      <c r="K59" s="316">
        <v>0</v>
      </c>
      <c r="L59" s="316">
        <v>0</v>
      </c>
      <c r="M59" s="316">
        <v>1</v>
      </c>
      <c r="N59" s="316">
        <v>1</v>
      </c>
      <c r="O59" s="316">
        <v>1</v>
      </c>
      <c r="P59" s="316">
        <v>1</v>
      </c>
      <c r="Q59" s="316">
        <v>1</v>
      </c>
      <c r="R59" s="316">
        <v>1</v>
      </c>
      <c r="S59" s="316">
        <v>1</v>
      </c>
      <c r="T59" s="316">
        <v>1</v>
      </c>
      <c r="U59" s="316">
        <v>1</v>
      </c>
      <c r="V59" s="316">
        <v>1</v>
      </c>
      <c r="W59" s="316">
        <v>1</v>
      </c>
      <c r="X59" s="316">
        <v>1</v>
      </c>
      <c r="Y59" s="316">
        <v>1</v>
      </c>
      <c r="Z59" s="316">
        <v>1</v>
      </c>
      <c r="AA59" s="316">
        <v>1</v>
      </c>
      <c r="AB59" s="316">
        <v>1</v>
      </c>
      <c r="AC59" s="316">
        <v>1</v>
      </c>
      <c r="AD59" s="316">
        <v>1</v>
      </c>
      <c r="AE59" s="316">
        <v>1</v>
      </c>
      <c r="AF59" s="316">
        <v>1</v>
      </c>
      <c r="AG59" s="316">
        <v>1</v>
      </c>
      <c r="AH59" s="316">
        <v>1</v>
      </c>
      <c r="AI59" s="316">
        <v>1</v>
      </c>
      <c r="AJ59" s="316">
        <v>1</v>
      </c>
      <c r="AK59" s="316">
        <v>1</v>
      </c>
      <c r="AL59" s="316">
        <v>1</v>
      </c>
      <c r="AM59" s="316">
        <v>1</v>
      </c>
      <c r="AN59" s="316">
        <v>1</v>
      </c>
      <c r="AO59" s="316">
        <v>1</v>
      </c>
      <c r="AP59" s="316">
        <v>1</v>
      </c>
      <c r="AQ59" s="316">
        <v>1</v>
      </c>
      <c r="AR59" s="316">
        <v>1</v>
      </c>
      <c r="AS59" s="316">
        <v>1</v>
      </c>
      <c r="AT59" s="316">
        <v>1</v>
      </c>
    </row>
    <row r="60" spans="2:46" ht="12.75" hidden="1" customHeight="1" x14ac:dyDescent="0.15">
      <c r="B60" s="315">
        <v>5260</v>
      </c>
      <c r="C60" s="313" t="s">
        <v>894</v>
      </c>
      <c r="D60" s="313" t="s">
        <v>101</v>
      </c>
      <c r="E60" s="313" t="s">
        <v>1801</v>
      </c>
      <c r="F60" s="319" t="s">
        <v>1756</v>
      </c>
      <c r="G60" s="315" t="e">
        <f>_xlfn.XLOOKUP(B60,'WFP Details - 2026'!A:A,'WFP Details - 2026'!Z:Z)</f>
        <v>#N/A</v>
      </c>
      <c r="H60" s="314">
        <v>46461</v>
      </c>
      <c r="I60" s="315">
        <v>3</v>
      </c>
      <c r="J60" s="315">
        <v>2027</v>
      </c>
      <c r="K60" s="316">
        <v>0</v>
      </c>
      <c r="L60" s="316">
        <v>0</v>
      </c>
      <c r="M60" s="316">
        <v>0</v>
      </c>
      <c r="N60" s="316">
        <v>0</v>
      </c>
      <c r="O60" s="316">
        <v>0</v>
      </c>
      <c r="P60" s="316">
        <v>0</v>
      </c>
      <c r="Q60" s="316">
        <v>0</v>
      </c>
      <c r="R60" s="316">
        <v>0</v>
      </c>
      <c r="S60" s="316">
        <v>0</v>
      </c>
      <c r="T60" s="316">
        <v>0</v>
      </c>
      <c r="U60" s="316">
        <v>0</v>
      </c>
      <c r="V60" s="316">
        <v>0</v>
      </c>
      <c r="W60" s="316">
        <v>0</v>
      </c>
      <c r="X60" s="316">
        <v>0</v>
      </c>
      <c r="Y60" s="316">
        <v>1</v>
      </c>
      <c r="Z60" s="316">
        <v>1</v>
      </c>
      <c r="AA60" s="316">
        <v>1</v>
      </c>
      <c r="AB60" s="316">
        <v>1</v>
      </c>
      <c r="AC60" s="316">
        <v>1</v>
      </c>
      <c r="AD60" s="316">
        <v>1</v>
      </c>
      <c r="AE60" s="316">
        <v>1</v>
      </c>
      <c r="AF60" s="316">
        <v>1</v>
      </c>
      <c r="AG60" s="316">
        <v>1</v>
      </c>
      <c r="AH60" s="316">
        <v>1</v>
      </c>
      <c r="AI60" s="316">
        <v>1</v>
      </c>
      <c r="AJ60" s="316">
        <v>1</v>
      </c>
      <c r="AK60" s="316">
        <v>1</v>
      </c>
      <c r="AL60" s="316">
        <v>1</v>
      </c>
      <c r="AM60" s="316">
        <v>1</v>
      </c>
      <c r="AN60" s="316">
        <v>1</v>
      </c>
      <c r="AO60" s="316">
        <v>1</v>
      </c>
      <c r="AP60" s="316">
        <v>1</v>
      </c>
      <c r="AQ60" s="316">
        <v>1</v>
      </c>
      <c r="AR60" s="316">
        <v>1</v>
      </c>
      <c r="AS60" s="316">
        <v>1</v>
      </c>
      <c r="AT60" s="316">
        <v>1</v>
      </c>
    </row>
    <row r="61" spans="2:46" ht="12.75" hidden="1" customHeight="1" x14ac:dyDescent="0.15">
      <c r="B61" s="315">
        <v>1160</v>
      </c>
      <c r="C61" s="313" t="s">
        <v>894</v>
      </c>
      <c r="D61" s="313" t="s">
        <v>101</v>
      </c>
      <c r="E61" s="313" t="s">
        <v>1795</v>
      </c>
      <c r="F61" s="319" t="s">
        <v>917</v>
      </c>
      <c r="G61" s="315" t="e">
        <f>_xlfn.XLOOKUP(B61,'WFP Details - 2026'!A:A,'WFP Details - 2026'!Z:Z)</f>
        <v>#N/A</v>
      </c>
      <c r="H61" s="314">
        <v>46461</v>
      </c>
      <c r="I61" s="315">
        <v>3</v>
      </c>
      <c r="J61" s="315">
        <v>2027</v>
      </c>
      <c r="K61" s="316">
        <v>0</v>
      </c>
      <c r="L61" s="316">
        <v>0</v>
      </c>
      <c r="M61" s="316">
        <v>0</v>
      </c>
      <c r="N61" s="316">
        <v>0</v>
      </c>
      <c r="O61" s="316">
        <v>0</v>
      </c>
      <c r="P61" s="316">
        <v>0</v>
      </c>
      <c r="Q61" s="316">
        <v>0</v>
      </c>
      <c r="R61" s="316">
        <v>0</v>
      </c>
      <c r="S61" s="316">
        <v>0</v>
      </c>
      <c r="T61" s="316">
        <v>0</v>
      </c>
      <c r="U61" s="316">
        <v>0</v>
      </c>
      <c r="V61" s="316">
        <v>0</v>
      </c>
      <c r="W61" s="316">
        <v>0</v>
      </c>
      <c r="X61" s="316">
        <v>0</v>
      </c>
      <c r="Y61" s="316">
        <v>1</v>
      </c>
      <c r="Z61" s="316">
        <v>1</v>
      </c>
      <c r="AA61" s="316">
        <v>1</v>
      </c>
      <c r="AB61" s="316">
        <v>1</v>
      </c>
      <c r="AC61" s="316">
        <v>1</v>
      </c>
      <c r="AD61" s="316">
        <v>1</v>
      </c>
      <c r="AE61" s="316">
        <v>1</v>
      </c>
      <c r="AF61" s="316">
        <v>1</v>
      </c>
      <c r="AG61" s="316">
        <v>1</v>
      </c>
      <c r="AH61" s="316">
        <v>1</v>
      </c>
      <c r="AI61" s="316">
        <v>1</v>
      </c>
      <c r="AJ61" s="316">
        <v>1</v>
      </c>
      <c r="AK61" s="316">
        <v>1</v>
      </c>
      <c r="AL61" s="316">
        <v>1</v>
      </c>
      <c r="AM61" s="316">
        <v>1</v>
      </c>
      <c r="AN61" s="316">
        <v>1</v>
      </c>
      <c r="AO61" s="316">
        <v>1</v>
      </c>
      <c r="AP61" s="316">
        <v>1</v>
      </c>
      <c r="AQ61" s="316">
        <v>1</v>
      </c>
      <c r="AR61" s="316">
        <v>1</v>
      </c>
      <c r="AS61" s="316">
        <v>1</v>
      </c>
      <c r="AT61" s="316">
        <v>1</v>
      </c>
    </row>
    <row r="62" spans="2:46" ht="12.75" hidden="1" customHeight="1" x14ac:dyDescent="0.15">
      <c r="B62" s="315">
        <v>1163</v>
      </c>
      <c r="C62" s="313" t="s">
        <v>894</v>
      </c>
      <c r="D62" s="313" t="s">
        <v>101</v>
      </c>
      <c r="E62" s="313" t="s">
        <v>1801</v>
      </c>
      <c r="F62" s="319" t="s">
        <v>1675</v>
      </c>
      <c r="G62" s="315" t="e">
        <f>_xlfn.XLOOKUP(B62,'WFP Details - 2026'!A:A,'WFP Details - 2026'!Z:Z)</f>
        <v>#N/A</v>
      </c>
      <c r="H62" s="314">
        <v>46461</v>
      </c>
      <c r="I62" s="315">
        <v>3</v>
      </c>
      <c r="J62" s="315">
        <v>2027</v>
      </c>
      <c r="K62" s="316">
        <v>0</v>
      </c>
      <c r="L62" s="316">
        <v>0</v>
      </c>
      <c r="M62" s="316">
        <v>0</v>
      </c>
      <c r="N62" s="316">
        <v>0</v>
      </c>
      <c r="O62" s="316">
        <v>0</v>
      </c>
      <c r="P62" s="316">
        <v>0</v>
      </c>
      <c r="Q62" s="316">
        <v>0</v>
      </c>
      <c r="R62" s="316">
        <v>0</v>
      </c>
      <c r="S62" s="316">
        <v>0</v>
      </c>
      <c r="T62" s="316">
        <v>0</v>
      </c>
      <c r="U62" s="316">
        <v>0</v>
      </c>
      <c r="V62" s="316">
        <v>0</v>
      </c>
      <c r="W62" s="316">
        <v>0</v>
      </c>
      <c r="X62" s="316">
        <v>0</v>
      </c>
      <c r="Y62" s="316">
        <v>1</v>
      </c>
      <c r="Z62" s="316">
        <v>1</v>
      </c>
      <c r="AA62" s="316">
        <v>1</v>
      </c>
      <c r="AB62" s="316">
        <v>1</v>
      </c>
      <c r="AC62" s="316">
        <v>1</v>
      </c>
      <c r="AD62" s="316">
        <v>1</v>
      </c>
      <c r="AE62" s="316">
        <v>1</v>
      </c>
      <c r="AF62" s="316">
        <v>1</v>
      </c>
      <c r="AG62" s="316">
        <v>1</v>
      </c>
      <c r="AH62" s="316">
        <v>1</v>
      </c>
      <c r="AI62" s="316">
        <v>1</v>
      </c>
      <c r="AJ62" s="316">
        <v>1</v>
      </c>
      <c r="AK62" s="316">
        <v>1</v>
      </c>
      <c r="AL62" s="316">
        <v>1</v>
      </c>
      <c r="AM62" s="316">
        <v>1</v>
      </c>
      <c r="AN62" s="316">
        <v>1</v>
      </c>
      <c r="AO62" s="316">
        <v>1</v>
      </c>
      <c r="AP62" s="316">
        <v>1</v>
      </c>
      <c r="AQ62" s="316">
        <v>1</v>
      </c>
      <c r="AR62" s="316">
        <v>1</v>
      </c>
      <c r="AS62" s="316">
        <v>1</v>
      </c>
      <c r="AT62" s="316">
        <v>1</v>
      </c>
    </row>
    <row r="63" spans="2:46" ht="12.75" hidden="1" customHeight="1" x14ac:dyDescent="0.15">
      <c r="B63" s="315">
        <v>1164</v>
      </c>
      <c r="C63" s="313" t="s">
        <v>894</v>
      </c>
      <c r="D63" s="313" t="s">
        <v>101</v>
      </c>
      <c r="E63" s="313" t="s">
        <v>1805</v>
      </c>
      <c r="F63" s="319" t="s">
        <v>1676</v>
      </c>
      <c r="G63" s="315" t="e">
        <f>_xlfn.XLOOKUP(B63,'WFP Details - 2026'!A:A,'WFP Details - 2026'!Z:Z)</f>
        <v>#N/A</v>
      </c>
      <c r="H63" s="314">
        <v>46461</v>
      </c>
      <c r="I63" s="315">
        <v>3</v>
      </c>
      <c r="J63" s="315">
        <v>2027</v>
      </c>
      <c r="K63" s="316">
        <v>0</v>
      </c>
      <c r="L63" s="316">
        <v>0</v>
      </c>
      <c r="M63" s="316">
        <v>0</v>
      </c>
      <c r="N63" s="316">
        <v>0</v>
      </c>
      <c r="O63" s="316">
        <v>0</v>
      </c>
      <c r="P63" s="316">
        <v>0</v>
      </c>
      <c r="Q63" s="316">
        <v>0</v>
      </c>
      <c r="R63" s="316">
        <v>0</v>
      </c>
      <c r="S63" s="316">
        <v>0</v>
      </c>
      <c r="T63" s="316">
        <v>0</v>
      </c>
      <c r="U63" s="316">
        <v>0</v>
      </c>
      <c r="V63" s="316">
        <v>0</v>
      </c>
      <c r="W63" s="316">
        <v>0</v>
      </c>
      <c r="X63" s="316">
        <v>0</v>
      </c>
      <c r="Y63" s="316">
        <v>1</v>
      </c>
      <c r="Z63" s="316">
        <v>1</v>
      </c>
      <c r="AA63" s="316">
        <v>1</v>
      </c>
      <c r="AB63" s="316">
        <v>1</v>
      </c>
      <c r="AC63" s="316">
        <v>1</v>
      </c>
      <c r="AD63" s="316">
        <v>1</v>
      </c>
      <c r="AE63" s="316">
        <v>1</v>
      </c>
      <c r="AF63" s="316">
        <v>1</v>
      </c>
      <c r="AG63" s="316">
        <v>1</v>
      </c>
      <c r="AH63" s="316">
        <v>1</v>
      </c>
      <c r="AI63" s="316">
        <v>1</v>
      </c>
      <c r="AJ63" s="316">
        <v>1</v>
      </c>
      <c r="AK63" s="316">
        <v>1</v>
      </c>
      <c r="AL63" s="316">
        <v>1</v>
      </c>
      <c r="AM63" s="316">
        <v>1</v>
      </c>
      <c r="AN63" s="316">
        <v>1</v>
      </c>
      <c r="AO63" s="316">
        <v>1</v>
      </c>
      <c r="AP63" s="316">
        <v>1</v>
      </c>
      <c r="AQ63" s="316">
        <v>1</v>
      </c>
      <c r="AR63" s="316">
        <v>1</v>
      </c>
      <c r="AS63" s="316">
        <v>1</v>
      </c>
      <c r="AT63" s="316">
        <v>1</v>
      </c>
    </row>
    <row r="64" spans="2:46" ht="12.75" hidden="1" customHeight="1" x14ac:dyDescent="0.15">
      <c r="B64" s="315">
        <v>5258</v>
      </c>
      <c r="C64" s="319" t="s">
        <v>894</v>
      </c>
      <c r="D64" s="313" t="s">
        <v>101</v>
      </c>
      <c r="E64" s="313" t="s">
        <v>1795</v>
      </c>
      <c r="F64" s="319" t="s">
        <v>1680</v>
      </c>
      <c r="G64" s="315" t="e">
        <f>_xlfn.XLOOKUP(B64,'WFP Details - 2026'!A:A,'WFP Details - 2026'!Z:Z)</f>
        <v>#N/A</v>
      </c>
      <c r="H64" s="314">
        <v>46461</v>
      </c>
      <c r="I64" s="315">
        <v>3</v>
      </c>
      <c r="J64" s="315">
        <v>2027</v>
      </c>
      <c r="K64" s="316">
        <v>0</v>
      </c>
      <c r="L64" s="316">
        <v>0</v>
      </c>
      <c r="M64" s="316">
        <v>0</v>
      </c>
      <c r="N64" s="316">
        <v>0</v>
      </c>
      <c r="O64" s="316">
        <v>0</v>
      </c>
      <c r="P64" s="316">
        <v>0</v>
      </c>
      <c r="Q64" s="316">
        <v>0</v>
      </c>
      <c r="R64" s="316">
        <v>0</v>
      </c>
      <c r="S64" s="316">
        <v>0</v>
      </c>
      <c r="T64" s="316">
        <v>0</v>
      </c>
      <c r="U64" s="316">
        <v>0</v>
      </c>
      <c r="V64" s="316">
        <v>0</v>
      </c>
      <c r="W64" s="316">
        <v>0</v>
      </c>
      <c r="X64" s="316">
        <v>0</v>
      </c>
      <c r="Y64" s="316">
        <v>1</v>
      </c>
      <c r="Z64" s="316">
        <v>1</v>
      </c>
      <c r="AA64" s="316">
        <v>1</v>
      </c>
      <c r="AB64" s="316">
        <v>1</v>
      </c>
      <c r="AC64" s="316">
        <v>1</v>
      </c>
      <c r="AD64" s="316">
        <v>1</v>
      </c>
      <c r="AE64" s="316">
        <v>1</v>
      </c>
      <c r="AF64" s="316">
        <v>1</v>
      </c>
      <c r="AG64" s="316">
        <v>1</v>
      </c>
      <c r="AH64" s="316">
        <v>1</v>
      </c>
      <c r="AI64" s="316">
        <v>1</v>
      </c>
      <c r="AJ64" s="316">
        <v>1</v>
      </c>
      <c r="AK64" s="316">
        <v>1</v>
      </c>
      <c r="AL64" s="316">
        <v>1</v>
      </c>
      <c r="AM64" s="316">
        <v>1</v>
      </c>
      <c r="AN64" s="316">
        <v>1</v>
      </c>
      <c r="AO64" s="316">
        <v>1</v>
      </c>
      <c r="AP64" s="316">
        <v>1</v>
      </c>
      <c r="AQ64" s="316">
        <v>1</v>
      </c>
      <c r="AR64" s="316">
        <v>1</v>
      </c>
      <c r="AS64" s="316">
        <v>1</v>
      </c>
      <c r="AT64" s="316">
        <v>1</v>
      </c>
    </row>
    <row r="65" spans="2:46" ht="12.75" hidden="1" customHeight="1" x14ac:dyDescent="0.15">
      <c r="B65" s="318">
        <v>5262</v>
      </c>
      <c r="C65" s="313" t="s">
        <v>894</v>
      </c>
      <c r="D65" s="313" t="s">
        <v>101</v>
      </c>
      <c r="E65" s="313" t="s">
        <v>1801</v>
      </c>
      <c r="F65" s="313" t="s">
        <v>1684</v>
      </c>
      <c r="G65" s="315" t="e">
        <f>_xlfn.XLOOKUP(B65,'WFP Details - 2026'!A:A,'WFP Details - 2026'!Z:Z)</f>
        <v>#N/A</v>
      </c>
      <c r="H65" s="314">
        <v>46461</v>
      </c>
      <c r="I65" s="315">
        <v>3</v>
      </c>
      <c r="J65" s="315">
        <v>2027</v>
      </c>
      <c r="K65" s="316">
        <v>0</v>
      </c>
      <c r="L65" s="316">
        <v>0</v>
      </c>
      <c r="M65" s="316">
        <v>0</v>
      </c>
      <c r="N65" s="316">
        <v>0</v>
      </c>
      <c r="O65" s="316">
        <v>0</v>
      </c>
      <c r="P65" s="316">
        <v>0</v>
      </c>
      <c r="Q65" s="316">
        <v>0</v>
      </c>
      <c r="R65" s="316">
        <v>0</v>
      </c>
      <c r="S65" s="316">
        <v>0</v>
      </c>
      <c r="T65" s="316">
        <v>0</v>
      </c>
      <c r="U65" s="316">
        <v>0</v>
      </c>
      <c r="V65" s="316">
        <v>0</v>
      </c>
      <c r="W65" s="316">
        <v>0</v>
      </c>
      <c r="X65" s="316">
        <v>0</v>
      </c>
      <c r="Y65" s="316">
        <v>1</v>
      </c>
      <c r="Z65" s="316">
        <v>1</v>
      </c>
      <c r="AA65" s="316">
        <v>1</v>
      </c>
      <c r="AB65" s="316">
        <v>1</v>
      </c>
      <c r="AC65" s="316">
        <v>1</v>
      </c>
      <c r="AD65" s="316">
        <v>1</v>
      </c>
      <c r="AE65" s="316">
        <v>1</v>
      </c>
      <c r="AF65" s="316">
        <v>1</v>
      </c>
      <c r="AG65" s="316">
        <v>1</v>
      </c>
      <c r="AH65" s="316">
        <v>1</v>
      </c>
      <c r="AI65" s="316">
        <v>1</v>
      </c>
      <c r="AJ65" s="316">
        <v>1</v>
      </c>
      <c r="AK65" s="316">
        <v>1</v>
      </c>
      <c r="AL65" s="316">
        <v>1</v>
      </c>
      <c r="AM65" s="316">
        <v>1</v>
      </c>
      <c r="AN65" s="316">
        <v>1</v>
      </c>
      <c r="AO65" s="316">
        <v>1</v>
      </c>
      <c r="AP65" s="316">
        <v>1</v>
      </c>
      <c r="AQ65" s="316">
        <v>1</v>
      </c>
      <c r="AR65" s="316">
        <v>1</v>
      </c>
      <c r="AS65" s="316">
        <v>1</v>
      </c>
      <c r="AT65" s="316">
        <v>1</v>
      </c>
    </row>
    <row r="66" spans="2:46" ht="12.75" hidden="1" customHeight="1" x14ac:dyDescent="0.15">
      <c r="B66" s="315">
        <v>5259</v>
      </c>
      <c r="C66" s="319" t="s">
        <v>894</v>
      </c>
      <c r="D66" s="313" t="s">
        <v>101</v>
      </c>
      <c r="E66" s="313" t="s">
        <v>1795</v>
      </c>
      <c r="F66" s="319" t="s">
        <v>1682</v>
      </c>
      <c r="G66" s="315" t="e">
        <f>_xlfn.XLOOKUP(B66,'WFP Details - 2026'!A:A,'WFP Details - 2026'!Z:Z)</f>
        <v>#N/A</v>
      </c>
      <c r="H66" s="314">
        <v>46553</v>
      </c>
      <c r="I66" s="315">
        <v>6</v>
      </c>
      <c r="J66" s="315">
        <v>2027</v>
      </c>
      <c r="K66" s="316">
        <v>0</v>
      </c>
      <c r="L66" s="316">
        <v>0</v>
      </c>
      <c r="M66" s="316">
        <v>0</v>
      </c>
      <c r="N66" s="316">
        <v>0</v>
      </c>
      <c r="O66" s="316">
        <v>0</v>
      </c>
      <c r="P66" s="316">
        <v>0</v>
      </c>
      <c r="Q66" s="316">
        <v>0</v>
      </c>
      <c r="R66" s="316">
        <v>0</v>
      </c>
      <c r="S66" s="316">
        <v>0</v>
      </c>
      <c r="T66" s="316">
        <v>0</v>
      </c>
      <c r="U66" s="316">
        <v>0</v>
      </c>
      <c r="V66" s="316">
        <v>0</v>
      </c>
      <c r="W66" s="316">
        <v>0</v>
      </c>
      <c r="X66" s="316">
        <v>0</v>
      </c>
      <c r="Y66" s="316">
        <v>0</v>
      </c>
      <c r="Z66" s="316">
        <v>0</v>
      </c>
      <c r="AA66" s="316">
        <v>0</v>
      </c>
      <c r="AB66" s="316">
        <v>1</v>
      </c>
      <c r="AC66" s="316">
        <v>1</v>
      </c>
      <c r="AD66" s="316">
        <v>1</v>
      </c>
      <c r="AE66" s="316">
        <v>1</v>
      </c>
      <c r="AF66" s="316">
        <v>1</v>
      </c>
      <c r="AG66" s="316">
        <v>1</v>
      </c>
      <c r="AH66" s="316">
        <v>1</v>
      </c>
      <c r="AI66" s="316">
        <v>1</v>
      </c>
      <c r="AJ66" s="316">
        <v>1</v>
      </c>
      <c r="AK66" s="316">
        <v>1</v>
      </c>
      <c r="AL66" s="316">
        <v>1</v>
      </c>
      <c r="AM66" s="316">
        <v>1</v>
      </c>
      <c r="AN66" s="316">
        <v>1</v>
      </c>
      <c r="AO66" s="316">
        <v>1</v>
      </c>
      <c r="AP66" s="316">
        <v>1</v>
      </c>
      <c r="AQ66" s="316">
        <v>1</v>
      </c>
      <c r="AR66" s="316">
        <v>1</v>
      </c>
      <c r="AS66" s="316">
        <v>1</v>
      </c>
      <c r="AT66" s="316">
        <v>1</v>
      </c>
    </row>
    <row r="67" spans="2:46" ht="12.75" hidden="1" customHeight="1" x14ac:dyDescent="0.15">
      <c r="B67" s="312">
        <v>5263</v>
      </c>
      <c r="C67" s="313" t="s">
        <v>894</v>
      </c>
      <c r="D67" s="313" t="s">
        <v>101</v>
      </c>
      <c r="E67" s="313" t="s">
        <v>1793</v>
      </c>
      <c r="F67" s="313" t="s">
        <v>922</v>
      </c>
      <c r="G67" s="315" t="e">
        <f>_xlfn.XLOOKUP(B67,'WFP Details - 2026'!A:A,'WFP Details - 2026'!Z:Z)</f>
        <v>#N/A</v>
      </c>
      <c r="H67" s="314">
        <v>46553</v>
      </c>
      <c r="I67" s="315">
        <v>6</v>
      </c>
      <c r="J67" s="315">
        <v>2027</v>
      </c>
      <c r="K67" s="316">
        <v>0</v>
      </c>
      <c r="L67" s="316">
        <v>0</v>
      </c>
      <c r="M67" s="316">
        <v>0</v>
      </c>
      <c r="N67" s="316">
        <v>0</v>
      </c>
      <c r="O67" s="316">
        <v>0</v>
      </c>
      <c r="P67" s="316">
        <v>0</v>
      </c>
      <c r="Q67" s="316">
        <v>0</v>
      </c>
      <c r="R67" s="316">
        <v>0</v>
      </c>
      <c r="S67" s="316">
        <v>0</v>
      </c>
      <c r="T67" s="316">
        <v>0</v>
      </c>
      <c r="U67" s="316">
        <v>0</v>
      </c>
      <c r="V67" s="316">
        <v>0</v>
      </c>
      <c r="W67" s="316">
        <v>0</v>
      </c>
      <c r="X67" s="316">
        <v>0</v>
      </c>
      <c r="Y67" s="316">
        <v>0</v>
      </c>
      <c r="Z67" s="316">
        <v>0</v>
      </c>
      <c r="AA67" s="316">
        <v>0</v>
      </c>
      <c r="AB67" s="316">
        <v>1</v>
      </c>
      <c r="AC67" s="316">
        <v>1</v>
      </c>
      <c r="AD67" s="316">
        <v>1</v>
      </c>
      <c r="AE67" s="316">
        <v>1</v>
      </c>
      <c r="AF67" s="316">
        <v>1</v>
      </c>
      <c r="AG67" s="316">
        <v>1</v>
      </c>
      <c r="AH67" s="316">
        <v>1</v>
      </c>
      <c r="AI67" s="316">
        <v>1</v>
      </c>
      <c r="AJ67" s="316">
        <v>1</v>
      </c>
      <c r="AK67" s="316">
        <v>1</v>
      </c>
      <c r="AL67" s="316">
        <v>1</v>
      </c>
      <c r="AM67" s="316">
        <v>1</v>
      </c>
      <c r="AN67" s="316">
        <v>1</v>
      </c>
      <c r="AO67" s="316">
        <v>1</v>
      </c>
      <c r="AP67" s="316">
        <v>1</v>
      </c>
      <c r="AQ67" s="316">
        <v>1</v>
      </c>
      <c r="AR67" s="316">
        <v>1</v>
      </c>
      <c r="AS67" s="316">
        <v>1</v>
      </c>
      <c r="AT67" s="316">
        <v>1</v>
      </c>
    </row>
    <row r="68" spans="2:46" ht="12.75" hidden="1" customHeight="1" x14ac:dyDescent="0.15">
      <c r="B68" s="315">
        <v>1161</v>
      </c>
      <c r="C68" s="313" t="s">
        <v>894</v>
      </c>
      <c r="D68" s="313" t="s">
        <v>101</v>
      </c>
      <c r="E68" s="313" t="s">
        <v>1795</v>
      </c>
      <c r="F68" s="319" t="s">
        <v>917</v>
      </c>
      <c r="G68" s="315" t="e">
        <f>_xlfn.XLOOKUP(B68,'WFP Details - 2026'!A:A,'WFP Details - 2026'!Z:Z)</f>
        <v>#N/A</v>
      </c>
      <c r="H68" s="314">
        <v>46645</v>
      </c>
      <c r="I68" s="315">
        <v>9</v>
      </c>
      <c r="J68" s="315">
        <v>2027</v>
      </c>
      <c r="K68" s="316">
        <v>0</v>
      </c>
      <c r="L68" s="316">
        <v>0</v>
      </c>
      <c r="M68" s="316">
        <v>0</v>
      </c>
      <c r="N68" s="316">
        <v>0</v>
      </c>
      <c r="O68" s="316">
        <v>0</v>
      </c>
      <c r="P68" s="316">
        <v>0</v>
      </c>
      <c r="Q68" s="316">
        <v>0</v>
      </c>
      <c r="R68" s="316">
        <v>0</v>
      </c>
      <c r="S68" s="316">
        <v>0</v>
      </c>
      <c r="T68" s="316">
        <v>0</v>
      </c>
      <c r="U68" s="316">
        <v>0</v>
      </c>
      <c r="V68" s="316">
        <v>0</v>
      </c>
      <c r="W68" s="316">
        <v>0</v>
      </c>
      <c r="X68" s="316">
        <v>0</v>
      </c>
      <c r="Y68" s="316">
        <v>0</v>
      </c>
      <c r="Z68" s="316">
        <v>0</v>
      </c>
      <c r="AA68" s="316">
        <v>0</v>
      </c>
      <c r="AB68" s="316">
        <v>0</v>
      </c>
      <c r="AC68" s="316">
        <v>0</v>
      </c>
      <c r="AD68" s="316">
        <v>0</v>
      </c>
      <c r="AE68" s="316">
        <v>1</v>
      </c>
      <c r="AF68" s="316">
        <v>1</v>
      </c>
      <c r="AG68" s="316">
        <v>1</v>
      </c>
      <c r="AH68" s="316">
        <v>1</v>
      </c>
      <c r="AI68" s="316">
        <v>1</v>
      </c>
      <c r="AJ68" s="316">
        <v>1</v>
      </c>
      <c r="AK68" s="316">
        <v>1</v>
      </c>
      <c r="AL68" s="316">
        <v>1</v>
      </c>
      <c r="AM68" s="316">
        <v>1</v>
      </c>
      <c r="AN68" s="316">
        <v>1</v>
      </c>
      <c r="AO68" s="316">
        <v>1</v>
      </c>
      <c r="AP68" s="316">
        <v>1</v>
      </c>
      <c r="AQ68" s="316">
        <v>1</v>
      </c>
      <c r="AR68" s="316">
        <v>1</v>
      </c>
      <c r="AS68" s="316">
        <v>1</v>
      </c>
      <c r="AT68" s="316">
        <v>1</v>
      </c>
    </row>
    <row r="69" spans="2:46" ht="12.75" hidden="1" customHeight="1" x14ac:dyDescent="0.15">
      <c r="B69" s="318">
        <v>5264</v>
      </c>
      <c r="C69" s="313" t="s">
        <v>894</v>
      </c>
      <c r="D69" s="313" t="s">
        <v>101</v>
      </c>
      <c r="E69" s="313" t="s">
        <v>1793</v>
      </c>
      <c r="F69" s="313" t="s">
        <v>922</v>
      </c>
      <c r="G69" s="315" t="e">
        <f>_xlfn.XLOOKUP(B69,'WFP Details - 2026'!A:A,'WFP Details - 2026'!Z:Z)</f>
        <v>#N/A</v>
      </c>
      <c r="H69" s="314">
        <v>46645</v>
      </c>
      <c r="I69" s="315">
        <v>9</v>
      </c>
      <c r="J69" s="315">
        <v>2027</v>
      </c>
      <c r="K69" s="316">
        <v>0</v>
      </c>
      <c r="L69" s="316">
        <v>0</v>
      </c>
      <c r="M69" s="316">
        <v>0</v>
      </c>
      <c r="N69" s="316">
        <v>0</v>
      </c>
      <c r="O69" s="316">
        <v>0</v>
      </c>
      <c r="P69" s="316">
        <v>0</v>
      </c>
      <c r="Q69" s="316">
        <v>0</v>
      </c>
      <c r="R69" s="316">
        <v>0</v>
      </c>
      <c r="S69" s="316">
        <v>0</v>
      </c>
      <c r="T69" s="316">
        <v>0</v>
      </c>
      <c r="U69" s="316">
        <v>0</v>
      </c>
      <c r="V69" s="316">
        <v>0</v>
      </c>
      <c r="W69" s="316">
        <v>0</v>
      </c>
      <c r="X69" s="316">
        <v>0</v>
      </c>
      <c r="Y69" s="316">
        <v>0</v>
      </c>
      <c r="Z69" s="316">
        <v>0</v>
      </c>
      <c r="AA69" s="316">
        <v>0</v>
      </c>
      <c r="AB69" s="316">
        <v>0</v>
      </c>
      <c r="AC69" s="316">
        <v>0</v>
      </c>
      <c r="AD69" s="316">
        <v>0</v>
      </c>
      <c r="AE69" s="316">
        <v>1</v>
      </c>
      <c r="AF69" s="316">
        <v>1</v>
      </c>
      <c r="AG69" s="316">
        <v>1</v>
      </c>
      <c r="AH69" s="316">
        <v>1</v>
      </c>
      <c r="AI69" s="316">
        <v>1</v>
      </c>
      <c r="AJ69" s="316">
        <v>1</v>
      </c>
      <c r="AK69" s="316">
        <v>1</v>
      </c>
      <c r="AL69" s="316">
        <v>1</v>
      </c>
      <c r="AM69" s="316">
        <v>1</v>
      </c>
      <c r="AN69" s="316">
        <v>1</v>
      </c>
      <c r="AO69" s="316">
        <v>1</v>
      </c>
      <c r="AP69" s="316">
        <v>1</v>
      </c>
      <c r="AQ69" s="316">
        <v>1</v>
      </c>
      <c r="AR69" s="316">
        <v>1</v>
      </c>
      <c r="AS69" s="316">
        <v>1</v>
      </c>
      <c r="AT69" s="316">
        <v>1</v>
      </c>
    </row>
    <row r="70" spans="2:46" ht="12.75" hidden="1" customHeight="1" x14ac:dyDescent="0.15">
      <c r="B70" s="312">
        <v>5265</v>
      </c>
      <c r="C70" s="313" t="s">
        <v>894</v>
      </c>
      <c r="D70" s="313" t="s">
        <v>101</v>
      </c>
      <c r="E70" s="313" t="s">
        <v>1795</v>
      </c>
      <c r="F70" s="313" t="s">
        <v>1682</v>
      </c>
      <c r="G70" s="315" t="e">
        <f>_xlfn.XLOOKUP(B70,'WFP Details - 2026'!A:A,'WFP Details - 2026'!Z:Z)</f>
        <v>#N/A</v>
      </c>
      <c r="H70" s="314">
        <v>46645</v>
      </c>
      <c r="I70" s="315">
        <v>9</v>
      </c>
      <c r="J70" s="315">
        <v>2027</v>
      </c>
      <c r="K70" s="316">
        <v>0</v>
      </c>
      <c r="L70" s="316">
        <v>0</v>
      </c>
      <c r="M70" s="316">
        <v>0</v>
      </c>
      <c r="N70" s="316">
        <v>0</v>
      </c>
      <c r="O70" s="316">
        <v>0</v>
      </c>
      <c r="P70" s="316">
        <v>0</v>
      </c>
      <c r="Q70" s="316">
        <v>0</v>
      </c>
      <c r="R70" s="316">
        <v>0</v>
      </c>
      <c r="S70" s="316">
        <v>0</v>
      </c>
      <c r="T70" s="316">
        <v>0</v>
      </c>
      <c r="U70" s="316">
        <v>0</v>
      </c>
      <c r="V70" s="316">
        <v>0</v>
      </c>
      <c r="W70" s="316">
        <v>0</v>
      </c>
      <c r="X70" s="316">
        <v>0</v>
      </c>
      <c r="Y70" s="316">
        <v>0</v>
      </c>
      <c r="Z70" s="316">
        <v>0</v>
      </c>
      <c r="AA70" s="316">
        <v>0</v>
      </c>
      <c r="AB70" s="316">
        <v>0</v>
      </c>
      <c r="AC70" s="316">
        <v>0</v>
      </c>
      <c r="AD70" s="316">
        <v>0</v>
      </c>
      <c r="AE70" s="316">
        <v>1</v>
      </c>
      <c r="AF70" s="316">
        <v>1</v>
      </c>
      <c r="AG70" s="316">
        <v>1</v>
      </c>
      <c r="AH70" s="316">
        <v>1</v>
      </c>
      <c r="AI70" s="316">
        <v>1</v>
      </c>
      <c r="AJ70" s="316">
        <v>1</v>
      </c>
      <c r="AK70" s="316">
        <v>1</v>
      </c>
      <c r="AL70" s="316">
        <v>1</v>
      </c>
      <c r="AM70" s="316">
        <v>1</v>
      </c>
      <c r="AN70" s="316">
        <v>1</v>
      </c>
      <c r="AO70" s="316">
        <v>1</v>
      </c>
      <c r="AP70" s="316">
        <v>1</v>
      </c>
      <c r="AQ70" s="316">
        <v>1</v>
      </c>
      <c r="AR70" s="316">
        <v>1</v>
      </c>
      <c r="AS70" s="316">
        <v>1</v>
      </c>
      <c r="AT70" s="316">
        <v>1</v>
      </c>
    </row>
    <row r="71" spans="2:46" ht="12.75" hidden="1" customHeight="1" x14ac:dyDescent="0.15">
      <c r="B71" s="315">
        <v>5350</v>
      </c>
      <c r="C71" s="319" t="s">
        <v>894</v>
      </c>
      <c r="D71" s="313" t="s">
        <v>101</v>
      </c>
      <c r="E71" s="313" t="s">
        <v>1795</v>
      </c>
      <c r="F71" s="319" t="s">
        <v>1688</v>
      </c>
      <c r="G71" s="315" t="e">
        <f>_xlfn.XLOOKUP(B71,'WFP Details - 2026'!A:A,'WFP Details - 2026'!Z:Z)</f>
        <v>#N/A</v>
      </c>
      <c r="H71" s="314">
        <v>46645</v>
      </c>
      <c r="I71" s="315">
        <v>9</v>
      </c>
      <c r="J71" s="315">
        <v>2027</v>
      </c>
      <c r="K71" s="316">
        <v>0</v>
      </c>
      <c r="L71" s="316">
        <v>0</v>
      </c>
      <c r="M71" s="316">
        <v>0</v>
      </c>
      <c r="N71" s="316">
        <v>0</v>
      </c>
      <c r="O71" s="316">
        <v>0</v>
      </c>
      <c r="P71" s="316">
        <v>0</v>
      </c>
      <c r="Q71" s="316">
        <v>0</v>
      </c>
      <c r="R71" s="316">
        <v>0</v>
      </c>
      <c r="S71" s="316">
        <v>0</v>
      </c>
      <c r="T71" s="316">
        <v>0</v>
      </c>
      <c r="U71" s="316">
        <v>0</v>
      </c>
      <c r="V71" s="316">
        <v>0</v>
      </c>
      <c r="W71" s="316">
        <v>0</v>
      </c>
      <c r="X71" s="316">
        <v>0</v>
      </c>
      <c r="Y71" s="316">
        <v>0</v>
      </c>
      <c r="Z71" s="316">
        <v>0</v>
      </c>
      <c r="AA71" s="316">
        <v>0</v>
      </c>
      <c r="AB71" s="316">
        <v>0</v>
      </c>
      <c r="AC71" s="316">
        <v>0</v>
      </c>
      <c r="AD71" s="316">
        <v>0</v>
      </c>
      <c r="AE71" s="316">
        <v>1</v>
      </c>
      <c r="AF71" s="316">
        <v>1</v>
      </c>
      <c r="AG71" s="316">
        <v>1</v>
      </c>
      <c r="AH71" s="316">
        <v>1</v>
      </c>
      <c r="AI71" s="316">
        <v>1</v>
      </c>
      <c r="AJ71" s="316">
        <v>1</v>
      </c>
      <c r="AK71" s="316">
        <v>1</v>
      </c>
      <c r="AL71" s="316">
        <v>1</v>
      </c>
      <c r="AM71" s="316">
        <v>1</v>
      </c>
      <c r="AN71" s="316">
        <v>1</v>
      </c>
      <c r="AO71" s="316">
        <v>1</v>
      </c>
      <c r="AP71" s="316">
        <v>1</v>
      </c>
      <c r="AQ71" s="316">
        <v>1</v>
      </c>
      <c r="AR71" s="316">
        <v>1</v>
      </c>
      <c r="AS71" s="316">
        <v>1</v>
      </c>
      <c r="AT71" s="316">
        <v>1</v>
      </c>
    </row>
    <row r="72" spans="2:46" ht="12.75" hidden="1" customHeight="1" x14ac:dyDescent="0.15">
      <c r="B72" s="315">
        <v>5351</v>
      </c>
      <c r="C72" s="319" t="s">
        <v>894</v>
      </c>
      <c r="D72" s="313" t="s">
        <v>101</v>
      </c>
      <c r="E72" s="313" t="s">
        <v>1795</v>
      </c>
      <c r="F72" s="319" t="s">
        <v>1682</v>
      </c>
      <c r="G72" s="315" t="e">
        <f>_xlfn.XLOOKUP(B72,'WFP Details - 2026'!A:A,'WFP Details - 2026'!Z:Z)</f>
        <v>#N/A</v>
      </c>
      <c r="H72" s="314">
        <v>46645</v>
      </c>
      <c r="I72" s="315">
        <v>9</v>
      </c>
      <c r="J72" s="315">
        <v>2027</v>
      </c>
      <c r="K72" s="316">
        <v>0</v>
      </c>
      <c r="L72" s="316">
        <v>0</v>
      </c>
      <c r="M72" s="316">
        <v>0</v>
      </c>
      <c r="N72" s="316">
        <v>0</v>
      </c>
      <c r="O72" s="316">
        <v>0</v>
      </c>
      <c r="P72" s="316">
        <v>0</v>
      </c>
      <c r="Q72" s="316">
        <v>0</v>
      </c>
      <c r="R72" s="316">
        <v>0</v>
      </c>
      <c r="S72" s="316">
        <v>0</v>
      </c>
      <c r="T72" s="316">
        <v>0</v>
      </c>
      <c r="U72" s="316">
        <v>0</v>
      </c>
      <c r="V72" s="316">
        <v>0</v>
      </c>
      <c r="W72" s="316">
        <v>0</v>
      </c>
      <c r="X72" s="316">
        <v>0</v>
      </c>
      <c r="Y72" s="316">
        <v>0</v>
      </c>
      <c r="Z72" s="316">
        <v>0</v>
      </c>
      <c r="AA72" s="316">
        <v>0</v>
      </c>
      <c r="AB72" s="316">
        <v>0</v>
      </c>
      <c r="AC72" s="316">
        <v>0</v>
      </c>
      <c r="AD72" s="316">
        <v>0</v>
      </c>
      <c r="AE72" s="316">
        <v>1</v>
      </c>
      <c r="AF72" s="316">
        <v>1</v>
      </c>
      <c r="AG72" s="316">
        <v>1</v>
      </c>
      <c r="AH72" s="316">
        <v>1</v>
      </c>
      <c r="AI72" s="316">
        <v>1</v>
      </c>
      <c r="AJ72" s="316">
        <v>1</v>
      </c>
      <c r="AK72" s="316">
        <v>1</v>
      </c>
      <c r="AL72" s="316">
        <v>1</v>
      </c>
      <c r="AM72" s="316">
        <v>1</v>
      </c>
      <c r="AN72" s="316">
        <v>1</v>
      </c>
      <c r="AO72" s="316">
        <v>1</v>
      </c>
      <c r="AP72" s="316">
        <v>1</v>
      </c>
      <c r="AQ72" s="316">
        <v>1</v>
      </c>
      <c r="AR72" s="316">
        <v>1</v>
      </c>
      <c r="AS72" s="316">
        <v>1</v>
      </c>
      <c r="AT72" s="316">
        <v>1</v>
      </c>
    </row>
    <row r="73" spans="2:46" ht="12.75" hidden="1" customHeight="1" x14ac:dyDescent="0.15">
      <c r="B73" s="318">
        <v>5266</v>
      </c>
      <c r="C73" s="313" t="s">
        <v>894</v>
      </c>
      <c r="D73" s="313" t="s">
        <v>101</v>
      </c>
      <c r="E73" s="313" t="s">
        <v>1795</v>
      </c>
      <c r="F73" s="313" t="s">
        <v>1682</v>
      </c>
      <c r="G73" s="315" t="e">
        <f>_xlfn.XLOOKUP(B73,'WFP Details - 2026'!A:A,'WFP Details - 2026'!Z:Z)</f>
        <v>#N/A</v>
      </c>
      <c r="H73" s="314">
        <v>46736</v>
      </c>
      <c r="I73" s="315">
        <v>12</v>
      </c>
      <c r="J73" s="315">
        <v>2027</v>
      </c>
      <c r="K73" s="316">
        <v>0</v>
      </c>
      <c r="L73" s="316">
        <v>0</v>
      </c>
      <c r="M73" s="316">
        <v>0</v>
      </c>
      <c r="N73" s="316">
        <v>0</v>
      </c>
      <c r="O73" s="316">
        <v>0</v>
      </c>
      <c r="P73" s="316">
        <v>0</v>
      </c>
      <c r="Q73" s="316">
        <v>0</v>
      </c>
      <c r="R73" s="316">
        <v>0</v>
      </c>
      <c r="S73" s="316">
        <v>0</v>
      </c>
      <c r="T73" s="316">
        <v>0</v>
      </c>
      <c r="U73" s="316">
        <v>0</v>
      </c>
      <c r="V73" s="316">
        <v>0</v>
      </c>
      <c r="W73" s="316">
        <v>0</v>
      </c>
      <c r="X73" s="316">
        <v>0</v>
      </c>
      <c r="Y73" s="316">
        <v>0</v>
      </c>
      <c r="Z73" s="316">
        <v>0</v>
      </c>
      <c r="AA73" s="316">
        <v>0</v>
      </c>
      <c r="AB73" s="316">
        <v>0</v>
      </c>
      <c r="AC73" s="316">
        <v>0</v>
      </c>
      <c r="AD73" s="316">
        <v>0</v>
      </c>
      <c r="AE73" s="316">
        <v>0</v>
      </c>
      <c r="AF73" s="316">
        <v>0</v>
      </c>
      <c r="AG73" s="316">
        <v>0</v>
      </c>
      <c r="AH73" s="316">
        <v>1</v>
      </c>
      <c r="AI73" s="316">
        <v>1</v>
      </c>
      <c r="AJ73" s="316">
        <v>1</v>
      </c>
      <c r="AK73" s="316">
        <v>1</v>
      </c>
      <c r="AL73" s="316">
        <v>1</v>
      </c>
      <c r="AM73" s="316">
        <v>1</v>
      </c>
      <c r="AN73" s="316">
        <v>1</v>
      </c>
      <c r="AO73" s="316">
        <v>1</v>
      </c>
      <c r="AP73" s="316">
        <v>1</v>
      </c>
      <c r="AQ73" s="316">
        <v>1</v>
      </c>
      <c r="AR73" s="316">
        <v>1</v>
      </c>
      <c r="AS73" s="316">
        <v>1</v>
      </c>
      <c r="AT73" s="316">
        <v>1</v>
      </c>
    </row>
    <row r="74" spans="2:46" ht="12.75" hidden="1" customHeight="1" x14ac:dyDescent="0.15">
      <c r="B74" s="318">
        <v>5267</v>
      </c>
      <c r="C74" s="313" t="s">
        <v>894</v>
      </c>
      <c r="D74" s="313" t="s">
        <v>101</v>
      </c>
      <c r="E74" s="313" t="s">
        <v>1793</v>
      </c>
      <c r="F74" s="313" t="s">
        <v>1553</v>
      </c>
      <c r="G74" s="315" t="e">
        <f>_xlfn.XLOOKUP(B74,'WFP Details - 2026'!A:A,'WFP Details - 2026'!Z:Z)</f>
        <v>#N/A</v>
      </c>
      <c r="H74" s="314">
        <v>46736</v>
      </c>
      <c r="I74" s="315">
        <v>12</v>
      </c>
      <c r="J74" s="315">
        <v>2027</v>
      </c>
      <c r="K74" s="316">
        <v>0</v>
      </c>
      <c r="L74" s="316">
        <v>0</v>
      </c>
      <c r="M74" s="316">
        <v>0</v>
      </c>
      <c r="N74" s="316">
        <v>0</v>
      </c>
      <c r="O74" s="316">
        <v>0</v>
      </c>
      <c r="P74" s="316">
        <v>0</v>
      </c>
      <c r="Q74" s="316">
        <v>0</v>
      </c>
      <c r="R74" s="316">
        <v>0</v>
      </c>
      <c r="S74" s="316">
        <v>0</v>
      </c>
      <c r="T74" s="316">
        <v>0</v>
      </c>
      <c r="U74" s="316">
        <v>0</v>
      </c>
      <c r="V74" s="316">
        <v>0</v>
      </c>
      <c r="W74" s="316">
        <v>0</v>
      </c>
      <c r="X74" s="316">
        <v>0</v>
      </c>
      <c r="Y74" s="316">
        <v>0</v>
      </c>
      <c r="Z74" s="316">
        <v>0</v>
      </c>
      <c r="AA74" s="316">
        <v>0</v>
      </c>
      <c r="AB74" s="316">
        <v>0</v>
      </c>
      <c r="AC74" s="316">
        <v>0</v>
      </c>
      <c r="AD74" s="316">
        <v>0</v>
      </c>
      <c r="AE74" s="316">
        <v>0</v>
      </c>
      <c r="AF74" s="316">
        <v>0</v>
      </c>
      <c r="AG74" s="316">
        <v>0</v>
      </c>
      <c r="AH74" s="316">
        <v>1</v>
      </c>
      <c r="AI74" s="316">
        <v>1</v>
      </c>
      <c r="AJ74" s="316">
        <v>1</v>
      </c>
      <c r="AK74" s="316">
        <v>1</v>
      </c>
      <c r="AL74" s="316">
        <v>1</v>
      </c>
      <c r="AM74" s="316">
        <v>1</v>
      </c>
      <c r="AN74" s="316">
        <v>1</v>
      </c>
      <c r="AO74" s="316">
        <v>1</v>
      </c>
      <c r="AP74" s="316">
        <v>1</v>
      </c>
      <c r="AQ74" s="316">
        <v>1</v>
      </c>
      <c r="AR74" s="316">
        <v>1</v>
      </c>
      <c r="AS74" s="316">
        <v>1</v>
      </c>
      <c r="AT74" s="316">
        <v>1</v>
      </c>
    </row>
    <row r="75" spans="2:46" ht="12.75" hidden="1" customHeight="1" x14ac:dyDescent="0.15">
      <c r="B75" s="312">
        <v>5268</v>
      </c>
      <c r="C75" s="313" t="s">
        <v>894</v>
      </c>
      <c r="D75" s="313" t="s">
        <v>101</v>
      </c>
      <c r="E75" s="313" t="s">
        <v>1793</v>
      </c>
      <c r="F75" s="313" t="s">
        <v>1553</v>
      </c>
      <c r="G75" s="315" t="e">
        <f>_xlfn.XLOOKUP(B75,'WFP Details - 2026'!A:A,'WFP Details - 2026'!Z:Z)</f>
        <v>#N/A</v>
      </c>
      <c r="H75" s="314">
        <v>46736</v>
      </c>
      <c r="I75" s="315">
        <v>12</v>
      </c>
      <c r="J75" s="315">
        <v>2027</v>
      </c>
      <c r="K75" s="316">
        <v>0</v>
      </c>
      <c r="L75" s="316">
        <v>0</v>
      </c>
      <c r="M75" s="316">
        <v>0</v>
      </c>
      <c r="N75" s="316">
        <v>0</v>
      </c>
      <c r="O75" s="316">
        <v>0</v>
      </c>
      <c r="P75" s="316">
        <v>0</v>
      </c>
      <c r="Q75" s="316">
        <v>0</v>
      </c>
      <c r="R75" s="316">
        <v>0</v>
      </c>
      <c r="S75" s="316">
        <v>0</v>
      </c>
      <c r="T75" s="316">
        <v>0</v>
      </c>
      <c r="U75" s="316">
        <v>0</v>
      </c>
      <c r="V75" s="316">
        <v>0</v>
      </c>
      <c r="W75" s="316">
        <v>0</v>
      </c>
      <c r="X75" s="316">
        <v>0</v>
      </c>
      <c r="Y75" s="316">
        <v>0</v>
      </c>
      <c r="Z75" s="316">
        <v>0</v>
      </c>
      <c r="AA75" s="316">
        <v>0</v>
      </c>
      <c r="AB75" s="316">
        <v>0</v>
      </c>
      <c r="AC75" s="316">
        <v>0</v>
      </c>
      <c r="AD75" s="316">
        <v>0</v>
      </c>
      <c r="AE75" s="316">
        <v>0</v>
      </c>
      <c r="AF75" s="316">
        <v>0</v>
      </c>
      <c r="AG75" s="316">
        <v>0</v>
      </c>
      <c r="AH75" s="316">
        <v>1</v>
      </c>
      <c r="AI75" s="316">
        <v>1</v>
      </c>
      <c r="AJ75" s="316">
        <v>1</v>
      </c>
      <c r="AK75" s="316">
        <v>1</v>
      </c>
      <c r="AL75" s="316">
        <v>1</v>
      </c>
      <c r="AM75" s="316">
        <v>1</v>
      </c>
      <c r="AN75" s="316">
        <v>1</v>
      </c>
      <c r="AO75" s="316">
        <v>1</v>
      </c>
      <c r="AP75" s="316">
        <v>1</v>
      </c>
      <c r="AQ75" s="316">
        <v>1</v>
      </c>
      <c r="AR75" s="316">
        <v>1</v>
      </c>
      <c r="AS75" s="316">
        <v>1</v>
      </c>
      <c r="AT75" s="316">
        <v>1</v>
      </c>
    </row>
    <row r="76" spans="2:46" ht="12.75" customHeight="1" x14ac:dyDescent="0.15">
      <c r="B76" s="327">
        <v>1194</v>
      </c>
      <c r="C76" s="313" t="s">
        <v>1808</v>
      </c>
      <c r="D76" s="313" t="s">
        <v>939</v>
      </c>
      <c r="E76" s="313" t="s">
        <v>1795</v>
      </c>
      <c r="F76" s="313" t="s">
        <v>1002</v>
      </c>
      <c r="G76" s="315" t="str">
        <f>_xlfn.XLOOKUP(B76,'WFP Details - 2026'!A:A,'WFP Details - 2026'!Z:Z)</f>
        <v>x</v>
      </c>
      <c r="H76" s="314">
        <v>45516</v>
      </c>
      <c r="I76" s="315">
        <v>8</v>
      </c>
      <c r="J76" s="315">
        <v>2024</v>
      </c>
      <c r="K76" s="316">
        <v>1</v>
      </c>
      <c r="L76" s="316">
        <v>1</v>
      </c>
      <c r="M76" s="316">
        <v>1</v>
      </c>
      <c r="N76" s="316">
        <v>1</v>
      </c>
      <c r="O76" s="316">
        <v>1</v>
      </c>
      <c r="P76" s="316">
        <v>1</v>
      </c>
      <c r="Q76" s="316">
        <v>1</v>
      </c>
      <c r="R76" s="316">
        <v>1</v>
      </c>
      <c r="S76" s="316">
        <v>1</v>
      </c>
      <c r="T76" s="316">
        <v>1</v>
      </c>
      <c r="U76" s="316">
        <v>1</v>
      </c>
      <c r="V76" s="316">
        <v>1</v>
      </c>
      <c r="W76" s="316">
        <v>1</v>
      </c>
      <c r="X76" s="316">
        <v>1</v>
      </c>
      <c r="Y76" s="316">
        <v>1</v>
      </c>
      <c r="Z76" s="316">
        <v>1</v>
      </c>
      <c r="AA76" s="316">
        <v>1</v>
      </c>
      <c r="AB76" s="316">
        <v>1</v>
      </c>
      <c r="AC76" s="316">
        <v>1</v>
      </c>
      <c r="AD76" s="316">
        <v>1</v>
      </c>
      <c r="AE76" s="316">
        <v>1</v>
      </c>
      <c r="AF76" s="316">
        <v>1</v>
      </c>
      <c r="AG76" s="316">
        <v>1</v>
      </c>
      <c r="AH76" s="316">
        <v>1</v>
      </c>
      <c r="AI76" s="316">
        <v>1</v>
      </c>
      <c r="AJ76" s="316">
        <v>1</v>
      </c>
      <c r="AK76" s="316">
        <v>1</v>
      </c>
      <c r="AL76" s="316">
        <v>1</v>
      </c>
      <c r="AM76" s="316">
        <v>1</v>
      </c>
      <c r="AN76" s="316">
        <v>1</v>
      </c>
      <c r="AO76" s="316">
        <v>1</v>
      </c>
      <c r="AP76" s="316">
        <v>1</v>
      </c>
      <c r="AQ76" s="316">
        <v>1</v>
      </c>
      <c r="AR76" s="316">
        <v>1</v>
      </c>
      <c r="AS76" s="316">
        <v>1</v>
      </c>
      <c r="AT76" s="316">
        <v>1</v>
      </c>
    </row>
    <row r="77" spans="2:46" ht="12.75" customHeight="1" x14ac:dyDescent="0.15">
      <c r="B77" s="330">
        <v>1191</v>
      </c>
      <c r="C77" s="313" t="s">
        <v>1808</v>
      </c>
      <c r="D77" s="313" t="s">
        <v>1009</v>
      </c>
      <c r="E77" s="313" t="s">
        <v>1793</v>
      </c>
      <c r="F77" s="313" t="s">
        <v>1005</v>
      </c>
      <c r="G77" s="315" t="str">
        <f>_xlfn.XLOOKUP(B77,'WFP Details - 2026'!A:A,'WFP Details - 2026'!Z:Z)</f>
        <v>x</v>
      </c>
      <c r="H77" s="314">
        <v>45516</v>
      </c>
      <c r="I77" s="315">
        <v>8</v>
      </c>
      <c r="J77" s="315">
        <v>2024</v>
      </c>
      <c r="K77" s="316">
        <v>1</v>
      </c>
      <c r="L77" s="316">
        <v>1</v>
      </c>
      <c r="M77" s="316">
        <v>1</v>
      </c>
      <c r="N77" s="316">
        <v>1</v>
      </c>
      <c r="O77" s="316">
        <v>1</v>
      </c>
      <c r="P77" s="316">
        <v>1</v>
      </c>
      <c r="Q77" s="316">
        <v>1</v>
      </c>
      <c r="R77" s="316">
        <v>1</v>
      </c>
      <c r="S77" s="316">
        <v>1</v>
      </c>
      <c r="T77" s="316">
        <v>1</v>
      </c>
      <c r="U77" s="316">
        <v>1</v>
      </c>
      <c r="V77" s="316">
        <v>1</v>
      </c>
      <c r="W77" s="316">
        <v>1</v>
      </c>
      <c r="X77" s="316">
        <v>1</v>
      </c>
      <c r="Y77" s="316">
        <v>1</v>
      </c>
      <c r="Z77" s="316">
        <v>1</v>
      </c>
      <c r="AA77" s="316">
        <v>1</v>
      </c>
      <c r="AB77" s="316">
        <v>1</v>
      </c>
      <c r="AC77" s="316">
        <v>1</v>
      </c>
      <c r="AD77" s="316">
        <v>1</v>
      </c>
      <c r="AE77" s="316">
        <v>1</v>
      </c>
      <c r="AF77" s="316">
        <v>1</v>
      </c>
      <c r="AG77" s="316">
        <v>1</v>
      </c>
      <c r="AH77" s="316">
        <v>1</v>
      </c>
      <c r="AI77" s="316">
        <v>1</v>
      </c>
      <c r="AJ77" s="316">
        <v>1</v>
      </c>
      <c r="AK77" s="316">
        <v>1</v>
      </c>
      <c r="AL77" s="316">
        <v>1</v>
      </c>
      <c r="AM77" s="316">
        <v>1</v>
      </c>
      <c r="AN77" s="316">
        <v>1</v>
      </c>
      <c r="AO77" s="316">
        <v>1</v>
      </c>
      <c r="AP77" s="316">
        <v>1</v>
      </c>
      <c r="AQ77" s="316">
        <v>1</v>
      </c>
      <c r="AR77" s="316">
        <v>1</v>
      </c>
      <c r="AS77" s="316">
        <v>1</v>
      </c>
      <c r="AT77" s="316">
        <v>1</v>
      </c>
    </row>
    <row r="78" spans="2:46" ht="12.75" customHeight="1" x14ac:dyDescent="0.15">
      <c r="B78" s="328">
        <v>1193</v>
      </c>
      <c r="C78" s="313" t="s">
        <v>1808</v>
      </c>
      <c r="D78" s="313" t="s">
        <v>945</v>
      </c>
      <c r="E78" s="313" t="s">
        <v>1794</v>
      </c>
      <c r="F78" s="319" t="s">
        <v>1007</v>
      </c>
      <c r="G78" s="315" t="str">
        <f>_xlfn.XLOOKUP(B78,'WFP Details - 2026'!A:A,'WFP Details - 2026'!Z:Z)</f>
        <v>x</v>
      </c>
      <c r="H78" s="314">
        <v>45747</v>
      </c>
      <c r="I78" s="315">
        <v>3</v>
      </c>
      <c r="J78" s="315">
        <v>2025</v>
      </c>
      <c r="K78" s="316">
        <v>1</v>
      </c>
      <c r="L78" s="316">
        <v>1</v>
      </c>
      <c r="M78" s="316">
        <v>1</v>
      </c>
      <c r="N78" s="316">
        <v>1</v>
      </c>
      <c r="O78" s="316">
        <v>1</v>
      </c>
      <c r="P78" s="316">
        <v>1</v>
      </c>
      <c r="Q78" s="316">
        <v>1</v>
      </c>
      <c r="R78" s="316">
        <v>1</v>
      </c>
      <c r="S78" s="316">
        <v>1</v>
      </c>
      <c r="T78" s="316">
        <v>1</v>
      </c>
      <c r="U78" s="316">
        <v>1</v>
      </c>
      <c r="V78" s="316">
        <v>1</v>
      </c>
      <c r="W78" s="316">
        <v>1</v>
      </c>
      <c r="X78" s="316">
        <v>1</v>
      </c>
      <c r="Y78" s="316">
        <v>1</v>
      </c>
      <c r="Z78" s="316">
        <v>1</v>
      </c>
      <c r="AA78" s="316">
        <v>1</v>
      </c>
      <c r="AB78" s="316">
        <v>1</v>
      </c>
      <c r="AC78" s="316">
        <v>1</v>
      </c>
      <c r="AD78" s="316">
        <v>1</v>
      </c>
      <c r="AE78" s="316">
        <v>1</v>
      </c>
      <c r="AF78" s="316">
        <v>1</v>
      </c>
      <c r="AG78" s="316">
        <v>1</v>
      </c>
      <c r="AH78" s="316">
        <v>1</v>
      </c>
      <c r="AI78" s="316">
        <v>1</v>
      </c>
      <c r="AJ78" s="316">
        <v>1</v>
      </c>
      <c r="AK78" s="316">
        <v>1</v>
      </c>
      <c r="AL78" s="316">
        <v>1</v>
      </c>
      <c r="AM78" s="316">
        <v>1</v>
      </c>
      <c r="AN78" s="316">
        <v>1</v>
      </c>
      <c r="AO78" s="316">
        <v>1</v>
      </c>
      <c r="AP78" s="316">
        <v>1</v>
      </c>
      <c r="AQ78" s="316">
        <v>1</v>
      </c>
      <c r="AR78" s="316">
        <v>1</v>
      </c>
      <c r="AS78" s="316">
        <v>1</v>
      </c>
      <c r="AT78" s="316">
        <v>1</v>
      </c>
    </row>
    <row r="79" spans="2:46" ht="12.75" customHeight="1" x14ac:dyDescent="0.15">
      <c r="B79" s="328">
        <v>1179</v>
      </c>
      <c r="C79" s="313" t="s">
        <v>1808</v>
      </c>
      <c r="D79" s="313" t="s">
        <v>1809</v>
      </c>
      <c r="E79" s="313" t="s">
        <v>1794</v>
      </c>
      <c r="F79" s="319" t="s">
        <v>1010</v>
      </c>
      <c r="G79" s="315" t="str">
        <f>_xlfn.XLOOKUP(B79,'WFP Details - 2026'!A:A,'WFP Details - 2026'!Z:Z)</f>
        <v>x</v>
      </c>
      <c r="H79" s="314">
        <v>45880</v>
      </c>
      <c r="I79" s="315">
        <v>8</v>
      </c>
      <c r="J79" s="315">
        <v>2025</v>
      </c>
      <c r="K79" s="316">
        <v>1</v>
      </c>
      <c r="L79" s="316">
        <v>1</v>
      </c>
      <c r="M79" s="316">
        <v>1</v>
      </c>
      <c r="N79" s="316">
        <v>1</v>
      </c>
      <c r="O79" s="316">
        <v>1</v>
      </c>
      <c r="P79" s="316">
        <v>1</v>
      </c>
      <c r="Q79" s="316">
        <v>1</v>
      </c>
      <c r="R79" s="316">
        <v>1</v>
      </c>
      <c r="S79" s="316">
        <v>1</v>
      </c>
      <c r="T79" s="316">
        <v>1</v>
      </c>
      <c r="U79" s="316">
        <v>1</v>
      </c>
      <c r="V79" s="316">
        <v>1</v>
      </c>
      <c r="W79" s="316">
        <v>1</v>
      </c>
      <c r="X79" s="316">
        <v>1</v>
      </c>
      <c r="Y79" s="316">
        <v>1</v>
      </c>
      <c r="Z79" s="316">
        <v>1</v>
      </c>
      <c r="AA79" s="316">
        <v>1</v>
      </c>
      <c r="AB79" s="316">
        <v>1</v>
      </c>
      <c r="AC79" s="316">
        <v>1</v>
      </c>
      <c r="AD79" s="316">
        <v>1</v>
      </c>
      <c r="AE79" s="316">
        <v>1</v>
      </c>
      <c r="AF79" s="316">
        <v>1</v>
      </c>
      <c r="AG79" s="316">
        <v>1</v>
      </c>
      <c r="AH79" s="316">
        <v>1</v>
      </c>
      <c r="AI79" s="316">
        <v>1</v>
      </c>
      <c r="AJ79" s="316">
        <v>1</v>
      </c>
      <c r="AK79" s="316">
        <v>1</v>
      </c>
      <c r="AL79" s="316">
        <v>1</v>
      </c>
      <c r="AM79" s="316">
        <v>1</v>
      </c>
      <c r="AN79" s="316">
        <v>1</v>
      </c>
      <c r="AO79" s="316">
        <v>1</v>
      </c>
      <c r="AP79" s="316">
        <v>1</v>
      </c>
      <c r="AQ79" s="316">
        <v>1</v>
      </c>
      <c r="AR79" s="316">
        <v>1</v>
      </c>
      <c r="AS79" s="316">
        <v>1</v>
      </c>
      <c r="AT79" s="316">
        <v>1</v>
      </c>
    </row>
    <row r="80" spans="2:46" ht="12.75" customHeight="1" x14ac:dyDescent="0.15">
      <c r="B80" s="318">
        <v>1310</v>
      </c>
      <c r="C80" s="313" t="s">
        <v>78</v>
      </c>
      <c r="D80" s="313" t="s">
        <v>94</v>
      </c>
      <c r="E80" s="319" t="s">
        <v>1810</v>
      </c>
      <c r="F80" s="319" t="s">
        <v>1811</v>
      </c>
      <c r="G80" s="315" t="str">
        <f>_xlfn.XLOOKUP(B80,'WFP Details - 2026'!A:A,'WFP Details - 2026'!Z:Z)</f>
        <v>x</v>
      </c>
      <c r="H80" s="320">
        <v>45156</v>
      </c>
      <c r="I80" s="315">
        <v>8</v>
      </c>
      <c r="J80" s="315">
        <v>2023</v>
      </c>
      <c r="K80" s="316">
        <v>1</v>
      </c>
      <c r="L80" s="316">
        <v>1</v>
      </c>
      <c r="M80" s="316">
        <v>1</v>
      </c>
      <c r="N80" s="316">
        <v>1</v>
      </c>
      <c r="O80" s="316">
        <v>1</v>
      </c>
      <c r="P80" s="316">
        <v>1</v>
      </c>
      <c r="Q80" s="316">
        <v>1</v>
      </c>
      <c r="R80" s="316">
        <v>1</v>
      </c>
      <c r="S80" s="316">
        <v>1</v>
      </c>
      <c r="T80" s="316">
        <v>1</v>
      </c>
      <c r="U80" s="316">
        <v>1</v>
      </c>
      <c r="V80" s="316">
        <v>1</v>
      </c>
      <c r="W80" s="316">
        <v>1</v>
      </c>
      <c r="X80" s="316">
        <v>1</v>
      </c>
      <c r="Y80" s="316">
        <v>1</v>
      </c>
      <c r="Z80" s="316">
        <v>1</v>
      </c>
      <c r="AA80" s="316">
        <v>1</v>
      </c>
      <c r="AB80" s="316">
        <v>1</v>
      </c>
      <c r="AC80" s="316">
        <v>1</v>
      </c>
      <c r="AD80" s="316">
        <v>1</v>
      </c>
      <c r="AE80" s="316">
        <v>1</v>
      </c>
      <c r="AF80" s="316">
        <v>1</v>
      </c>
      <c r="AG80" s="316">
        <v>1</v>
      </c>
      <c r="AH80" s="316">
        <v>1</v>
      </c>
      <c r="AI80" s="316">
        <v>1</v>
      </c>
      <c r="AJ80" s="316">
        <v>1</v>
      </c>
      <c r="AK80" s="316">
        <v>1</v>
      </c>
      <c r="AL80" s="316">
        <v>1</v>
      </c>
      <c r="AM80" s="316">
        <v>1</v>
      </c>
      <c r="AN80" s="316">
        <v>1</v>
      </c>
      <c r="AO80" s="316">
        <v>1</v>
      </c>
      <c r="AP80" s="316">
        <v>1</v>
      </c>
      <c r="AQ80" s="316">
        <v>1</v>
      </c>
      <c r="AR80" s="316">
        <v>1</v>
      </c>
      <c r="AS80" s="316">
        <v>1</v>
      </c>
      <c r="AT80" s="316">
        <v>1</v>
      </c>
    </row>
    <row r="81" spans="2:46" ht="12.75" customHeight="1" x14ac:dyDescent="0.15">
      <c r="B81" s="318">
        <v>1068</v>
      </c>
      <c r="C81" s="313" t="s">
        <v>78</v>
      </c>
      <c r="D81" s="313" t="s">
        <v>1812</v>
      </c>
      <c r="E81" s="319" t="s">
        <v>1801</v>
      </c>
      <c r="F81" s="319" t="s">
        <v>1813</v>
      </c>
      <c r="G81" s="315" t="str">
        <f>_xlfn.XLOOKUP(B81,'WFP Details - 2026'!A:A,'WFP Details - 2026'!Z:Z)</f>
        <v>x</v>
      </c>
      <c r="H81" s="314">
        <v>45558</v>
      </c>
      <c r="I81" s="315">
        <v>9</v>
      </c>
      <c r="J81" s="315">
        <v>2024</v>
      </c>
      <c r="K81" s="316">
        <v>1</v>
      </c>
      <c r="L81" s="316">
        <v>1</v>
      </c>
      <c r="M81" s="316">
        <v>1</v>
      </c>
      <c r="N81" s="316">
        <v>1</v>
      </c>
      <c r="O81" s="316">
        <v>1</v>
      </c>
      <c r="P81" s="316">
        <v>1</v>
      </c>
      <c r="Q81" s="316">
        <v>1</v>
      </c>
      <c r="R81" s="316">
        <v>1</v>
      </c>
      <c r="S81" s="316">
        <v>1</v>
      </c>
      <c r="T81" s="316">
        <v>1</v>
      </c>
      <c r="U81" s="316">
        <v>1</v>
      </c>
      <c r="V81" s="316">
        <v>1</v>
      </c>
      <c r="W81" s="316">
        <v>1</v>
      </c>
      <c r="X81" s="316">
        <v>1</v>
      </c>
      <c r="Y81" s="316">
        <v>1</v>
      </c>
      <c r="Z81" s="316">
        <v>1</v>
      </c>
      <c r="AA81" s="316">
        <v>1</v>
      </c>
      <c r="AB81" s="316">
        <v>1</v>
      </c>
      <c r="AC81" s="316">
        <v>1</v>
      </c>
      <c r="AD81" s="316">
        <v>1</v>
      </c>
      <c r="AE81" s="316">
        <v>1</v>
      </c>
      <c r="AF81" s="316">
        <v>1</v>
      </c>
      <c r="AG81" s="316">
        <v>1</v>
      </c>
      <c r="AH81" s="316">
        <v>1</v>
      </c>
      <c r="AI81" s="316">
        <v>1</v>
      </c>
      <c r="AJ81" s="316">
        <v>1</v>
      </c>
      <c r="AK81" s="316">
        <v>1</v>
      </c>
      <c r="AL81" s="316">
        <v>1</v>
      </c>
      <c r="AM81" s="316">
        <v>1</v>
      </c>
      <c r="AN81" s="316">
        <v>1</v>
      </c>
      <c r="AO81" s="316">
        <v>1</v>
      </c>
      <c r="AP81" s="316">
        <v>1</v>
      </c>
      <c r="AQ81" s="316">
        <v>1</v>
      </c>
      <c r="AR81" s="316">
        <v>1</v>
      </c>
      <c r="AS81" s="316">
        <v>1</v>
      </c>
      <c r="AT81" s="316">
        <v>1</v>
      </c>
    </row>
    <row r="82" spans="2:46" ht="12.75" customHeight="1" x14ac:dyDescent="0.15">
      <c r="B82" s="315">
        <v>5356</v>
      </c>
      <c r="C82" s="313" t="s">
        <v>78</v>
      </c>
      <c r="D82" s="313" t="s">
        <v>101</v>
      </c>
      <c r="E82" s="319" t="s">
        <v>1792</v>
      </c>
      <c r="F82" s="319" t="s">
        <v>351</v>
      </c>
      <c r="G82" s="315" t="str">
        <f>_xlfn.XLOOKUP(B82,'WFP Details - 2026'!A:A,'WFP Details - 2026'!Z:Z)</f>
        <v>x</v>
      </c>
      <c r="H82" s="314">
        <v>46096</v>
      </c>
      <c r="I82" s="315">
        <v>3</v>
      </c>
      <c r="J82" s="315">
        <v>2026</v>
      </c>
      <c r="K82" s="316">
        <v>0</v>
      </c>
      <c r="L82" s="316">
        <v>0</v>
      </c>
      <c r="M82" s="316">
        <v>1</v>
      </c>
      <c r="N82" s="316">
        <v>1</v>
      </c>
      <c r="O82" s="316">
        <v>1</v>
      </c>
      <c r="P82" s="316">
        <v>1</v>
      </c>
      <c r="Q82" s="316">
        <v>1</v>
      </c>
      <c r="R82" s="316">
        <v>1</v>
      </c>
      <c r="S82" s="316">
        <v>1</v>
      </c>
      <c r="T82" s="316">
        <v>1</v>
      </c>
      <c r="U82" s="316">
        <v>1</v>
      </c>
      <c r="V82" s="316">
        <v>1</v>
      </c>
      <c r="W82" s="316">
        <v>1</v>
      </c>
      <c r="X82" s="316">
        <v>1</v>
      </c>
      <c r="Y82" s="316">
        <v>1</v>
      </c>
      <c r="Z82" s="316">
        <v>1</v>
      </c>
      <c r="AA82" s="316">
        <v>1</v>
      </c>
      <c r="AB82" s="316">
        <v>1</v>
      </c>
      <c r="AC82" s="316">
        <v>1</v>
      </c>
      <c r="AD82" s="316">
        <v>1</v>
      </c>
      <c r="AE82" s="316">
        <v>1</v>
      </c>
      <c r="AF82" s="316">
        <v>1</v>
      </c>
      <c r="AG82" s="316">
        <v>1</v>
      </c>
      <c r="AH82" s="316">
        <v>1</v>
      </c>
      <c r="AI82" s="316">
        <v>1</v>
      </c>
      <c r="AJ82" s="316">
        <v>1</v>
      </c>
      <c r="AK82" s="316">
        <v>1</v>
      </c>
      <c r="AL82" s="316">
        <v>1</v>
      </c>
      <c r="AM82" s="316">
        <v>1</v>
      </c>
      <c r="AN82" s="316">
        <v>1</v>
      </c>
      <c r="AO82" s="316">
        <v>1</v>
      </c>
      <c r="AP82" s="316">
        <v>1</v>
      </c>
      <c r="AQ82" s="316">
        <v>1</v>
      </c>
      <c r="AR82" s="316">
        <v>1</v>
      </c>
      <c r="AS82" s="316">
        <v>1</v>
      </c>
      <c r="AT82" s="316">
        <v>1</v>
      </c>
    </row>
    <row r="83" spans="2:46" ht="12.75" customHeight="1" x14ac:dyDescent="0.15">
      <c r="B83" s="315">
        <v>5360</v>
      </c>
      <c r="C83" s="313" t="s">
        <v>78</v>
      </c>
      <c r="D83" s="313" t="s">
        <v>101</v>
      </c>
      <c r="E83" s="319" t="s">
        <v>1792</v>
      </c>
      <c r="F83" s="319" t="s">
        <v>1814</v>
      </c>
      <c r="G83" s="315" t="str">
        <f>_xlfn.XLOOKUP(B83,'WFP Details - 2026'!A:A,'WFP Details - 2026'!Z:Z)</f>
        <v>x</v>
      </c>
      <c r="H83" s="314">
        <v>46371</v>
      </c>
      <c r="I83" s="315">
        <v>12</v>
      </c>
      <c r="J83" s="315">
        <v>2026</v>
      </c>
      <c r="K83" s="316">
        <v>0</v>
      </c>
      <c r="L83" s="316">
        <v>0</v>
      </c>
      <c r="M83" s="316">
        <v>0</v>
      </c>
      <c r="N83" s="316">
        <v>0</v>
      </c>
      <c r="O83" s="316">
        <v>0</v>
      </c>
      <c r="P83" s="316">
        <v>0</v>
      </c>
      <c r="Q83" s="316">
        <v>0</v>
      </c>
      <c r="R83" s="316">
        <v>0</v>
      </c>
      <c r="S83" s="316">
        <v>0</v>
      </c>
      <c r="T83" s="316">
        <v>0</v>
      </c>
      <c r="U83" s="316">
        <v>0</v>
      </c>
      <c r="V83" s="316">
        <v>1</v>
      </c>
      <c r="W83" s="316">
        <v>1</v>
      </c>
      <c r="X83" s="316">
        <v>1</v>
      </c>
      <c r="Y83" s="316">
        <v>1</v>
      </c>
      <c r="Z83" s="316">
        <v>1</v>
      </c>
      <c r="AA83" s="316">
        <v>1</v>
      </c>
      <c r="AB83" s="316">
        <v>1</v>
      </c>
      <c r="AC83" s="316">
        <v>1</v>
      </c>
      <c r="AD83" s="316">
        <v>1</v>
      </c>
      <c r="AE83" s="316">
        <v>1</v>
      </c>
      <c r="AF83" s="316">
        <v>1</v>
      </c>
      <c r="AG83" s="316">
        <v>1</v>
      </c>
      <c r="AH83" s="316">
        <v>1</v>
      </c>
      <c r="AI83" s="316">
        <v>1</v>
      </c>
      <c r="AJ83" s="316">
        <v>1</v>
      </c>
      <c r="AK83" s="316">
        <v>1</v>
      </c>
      <c r="AL83" s="316">
        <v>1</v>
      </c>
      <c r="AM83" s="316">
        <v>1</v>
      </c>
      <c r="AN83" s="316">
        <v>1</v>
      </c>
      <c r="AO83" s="316">
        <v>1</v>
      </c>
      <c r="AP83" s="316">
        <v>1</v>
      </c>
      <c r="AQ83" s="316">
        <v>1</v>
      </c>
      <c r="AR83" s="316">
        <v>1</v>
      </c>
      <c r="AS83" s="316">
        <v>1</v>
      </c>
      <c r="AT83" s="316">
        <v>1</v>
      </c>
    </row>
    <row r="84" spans="2:46" ht="12.75" customHeight="1" x14ac:dyDescent="0.15">
      <c r="B84" s="315">
        <v>5361</v>
      </c>
      <c r="C84" s="313" t="s">
        <v>78</v>
      </c>
      <c r="D84" s="313" t="s">
        <v>101</v>
      </c>
      <c r="E84" s="319" t="s">
        <v>1792</v>
      </c>
      <c r="F84" s="319" t="s">
        <v>490</v>
      </c>
      <c r="G84" s="315" t="str">
        <f>_xlfn.XLOOKUP(B84,'WFP Details - 2026'!A:A,'WFP Details - 2026'!Z:Z)</f>
        <v>x</v>
      </c>
      <c r="H84" s="314">
        <v>46371</v>
      </c>
      <c r="I84" s="315">
        <v>12</v>
      </c>
      <c r="J84" s="315">
        <v>2026</v>
      </c>
      <c r="K84" s="316">
        <v>0</v>
      </c>
      <c r="L84" s="316">
        <v>0</v>
      </c>
      <c r="M84" s="316">
        <v>0</v>
      </c>
      <c r="N84" s="316">
        <v>0</v>
      </c>
      <c r="O84" s="316">
        <v>0</v>
      </c>
      <c r="P84" s="316">
        <v>0</v>
      </c>
      <c r="Q84" s="316">
        <v>0</v>
      </c>
      <c r="R84" s="316">
        <v>0</v>
      </c>
      <c r="S84" s="316">
        <v>0</v>
      </c>
      <c r="T84" s="316">
        <v>0</v>
      </c>
      <c r="U84" s="316">
        <v>0</v>
      </c>
      <c r="V84" s="316">
        <v>1</v>
      </c>
      <c r="W84" s="316">
        <v>1</v>
      </c>
      <c r="X84" s="316">
        <v>1</v>
      </c>
      <c r="Y84" s="316">
        <v>1</v>
      </c>
      <c r="Z84" s="316">
        <v>1</v>
      </c>
      <c r="AA84" s="316">
        <v>1</v>
      </c>
      <c r="AB84" s="316">
        <v>1</v>
      </c>
      <c r="AC84" s="316">
        <v>1</v>
      </c>
      <c r="AD84" s="316">
        <v>1</v>
      </c>
      <c r="AE84" s="316">
        <v>1</v>
      </c>
      <c r="AF84" s="316">
        <v>1</v>
      </c>
      <c r="AG84" s="316">
        <v>1</v>
      </c>
      <c r="AH84" s="316">
        <v>1</v>
      </c>
      <c r="AI84" s="316">
        <v>1</v>
      </c>
      <c r="AJ84" s="316">
        <v>1</v>
      </c>
      <c r="AK84" s="316">
        <v>1</v>
      </c>
      <c r="AL84" s="316">
        <v>1</v>
      </c>
      <c r="AM84" s="316">
        <v>1</v>
      </c>
      <c r="AN84" s="316">
        <v>1</v>
      </c>
      <c r="AO84" s="316">
        <v>1</v>
      </c>
      <c r="AP84" s="316">
        <v>1</v>
      </c>
      <c r="AQ84" s="316">
        <v>1</v>
      </c>
      <c r="AR84" s="316">
        <v>1</v>
      </c>
      <c r="AS84" s="316">
        <v>1</v>
      </c>
      <c r="AT84" s="316">
        <v>1</v>
      </c>
    </row>
    <row r="85" spans="2:46" ht="12.75" customHeight="1" x14ac:dyDescent="0.15">
      <c r="B85" s="315">
        <v>1059</v>
      </c>
      <c r="C85" s="313" t="s">
        <v>104</v>
      </c>
      <c r="D85" s="313" t="s">
        <v>112</v>
      </c>
      <c r="E85" s="319" t="s">
        <v>1792</v>
      </c>
      <c r="F85" s="319" t="s">
        <v>1815</v>
      </c>
      <c r="G85" s="315" t="str">
        <f>_xlfn.XLOOKUP(B85,'WFP Details - 2026'!A:A,'WFP Details - 2026'!Z:Z)</f>
        <v>x</v>
      </c>
      <c r="H85" s="314">
        <v>45600</v>
      </c>
      <c r="I85" s="315">
        <v>11</v>
      </c>
      <c r="J85" s="315">
        <v>2024</v>
      </c>
      <c r="K85" s="316">
        <v>1</v>
      </c>
      <c r="L85" s="316">
        <v>1</v>
      </c>
      <c r="M85" s="316">
        <v>1</v>
      </c>
      <c r="N85" s="316">
        <v>1</v>
      </c>
      <c r="O85" s="316">
        <v>1</v>
      </c>
      <c r="P85" s="316">
        <v>1</v>
      </c>
      <c r="Q85" s="316">
        <v>1</v>
      </c>
      <c r="R85" s="316">
        <v>1</v>
      </c>
      <c r="S85" s="316">
        <v>1</v>
      </c>
      <c r="T85" s="316">
        <v>1</v>
      </c>
      <c r="U85" s="316">
        <v>1</v>
      </c>
      <c r="V85" s="316">
        <v>1</v>
      </c>
      <c r="W85" s="316">
        <v>1</v>
      </c>
      <c r="X85" s="316">
        <v>1</v>
      </c>
      <c r="Y85" s="316">
        <v>1</v>
      </c>
      <c r="Z85" s="316">
        <v>1</v>
      </c>
      <c r="AA85" s="316">
        <v>1</v>
      </c>
      <c r="AB85" s="316">
        <v>1</v>
      </c>
      <c r="AC85" s="316">
        <v>1</v>
      </c>
      <c r="AD85" s="316">
        <v>1</v>
      </c>
      <c r="AE85" s="316">
        <v>1</v>
      </c>
      <c r="AF85" s="316">
        <v>1</v>
      </c>
      <c r="AG85" s="316">
        <v>1</v>
      </c>
      <c r="AH85" s="316">
        <v>1</v>
      </c>
      <c r="AI85" s="316">
        <v>1</v>
      </c>
      <c r="AJ85" s="316">
        <v>1</v>
      </c>
      <c r="AK85" s="316">
        <v>1</v>
      </c>
      <c r="AL85" s="316">
        <v>1</v>
      </c>
      <c r="AM85" s="316">
        <v>1</v>
      </c>
      <c r="AN85" s="316">
        <v>1</v>
      </c>
      <c r="AO85" s="316">
        <v>1</v>
      </c>
      <c r="AP85" s="316">
        <v>1</v>
      </c>
      <c r="AQ85" s="316">
        <v>1</v>
      </c>
      <c r="AR85" s="316">
        <v>1</v>
      </c>
      <c r="AS85" s="316">
        <v>1</v>
      </c>
      <c r="AT85" s="316">
        <v>1</v>
      </c>
    </row>
    <row r="86" spans="2:46" ht="12.75" customHeight="1" x14ac:dyDescent="0.15">
      <c r="B86" s="315">
        <v>1058</v>
      </c>
      <c r="C86" s="313" t="s">
        <v>104</v>
      </c>
      <c r="D86" s="313" t="s">
        <v>1366</v>
      </c>
      <c r="E86" s="319" t="s">
        <v>1805</v>
      </c>
      <c r="F86" s="319" t="s">
        <v>1816</v>
      </c>
      <c r="G86" s="315" t="str">
        <f>_xlfn.XLOOKUP(B86,'WFP Details - 2026'!A:A,'WFP Details - 2026'!Z:Z)</f>
        <v>x</v>
      </c>
      <c r="H86" s="314">
        <v>45804</v>
      </c>
      <c r="I86" s="315">
        <v>5</v>
      </c>
      <c r="J86" s="315">
        <v>2025</v>
      </c>
      <c r="K86" s="316">
        <v>1</v>
      </c>
      <c r="L86" s="316">
        <v>1</v>
      </c>
      <c r="M86" s="316">
        <v>1</v>
      </c>
      <c r="N86" s="316">
        <v>1</v>
      </c>
      <c r="O86" s="316">
        <v>1</v>
      </c>
      <c r="P86" s="316">
        <v>1</v>
      </c>
      <c r="Q86" s="316">
        <v>1</v>
      </c>
      <c r="R86" s="316">
        <v>1</v>
      </c>
      <c r="S86" s="316">
        <v>1</v>
      </c>
      <c r="T86" s="316">
        <v>1</v>
      </c>
      <c r="U86" s="316">
        <v>1</v>
      </c>
      <c r="V86" s="316">
        <v>1</v>
      </c>
      <c r="W86" s="316">
        <v>1</v>
      </c>
      <c r="X86" s="316">
        <v>1</v>
      </c>
      <c r="Y86" s="316">
        <v>1</v>
      </c>
      <c r="Z86" s="316">
        <v>1</v>
      </c>
      <c r="AA86" s="316">
        <v>1</v>
      </c>
      <c r="AB86" s="316">
        <v>1</v>
      </c>
      <c r="AC86" s="316">
        <v>1</v>
      </c>
      <c r="AD86" s="316">
        <v>1</v>
      </c>
      <c r="AE86" s="316">
        <v>1</v>
      </c>
      <c r="AF86" s="316">
        <v>1</v>
      </c>
      <c r="AG86" s="316">
        <v>1</v>
      </c>
      <c r="AH86" s="316">
        <v>1</v>
      </c>
      <c r="AI86" s="316">
        <v>1</v>
      </c>
      <c r="AJ86" s="316">
        <v>1</v>
      </c>
      <c r="AK86" s="316">
        <v>1</v>
      </c>
      <c r="AL86" s="316">
        <v>1</v>
      </c>
      <c r="AM86" s="316">
        <v>1</v>
      </c>
      <c r="AN86" s="316">
        <v>1</v>
      </c>
      <c r="AO86" s="316">
        <v>1</v>
      </c>
      <c r="AP86" s="316">
        <v>1</v>
      </c>
      <c r="AQ86" s="316">
        <v>1</v>
      </c>
      <c r="AR86" s="316">
        <v>1</v>
      </c>
      <c r="AS86" s="316">
        <v>1</v>
      </c>
      <c r="AT86" s="316">
        <v>1</v>
      </c>
    </row>
    <row r="87" spans="2:46" ht="12.75" customHeight="1" x14ac:dyDescent="0.15">
      <c r="B87" s="318">
        <v>1302</v>
      </c>
      <c r="C87" s="313" t="s">
        <v>104</v>
      </c>
      <c r="D87" s="313" t="s">
        <v>101</v>
      </c>
      <c r="E87" s="319" t="s">
        <v>1793</v>
      </c>
      <c r="F87" s="319" t="s">
        <v>118</v>
      </c>
      <c r="G87" s="315" t="str">
        <f>_xlfn.XLOOKUP(B87,'WFP Details - 2026'!A:A,'WFP Details - 2026'!Z:Z)</f>
        <v>x</v>
      </c>
      <c r="H87" s="314">
        <v>46280</v>
      </c>
      <c r="I87" s="315">
        <v>9</v>
      </c>
      <c r="J87" s="315">
        <v>2026</v>
      </c>
      <c r="K87" s="316">
        <v>0</v>
      </c>
      <c r="L87" s="316">
        <v>0</v>
      </c>
      <c r="M87" s="316">
        <v>0</v>
      </c>
      <c r="N87" s="316">
        <v>0</v>
      </c>
      <c r="O87" s="316">
        <v>0</v>
      </c>
      <c r="P87" s="316">
        <v>0</v>
      </c>
      <c r="Q87" s="316">
        <v>0</v>
      </c>
      <c r="R87" s="316">
        <v>0</v>
      </c>
      <c r="S87" s="316">
        <v>1</v>
      </c>
      <c r="T87" s="316">
        <v>1</v>
      </c>
      <c r="U87" s="316">
        <v>1</v>
      </c>
      <c r="V87" s="316">
        <v>1</v>
      </c>
      <c r="W87" s="316">
        <v>1</v>
      </c>
      <c r="X87" s="316">
        <v>1</v>
      </c>
      <c r="Y87" s="316">
        <v>1</v>
      </c>
      <c r="Z87" s="316">
        <v>1</v>
      </c>
      <c r="AA87" s="316">
        <v>1</v>
      </c>
      <c r="AB87" s="316">
        <v>1</v>
      </c>
      <c r="AC87" s="316">
        <v>1</v>
      </c>
      <c r="AD87" s="316">
        <v>1</v>
      </c>
      <c r="AE87" s="316">
        <v>1</v>
      </c>
      <c r="AF87" s="316">
        <v>1</v>
      </c>
      <c r="AG87" s="316">
        <v>1</v>
      </c>
      <c r="AH87" s="316">
        <v>1</v>
      </c>
      <c r="AI87" s="316">
        <v>1</v>
      </c>
      <c r="AJ87" s="316">
        <v>1</v>
      </c>
      <c r="AK87" s="316">
        <v>1</v>
      </c>
      <c r="AL87" s="316">
        <v>1</v>
      </c>
      <c r="AM87" s="316">
        <v>1</v>
      </c>
      <c r="AN87" s="316">
        <v>1</v>
      </c>
      <c r="AO87" s="316">
        <v>1</v>
      </c>
      <c r="AP87" s="316">
        <v>1</v>
      </c>
      <c r="AQ87" s="316">
        <v>1</v>
      </c>
      <c r="AR87" s="316">
        <v>1</v>
      </c>
      <c r="AS87" s="316">
        <v>1</v>
      </c>
      <c r="AT87" s="316">
        <v>1</v>
      </c>
    </row>
    <row r="88" spans="2:46" ht="12.75" hidden="1" customHeight="1" x14ac:dyDescent="0.15">
      <c r="B88" s="318">
        <v>5107</v>
      </c>
      <c r="C88" s="313" t="s">
        <v>104</v>
      </c>
      <c r="D88" s="313" t="s">
        <v>101</v>
      </c>
      <c r="E88" s="319" t="s">
        <v>1817</v>
      </c>
      <c r="F88" s="319" t="s">
        <v>1550</v>
      </c>
      <c r="G88" s="315" t="e">
        <f>_xlfn.XLOOKUP(B88,'WFP Details - 2026'!A:A,'WFP Details - 2026'!Z:Z)</f>
        <v>#N/A</v>
      </c>
      <c r="H88" s="314">
        <v>46461</v>
      </c>
      <c r="I88" s="315">
        <v>3</v>
      </c>
      <c r="J88" s="315">
        <v>2027</v>
      </c>
      <c r="K88" s="316">
        <v>0</v>
      </c>
      <c r="L88" s="316">
        <v>0</v>
      </c>
      <c r="M88" s="316">
        <v>0</v>
      </c>
      <c r="N88" s="316">
        <v>0</v>
      </c>
      <c r="O88" s="316">
        <v>0</v>
      </c>
      <c r="P88" s="316">
        <v>0</v>
      </c>
      <c r="Q88" s="316">
        <v>0</v>
      </c>
      <c r="R88" s="316">
        <v>0</v>
      </c>
      <c r="S88" s="316">
        <v>0</v>
      </c>
      <c r="T88" s="316">
        <v>0</v>
      </c>
      <c r="U88" s="316">
        <v>0</v>
      </c>
      <c r="V88" s="316">
        <v>0</v>
      </c>
      <c r="W88" s="316">
        <v>0</v>
      </c>
      <c r="X88" s="316">
        <v>0</v>
      </c>
      <c r="Y88" s="316">
        <v>1</v>
      </c>
      <c r="Z88" s="316">
        <v>1</v>
      </c>
      <c r="AA88" s="316">
        <v>1</v>
      </c>
      <c r="AB88" s="316">
        <v>1</v>
      </c>
      <c r="AC88" s="316">
        <v>1</v>
      </c>
      <c r="AD88" s="316">
        <v>1</v>
      </c>
      <c r="AE88" s="316">
        <v>1</v>
      </c>
      <c r="AF88" s="316">
        <v>1</v>
      </c>
      <c r="AG88" s="316">
        <v>1</v>
      </c>
      <c r="AH88" s="316">
        <v>1</v>
      </c>
      <c r="AI88" s="316">
        <v>1</v>
      </c>
      <c r="AJ88" s="316">
        <v>1</v>
      </c>
      <c r="AK88" s="316">
        <v>1</v>
      </c>
      <c r="AL88" s="316">
        <v>1</v>
      </c>
      <c r="AM88" s="316">
        <v>1</v>
      </c>
      <c r="AN88" s="316">
        <v>1</v>
      </c>
      <c r="AO88" s="316">
        <v>1</v>
      </c>
      <c r="AP88" s="316">
        <v>1</v>
      </c>
      <c r="AQ88" s="316">
        <v>1</v>
      </c>
      <c r="AR88" s="316">
        <v>1</v>
      </c>
      <c r="AS88" s="316">
        <v>1</v>
      </c>
      <c r="AT88" s="316">
        <v>1</v>
      </c>
    </row>
    <row r="89" spans="2:46" ht="12.75" hidden="1" customHeight="1" x14ac:dyDescent="0.15">
      <c r="B89" s="315">
        <v>5110</v>
      </c>
      <c r="C89" s="319" t="s">
        <v>104</v>
      </c>
      <c r="D89" s="313" t="s">
        <v>101</v>
      </c>
      <c r="E89" s="313" t="s">
        <v>1805</v>
      </c>
      <c r="F89" s="319" t="s">
        <v>1368</v>
      </c>
      <c r="G89" s="315" t="e">
        <f>_xlfn.XLOOKUP(B89,'WFP Details - 2026'!A:A,'WFP Details - 2026'!Z:Z)</f>
        <v>#N/A</v>
      </c>
      <c r="H89" s="314">
        <v>46461</v>
      </c>
      <c r="I89" s="315">
        <v>3</v>
      </c>
      <c r="J89" s="315">
        <v>2027</v>
      </c>
      <c r="K89" s="316">
        <v>0</v>
      </c>
      <c r="L89" s="316">
        <v>0</v>
      </c>
      <c r="M89" s="316">
        <v>0</v>
      </c>
      <c r="N89" s="316">
        <v>0</v>
      </c>
      <c r="O89" s="316">
        <v>0</v>
      </c>
      <c r="P89" s="316">
        <v>0</v>
      </c>
      <c r="Q89" s="316">
        <v>0</v>
      </c>
      <c r="R89" s="316">
        <v>0</v>
      </c>
      <c r="S89" s="316">
        <v>0</v>
      </c>
      <c r="T89" s="316">
        <v>0</v>
      </c>
      <c r="U89" s="316">
        <v>0</v>
      </c>
      <c r="V89" s="316">
        <v>0</v>
      </c>
      <c r="W89" s="316">
        <v>0</v>
      </c>
      <c r="X89" s="316">
        <v>0</v>
      </c>
      <c r="Y89" s="316">
        <v>1</v>
      </c>
      <c r="Z89" s="316">
        <v>1</v>
      </c>
      <c r="AA89" s="316">
        <v>1</v>
      </c>
      <c r="AB89" s="316">
        <v>1</v>
      </c>
      <c r="AC89" s="316">
        <v>1</v>
      </c>
      <c r="AD89" s="316">
        <v>1</v>
      </c>
      <c r="AE89" s="316">
        <v>1</v>
      </c>
      <c r="AF89" s="316">
        <v>1</v>
      </c>
      <c r="AG89" s="316">
        <v>1</v>
      </c>
      <c r="AH89" s="316">
        <v>1</v>
      </c>
      <c r="AI89" s="316">
        <v>1</v>
      </c>
      <c r="AJ89" s="316">
        <v>1</v>
      </c>
      <c r="AK89" s="316">
        <v>1</v>
      </c>
      <c r="AL89" s="316">
        <v>1</v>
      </c>
      <c r="AM89" s="316">
        <v>1</v>
      </c>
      <c r="AN89" s="316">
        <v>1</v>
      </c>
      <c r="AO89" s="316">
        <v>1</v>
      </c>
      <c r="AP89" s="316">
        <v>1</v>
      </c>
      <c r="AQ89" s="316">
        <v>1</v>
      </c>
      <c r="AR89" s="316">
        <v>1</v>
      </c>
      <c r="AS89" s="316">
        <v>1</v>
      </c>
      <c r="AT89" s="316">
        <v>1</v>
      </c>
    </row>
    <row r="90" spans="2:46" ht="12.75" hidden="1" customHeight="1" x14ac:dyDescent="0.15">
      <c r="B90" s="315">
        <v>5111</v>
      </c>
      <c r="C90" s="319" t="s">
        <v>104</v>
      </c>
      <c r="D90" s="313" t="s">
        <v>101</v>
      </c>
      <c r="E90" s="313" t="s">
        <v>1795</v>
      </c>
      <c r="F90" s="319" t="s">
        <v>1372</v>
      </c>
      <c r="G90" s="315" t="e">
        <f>_xlfn.XLOOKUP(B90,'WFP Details - 2026'!A:A,'WFP Details - 2026'!Z:Z)</f>
        <v>#N/A</v>
      </c>
      <c r="H90" s="314">
        <v>46461</v>
      </c>
      <c r="I90" s="315">
        <v>3</v>
      </c>
      <c r="J90" s="315">
        <v>2027</v>
      </c>
      <c r="K90" s="316">
        <v>0</v>
      </c>
      <c r="L90" s="316">
        <v>0</v>
      </c>
      <c r="M90" s="316">
        <v>0</v>
      </c>
      <c r="N90" s="316">
        <v>0</v>
      </c>
      <c r="O90" s="316">
        <v>0</v>
      </c>
      <c r="P90" s="316">
        <v>0</v>
      </c>
      <c r="Q90" s="316">
        <v>0</v>
      </c>
      <c r="R90" s="316">
        <v>0</v>
      </c>
      <c r="S90" s="316">
        <v>0</v>
      </c>
      <c r="T90" s="316">
        <v>0</v>
      </c>
      <c r="U90" s="316">
        <v>0</v>
      </c>
      <c r="V90" s="316">
        <v>0</v>
      </c>
      <c r="W90" s="316">
        <v>0</v>
      </c>
      <c r="X90" s="316">
        <v>0</v>
      </c>
      <c r="Y90" s="316">
        <v>1</v>
      </c>
      <c r="Z90" s="316">
        <v>1</v>
      </c>
      <c r="AA90" s="316">
        <v>1</v>
      </c>
      <c r="AB90" s="316">
        <v>1</v>
      </c>
      <c r="AC90" s="316">
        <v>1</v>
      </c>
      <c r="AD90" s="316">
        <v>1</v>
      </c>
      <c r="AE90" s="316">
        <v>1</v>
      </c>
      <c r="AF90" s="316">
        <v>1</v>
      </c>
      <c r="AG90" s="316">
        <v>1</v>
      </c>
      <c r="AH90" s="316">
        <v>1</v>
      </c>
      <c r="AI90" s="316">
        <v>1</v>
      </c>
      <c r="AJ90" s="316">
        <v>1</v>
      </c>
      <c r="AK90" s="316">
        <v>1</v>
      </c>
      <c r="AL90" s="316">
        <v>1</v>
      </c>
      <c r="AM90" s="316">
        <v>1</v>
      </c>
      <c r="AN90" s="316">
        <v>1</v>
      </c>
      <c r="AO90" s="316">
        <v>1</v>
      </c>
      <c r="AP90" s="316">
        <v>1</v>
      </c>
      <c r="AQ90" s="316">
        <v>1</v>
      </c>
      <c r="AR90" s="316">
        <v>1</v>
      </c>
      <c r="AS90" s="316">
        <v>1</v>
      </c>
      <c r="AT90" s="316">
        <v>1</v>
      </c>
    </row>
    <row r="91" spans="2:46" ht="12.75" hidden="1" customHeight="1" x14ac:dyDescent="0.15">
      <c r="B91" s="317">
        <v>5108</v>
      </c>
      <c r="C91" s="313" t="s">
        <v>104</v>
      </c>
      <c r="D91" s="313" t="s">
        <v>101</v>
      </c>
      <c r="E91" s="313" t="s">
        <v>1817</v>
      </c>
      <c r="F91" s="313" t="s">
        <v>1550</v>
      </c>
      <c r="G91" s="315" t="e">
        <f>_xlfn.XLOOKUP(B91,'WFP Details - 2026'!A:A,'WFP Details - 2026'!Z:Z)</f>
        <v>#N/A</v>
      </c>
      <c r="H91" s="314">
        <v>46798</v>
      </c>
      <c r="I91" s="315">
        <v>3</v>
      </c>
      <c r="J91" s="315">
        <v>2028</v>
      </c>
      <c r="K91" s="316">
        <v>0</v>
      </c>
      <c r="L91" s="316">
        <v>0</v>
      </c>
      <c r="M91" s="316">
        <v>0</v>
      </c>
      <c r="N91" s="316">
        <v>0</v>
      </c>
      <c r="O91" s="316">
        <v>0</v>
      </c>
      <c r="P91" s="316">
        <v>0</v>
      </c>
      <c r="Q91" s="316">
        <v>0</v>
      </c>
      <c r="R91" s="316">
        <v>0</v>
      </c>
      <c r="S91" s="316">
        <v>0</v>
      </c>
      <c r="T91" s="316">
        <v>0</v>
      </c>
      <c r="U91" s="316">
        <v>0</v>
      </c>
      <c r="V91" s="316">
        <v>0</v>
      </c>
      <c r="W91" s="316">
        <v>0</v>
      </c>
      <c r="X91" s="316">
        <v>0</v>
      </c>
      <c r="Y91" s="316">
        <v>0</v>
      </c>
      <c r="Z91" s="316">
        <v>0</v>
      </c>
      <c r="AA91" s="316">
        <v>0</v>
      </c>
      <c r="AB91" s="316">
        <v>0</v>
      </c>
      <c r="AC91" s="316">
        <v>0</v>
      </c>
      <c r="AD91" s="316">
        <v>0</v>
      </c>
      <c r="AE91" s="316">
        <v>0</v>
      </c>
      <c r="AF91" s="316">
        <v>0</v>
      </c>
      <c r="AG91" s="316">
        <v>0</v>
      </c>
      <c r="AH91" s="316">
        <v>0</v>
      </c>
      <c r="AI91" s="316">
        <v>0</v>
      </c>
      <c r="AJ91" s="316">
        <v>0</v>
      </c>
      <c r="AK91" s="316">
        <v>1</v>
      </c>
      <c r="AL91" s="316">
        <v>1</v>
      </c>
      <c r="AM91" s="316">
        <v>1</v>
      </c>
      <c r="AN91" s="316">
        <v>1</v>
      </c>
      <c r="AO91" s="316">
        <v>1</v>
      </c>
      <c r="AP91" s="316">
        <v>1</v>
      </c>
      <c r="AQ91" s="316">
        <v>1</v>
      </c>
      <c r="AR91" s="316">
        <v>1</v>
      </c>
      <c r="AS91" s="316">
        <v>1</v>
      </c>
      <c r="AT91" s="316">
        <v>1</v>
      </c>
    </row>
    <row r="92" spans="2:46" ht="12.75" hidden="1" customHeight="1" x14ac:dyDescent="0.15">
      <c r="B92" s="312">
        <v>5109</v>
      </c>
      <c r="C92" s="313" t="s">
        <v>104</v>
      </c>
      <c r="D92" s="313" t="s">
        <v>101</v>
      </c>
      <c r="E92" s="313" t="s">
        <v>1793</v>
      </c>
      <c r="F92" s="313" t="s">
        <v>1554</v>
      </c>
      <c r="G92" s="315" t="e">
        <f>_xlfn.XLOOKUP(B92,'WFP Details - 2026'!A:A,'WFP Details - 2026'!Z:Z)</f>
        <v>#N/A</v>
      </c>
      <c r="H92" s="314">
        <v>46827</v>
      </c>
      <c r="I92" s="315">
        <v>3</v>
      </c>
      <c r="J92" s="315">
        <v>2028</v>
      </c>
      <c r="K92" s="316">
        <v>0</v>
      </c>
      <c r="L92" s="316">
        <v>0</v>
      </c>
      <c r="M92" s="316">
        <v>0</v>
      </c>
      <c r="N92" s="316">
        <v>0</v>
      </c>
      <c r="O92" s="316">
        <v>0</v>
      </c>
      <c r="P92" s="316">
        <v>0</v>
      </c>
      <c r="Q92" s="316">
        <v>0</v>
      </c>
      <c r="R92" s="316">
        <v>0</v>
      </c>
      <c r="S92" s="316">
        <v>0</v>
      </c>
      <c r="T92" s="316">
        <v>0</v>
      </c>
      <c r="U92" s="316">
        <v>0</v>
      </c>
      <c r="V92" s="316">
        <v>0</v>
      </c>
      <c r="W92" s="316">
        <v>0</v>
      </c>
      <c r="X92" s="316">
        <v>0</v>
      </c>
      <c r="Y92" s="316">
        <v>0</v>
      </c>
      <c r="Z92" s="316">
        <v>0</v>
      </c>
      <c r="AA92" s="316">
        <v>0</v>
      </c>
      <c r="AB92" s="316">
        <v>0</v>
      </c>
      <c r="AC92" s="316">
        <v>0</v>
      </c>
      <c r="AD92" s="316">
        <v>0</v>
      </c>
      <c r="AE92" s="316">
        <v>0</v>
      </c>
      <c r="AF92" s="316">
        <v>0</v>
      </c>
      <c r="AG92" s="316">
        <v>0</v>
      </c>
      <c r="AH92" s="316">
        <v>0</v>
      </c>
      <c r="AI92" s="316">
        <v>0</v>
      </c>
      <c r="AJ92" s="316">
        <v>0</v>
      </c>
      <c r="AK92" s="316">
        <v>1</v>
      </c>
      <c r="AL92" s="316">
        <v>1</v>
      </c>
      <c r="AM92" s="316">
        <v>1</v>
      </c>
      <c r="AN92" s="316">
        <v>1</v>
      </c>
      <c r="AO92" s="316">
        <v>1</v>
      </c>
      <c r="AP92" s="316">
        <v>1</v>
      </c>
      <c r="AQ92" s="316">
        <v>1</v>
      </c>
      <c r="AR92" s="316">
        <v>1</v>
      </c>
      <c r="AS92" s="316">
        <v>1</v>
      </c>
      <c r="AT92" s="316">
        <v>1</v>
      </c>
    </row>
    <row r="93" spans="2:46" ht="12.75" customHeight="1" x14ac:dyDescent="0.15">
      <c r="B93" s="315">
        <v>1048</v>
      </c>
      <c r="C93" s="313" t="s">
        <v>122</v>
      </c>
      <c r="D93" s="313" t="s">
        <v>134</v>
      </c>
      <c r="E93" s="319" t="s">
        <v>1817</v>
      </c>
      <c r="F93" s="319" t="s">
        <v>1818</v>
      </c>
      <c r="G93" s="315" t="str">
        <f>_xlfn.XLOOKUP(B93,'WFP Details - 2026'!A:A,'WFP Details - 2026'!Z:Z)</f>
        <v>x</v>
      </c>
      <c r="H93" s="314">
        <v>45342</v>
      </c>
      <c r="I93" s="315">
        <v>2</v>
      </c>
      <c r="J93" s="315">
        <v>2024</v>
      </c>
      <c r="K93" s="316">
        <v>1</v>
      </c>
      <c r="L93" s="316">
        <v>1</v>
      </c>
      <c r="M93" s="316">
        <v>1</v>
      </c>
      <c r="N93" s="316">
        <v>1</v>
      </c>
      <c r="O93" s="316">
        <v>1</v>
      </c>
      <c r="P93" s="316">
        <v>1</v>
      </c>
      <c r="Q93" s="316">
        <v>1</v>
      </c>
      <c r="R93" s="316">
        <v>1</v>
      </c>
      <c r="S93" s="316">
        <v>1</v>
      </c>
      <c r="T93" s="316">
        <v>1</v>
      </c>
      <c r="U93" s="316">
        <v>1</v>
      </c>
      <c r="V93" s="316">
        <v>1</v>
      </c>
      <c r="W93" s="316">
        <v>1</v>
      </c>
      <c r="X93" s="316">
        <v>1</v>
      </c>
      <c r="Y93" s="316">
        <v>1</v>
      </c>
      <c r="Z93" s="316">
        <v>1</v>
      </c>
      <c r="AA93" s="316">
        <v>1</v>
      </c>
      <c r="AB93" s="316">
        <v>1</v>
      </c>
      <c r="AC93" s="316">
        <v>1</v>
      </c>
      <c r="AD93" s="316">
        <v>1</v>
      </c>
      <c r="AE93" s="316">
        <v>1</v>
      </c>
      <c r="AF93" s="316">
        <v>1</v>
      </c>
      <c r="AG93" s="316">
        <v>1</v>
      </c>
      <c r="AH93" s="316">
        <v>1</v>
      </c>
      <c r="AI93" s="316">
        <v>1</v>
      </c>
      <c r="AJ93" s="316">
        <v>1</v>
      </c>
      <c r="AK93" s="316">
        <v>1</v>
      </c>
      <c r="AL93" s="316">
        <v>1</v>
      </c>
      <c r="AM93" s="316">
        <v>1</v>
      </c>
      <c r="AN93" s="316">
        <v>1</v>
      </c>
      <c r="AO93" s="316">
        <v>1</v>
      </c>
      <c r="AP93" s="316">
        <v>1</v>
      </c>
      <c r="AQ93" s="316">
        <v>1</v>
      </c>
      <c r="AR93" s="316">
        <v>1</v>
      </c>
      <c r="AS93" s="316">
        <v>1</v>
      </c>
      <c r="AT93" s="316">
        <v>1</v>
      </c>
    </row>
    <row r="94" spans="2:46" ht="12.75" customHeight="1" x14ac:dyDescent="0.15">
      <c r="B94" s="315">
        <v>1030</v>
      </c>
      <c r="C94" s="313" t="s">
        <v>122</v>
      </c>
      <c r="D94" s="313" t="s">
        <v>209</v>
      </c>
      <c r="E94" s="319" t="s">
        <v>1793</v>
      </c>
      <c r="F94" s="319" t="s">
        <v>194</v>
      </c>
      <c r="G94" s="315" t="str">
        <f>_xlfn.XLOOKUP(B94,'WFP Details - 2026'!A:A,'WFP Details - 2026'!Z:Z)</f>
        <v>x</v>
      </c>
      <c r="H94" s="314">
        <v>45467</v>
      </c>
      <c r="I94" s="315">
        <v>6</v>
      </c>
      <c r="J94" s="315">
        <v>2024</v>
      </c>
      <c r="K94" s="316">
        <v>1</v>
      </c>
      <c r="L94" s="316">
        <v>1</v>
      </c>
      <c r="M94" s="316">
        <v>1</v>
      </c>
      <c r="N94" s="316">
        <v>1</v>
      </c>
      <c r="O94" s="316">
        <v>1</v>
      </c>
      <c r="P94" s="316">
        <v>1</v>
      </c>
      <c r="Q94" s="316">
        <v>1</v>
      </c>
      <c r="R94" s="316">
        <v>1</v>
      </c>
      <c r="S94" s="316">
        <v>1</v>
      </c>
      <c r="T94" s="316">
        <v>1</v>
      </c>
      <c r="U94" s="316">
        <v>1</v>
      </c>
      <c r="V94" s="316">
        <v>1</v>
      </c>
      <c r="W94" s="316">
        <v>1</v>
      </c>
      <c r="X94" s="316">
        <v>1</v>
      </c>
      <c r="Y94" s="316">
        <v>1</v>
      </c>
      <c r="Z94" s="316">
        <v>1</v>
      </c>
      <c r="AA94" s="316">
        <v>1</v>
      </c>
      <c r="AB94" s="316">
        <v>1</v>
      </c>
      <c r="AC94" s="316">
        <v>1</v>
      </c>
      <c r="AD94" s="316">
        <v>1</v>
      </c>
      <c r="AE94" s="316">
        <v>1</v>
      </c>
      <c r="AF94" s="316">
        <v>1</v>
      </c>
      <c r="AG94" s="316">
        <v>1</v>
      </c>
      <c r="AH94" s="316">
        <v>1</v>
      </c>
      <c r="AI94" s="316">
        <v>1</v>
      </c>
      <c r="AJ94" s="316">
        <v>1</v>
      </c>
      <c r="AK94" s="316">
        <v>1</v>
      </c>
      <c r="AL94" s="316">
        <v>1</v>
      </c>
      <c r="AM94" s="316">
        <v>1</v>
      </c>
      <c r="AN94" s="316">
        <v>1</v>
      </c>
      <c r="AO94" s="316">
        <v>1</v>
      </c>
      <c r="AP94" s="316">
        <v>1</v>
      </c>
      <c r="AQ94" s="316">
        <v>1</v>
      </c>
      <c r="AR94" s="316">
        <v>1</v>
      </c>
      <c r="AS94" s="316">
        <v>1</v>
      </c>
      <c r="AT94" s="316">
        <v>1</v>
      </c>
    </row>
    <row r="95" spans="2:46" ht="12.75" customHeight="1" x14ac:dyDescent="0.15">
      <c r="B95" s="315">
        <v>1039</v>
      </c>
      <c r="C95" s="313" t="s">
        <v>122</v>
      </c>
      <c r="D95" s="313" t="s">
        <v>174</v>
      </c>
      <c r="E95" s="319" t="s">
        <v>1795</v>
      </c>
      <c r="F95" s="319" t="s">
        <v>194</v>
      </c>
      <c r="G95" s="315" t="str">
        <f>_xlfn.XLOOKUP(B95,'WFP Details - 2026'!A:A,'WFP Details - 2026'!Z:Z)</f>
        <v>x</v>
      </c>
      <c r="H95" s="314">
        <v>45558</v>
      </c>
      <c r="I95" s="315">
        <v>9</v>
      </c>
      <c r="J95" s="315">
        <v>2024</v>
      </c>
      <c r="K95" s="316">
        <v>1</v>
      </c>
      <c r="L95" s="316">
        <v>1</v>
      </c>
      <c r="M95" s="316">
        <v>1</v>
      </c>
      <c r="N95" s="316">
        <v>1</v>
      </c>
      <c r="O95" s="316">
        <v>1</v>
      </c>
      <c r="P95" s="316">
        <v>1</v>
      </c>
      <c r="Q95" s="316">
        <v>1</v>
      </c>
      <c r="R95" s="316">
        <v>1</v>
      </c>
      <c r="S95" s="316">
        <v>1</v>
      </c>
      <c r="T95" s="316">
        <v>1</v>
      </c>
      <c r="U95" s="316">
        <v>1</v>
      </c>
      <c r="V95" s="316">
        <v>1</v>
      </c>
      <c r="W95" s="316">
        <v>1</v>
      </c>
      <c r="X95" s="316">
        <v>1</v>
      </c>
      <c r="Y95" s="316">
        <v>1</v>
      </c>
      <c r="Z95" s="316">
        <v>1</v>
      </c>
      <c r="AA95" s="316">
        <v>1</v>
      </c>
      <c r="AB95" s="316">
        <v>1</v>
      </c>
      <c r="AC95" s="316">
        <v>1</v>
      </c>
      <c r="AD95" s="316">
        <v>1</v>
      </c>
      <c r="AE95" s="316">
        <v>1</v>
      </c>
      <c r="AF95" s="316">
        <v>1</v>
      </c>
      <c r="AG95" s="316">
        <v>1</v>
      </c>
      <c r="AH95" s="316">
        <v>1</v>
      </c>
      <c r="AI95" s="316">
        <v>1</v>
      </c>
      <c r="AJ95" s="316">
        <v>1</v>
      </c>
      <c r="AK95" s="316">
        <v>1</v>
      </c>
      <c r="AL95" s="316">
        <v>1</v>
      </c>
      <c r="AM95" s="316">
        <v>1</v>
      </c>
      <c r="AN95" s="316">
        <v>1</v>
      </c>
      <c r="AO95" s="316">
        <v>1</v>
      </c>
      <c r="AP95" s="316">
        <v>1</v>
      </c>
      <c r="AQ95" s="316">
        <v>1</v>
      </c>
      <c r="AR95" s="316">
        <v>1</v>
      </c>
      <c r="AS95" s="316">
        <v>1</v>
      </c>
      <c r="AT95" s="316">
        <v>1</v>
      </c>
    </row>
    <row r="96" spans="2:46" ht="12.75" customHeight="1" x14ac:dyDescent="0.15">
      <c r="B96" s="318">
        <v>1044</v>
      </c>
      <c r="C96" s="313" t="s">
        <v>122</v>
      </c>
      <c r="D96" s="313" t="s">
        <v>202</v>
      </c>
      <c r="E96" s="319" t="s">
        <v>1795</v>
      </c>
      <c r="F96" s="319" t="s">
        <v>1819</v>
      </c>
      <c r="G96" s="315" t="str">
        <f>_xlfn.XLOOKUP(B96,'WFP Details - 2026'!A:A,'WFP Details - 2026'!Z:Z)</f>
        <v>x</v>
      </c>
      <c r="H96" s="314">
        <v>45558</v>
      </c>
      <c r="I96" s="315">
        <v>9</v>
      </c>
      <c r="J96" s="315">
        <v>2024</v>
      </c>
      <c r="K96" s="316">
        <v>1</v>
      </c>
      <c r="L96" s="316">
        <v>1</v>
      </c>
      <c r="M96" s="316">
        <v>1</v>
      </c>
      <c r="N96" s="316">
        <v>1</v>
      </c>
      <c r="O96" s="316">
        <v>1</v>
      </c>
      <c r="P96" s="316">
        <v>1</v>
      </c>
      <c r="Q96" s="316">
        <v>1</v>
      </c>
      <c r="R96" s="316">
        <v>1</v>
      </c>
      <c r="S96" s="316">
        <v>1</v>
      </c>
      <c r="T96" s="316">
        <v>1</v>
      </c>
      <c r="U96" s="316">
        <v>1</v>
      </c>
      <c r="V96" s="316">
        <v>1</v>
      </c>
      <c r="W96" s="316">
        <v>1</v>
      </c>
      <c r="X96" s="316">
        <v>1</v>
      </c>
      <c r="Y96" s="316">
        <v>1</v>
      </c>
      <c r="Z96" s="316">
        <v>1</v>
      </c>
      <c r="AA96" s="316">
        <v>1</v>
      </c>
      <c r="AB96" s="316">
        <v>1</v>
      </c>
      <c r="AC96" s="316">
        <v>1</v>
      </c>
      <c r="AD96" s="316">
        <v>1</v>
      </c>
      <c r="AE96" s="316">
        <v>1</v>
      </c>
      <c r="AF96" s="316">
        <v>1</v>
      </c>
      <c r="AG96" s="316">
        <v>1</v>
      </c>
      <c r="AH96" s="316">
        <v>1</v>
      </c>
      <c r="AI96" s="316">
        <v>1</v>
      </c>
      <c r="AJ96" s="316">
        <v>1</v>
      </c>
      <c r="AK96" s="316">
        <v>1</v>
      </c>
      <c r="AL96" s="316">
        <v>1</v>
      </c>
      <c r="AM96" s="316">
        <v>1</v>
      </c>
      <c r="AN96" s="316">
        <v>1</v>
      </c>
      <c r="AO96" s="316">
        <v>1</v>
      </c>
      <c r="AP96" s="316">
        <v>1</v>
      </c>
      <c r="AQ96" s="316">
        <v>1</v>
      </c>
      <c r="AR96" s="316">
        <v>1</v>
      </c>
      <c r="AS96" s="316">
        <v>1</v>
      </c>
      <c r="AT96" s="316">
        <v>1</v>
      </c>
    </row>
    <row r="97" spans="2:46" ht="12.75" customHeight="1" x14ac:dyDescent="0.15">
      <c r="B97" s="318">
        <v>1292</v>
      </c>
      <c r="C97" s="313" t="s">
        <v>122</v>
      </c>
      <c r="D97" s="313" t="s">
        <v>204</v>
      </c>
      <c r="E97" s="319" t="s">
        <v>1795</v>
      </c>
      <c r="F97" s="319" t="s">
        <v>194</v>
      </c>
      <c r="G97" s="315" t="str">
        <f>_xlfn.XLOOKUP(B97,'WFP Details - 2026'!A:A,'WFP Details - 2026'!Z:Z)</f>
        <v>x</v>
      </c>
      <c r="H97" s="314">
        <v>45628</v>
      </c>
      <c r="I97" s="315">
        <v>12</v>
      </c>
      <c r="J97" s="315">
        <v>2024</v>
      </c>
      <c r="K97" s="316">
        <v>1</v>
      </c>
      <c r="L97" s="316">
        <v>1</v>
      </c>
      <c r="M97" s="316">
        <v>1</v>
      </c>
      <c r="N97" s="316">
        <v>1</v>
      </c>
      <c r="O97" s="316">
        <v>1</v>
      </c>
      <c r="P97" s="316">
        <v>1</v>
      </c>
      <c r="Q97" s="316">
        <v>1</v>
      </c>
      <c r="R97" s="316">
        <v>1</v>
      </c>
      <c r="S97" s="316">
        <v>1</v>
      </c>
      <c r="T97" s="316">
        <v>1</v>
      </c>
      <c r="U97" s="316">
        <v>1</v>
      </c>
      <c r="V97" s="316">
        <v>1</v>
      </c>
      <c r="W97" s="316">
        <v>1</v>
      </c>
      <c r="X97" s="316">
        <v>1</v>
      </c>
      <c r="Y97" s="316">
        <v>1</v>
      </c>
      <c r="Z97" s="316">
        <v>1</v>
      </c>
      <c r="AA97" s="316">
        <v>1</v>
      </c>
      <c r="AB97" s="316">
        <v>1</v>
      </c>
      <c r="AC97" s="316">
        <v>1</v>
      </c>
      <c r="AD97" s="316">
        <v>1</v>
      </c>
      <c r="AE97" s="316">
        <v>1</v>
      </c>
      <c r="AF97" s="316">
        <v>1</v>
      </c>
      <c r="AG97" s="316">
        <v>1</v>
      </c>
      <c r="AH97" s="316">
        <v>1</v>
      </c>
      <c r="AI97" s="316">
        <v>1</v>
      </c>
      <c r="AJ97" s="316">
        <v>1</v>
      </c>
      <c r="AK97" s="316">
        <v>1</v>
      </c>
      <c r="AL97" s="316">
        <v>1</v>
      </c>
      <c r="AM97" s="316">
        <v>1</v>
      </c>
      <c r="AN97" s="316">
        <v>1</v>
      </c>
      <c r="AO97" s="316">
        <v>1</v>
      </c>
      <c r="AP97" s="316">
        <v>1</v>
      </c>
      <c r="AQ97" s="316">
        <v>1</v>
      </c>
      <c r="AR97" s="316">
        <v>1</v>
      </c>
      <c r="AS97" s="316">
        <v>1</v>
      </c>
      <c r="AT97" s="316">
        <v>1</v>
      </c>
    </row>
    <row r="98" spans="2:46" ht="12.75" customHeight="1" x14ac:dyDescent="0.15">
      <c r="B98" s="318">
        <v>1036</v>
      </c>
      <c r="C98" s="313" t="s">
        <v>122</v>
      </c>
      <c r="D98" s="313" t="s">
        <v>161</v>
      </c>
      <c r="E98" s="319" t="s">
        <v>1805</v>
      </c>
      <c r="F98" s="319" t="s">
        <v>1820</v>
      </c>
      <c r="G98" s="315" t="str">
        <f>_xlfn.XLOOKUP(B98,'WFP Details - 2026'!A:A,'WFP Details - 2026'!Z:Z)</f>
        <v>x</v>
      </c>
      <c r="H98" s="314">
        <v>45663</v>
      </c>
      <c r="I98" s="315">
        <v>1</v>
      </c>
      <c r="J98" s="315">
        <v>2025</v>
      </c>
      <c r="K98" s="316">
        <v>1</v>
      </c>
      <c r="L98" s="316">
        <v>1</v>
      </c>
      <c r="M98" s="316">
        <v>1</v>
      </c>
      <c r="N98" s="316">
        <v>1</v>
      </c>
      <c r="O98" s="316">
        <v>1</v>
      </c>
      <c r="P98" s="316">
        <v>1</v>
      </c>
      <c r="Q98" s="316">
        <v>1</v>
      </c>
      <c r="R98" s="316">
        <v>1</v>
      </c>
      <c r="S98" s="316">
        <v>1</v>
      </c>
      <c r="T98" s="316">
        <v>1</v>
      </c>
      <c r="U98" s="316">
        <v>1</v>
      </c>
      <c r="V98" s="316">
        <v>1</v>
      </c>
      <c r="W98" s="316">
        <v>1</v>
      </c>
      <c r="X98" s="316">
        <v>1</v>
      </c>
      <c r="Y98" s="316">
        <v>1</v>
      </c>
      <c r="Z98" s="316">
        <v>1</v>
      </c>
      <c r="AA98" s="316">
        <v>1</v>
      </c>
      <c r="AB98" s="316">
        <v>1</v>
      </c>
      <c r="AC98" s="316">
        <v>1</v>
      </c>
      <c r="AD98" s="316">
        <v>1</v>
      </c>
      <c r="AE98" s="316">
        <v>1</v>
      </c>
      <c r="AF98" s="316">
        <v>1</v>
      </c>
      <c r="AG98" s="316">
        <v>1</v>
      </c>
      <c r="AH98" s="316">
        <v>1</v>
      </c>
      <c r="AI98" s="316">
        <v>1</v>
      </c>
      <c r="AJ98" s="316">
        <v>1</v>
      </c>
      <c r="AK98" s="316">
        <v>1</v>
      </c>
      <c r="AL98" s="316">
        <v>1</v>
      </c>
      <c r="AM98" s="316">
        <v>1</v>
      </c>
      <c r="AN98" s="316">
        <v>1</v>
      </c>
      <c r="AO98" s="316">
        <v>1</v>
      </c>
      <c r="AP98" s="316">
        <v>1</v>
      </c>
      <c r="AQ98" s="316">
        <v>1</v>
      </c>
      <c r="AR98" s="316">
        <v>1</v>
      </c>
      <c r="AS98" s="316">
        <v>1</v>
      </c>
      <c r="AT98" s="316">
        <v>1</v>
      </c>
    </row>
    <row r="99" spans="2:46" ht="12.75" customHeight="1" x14ac:dyDescent="0.15">
      <c r="B99" s="318">
        <v>1046</v>
      </c>
      <c r="C99" s="313" t="s">
        <v>122</v>
      </c>
      <c r="D99" s="313" t="s">
        <v>1821</v>
      </c>
      <c r="E99" s="319" t="s">
        <v>1793</v>
      </c>
      <c r="F99" s="319" t="s">
        <v>198</v>
      </c>
      <c r="G99" s="315" t="str">
        <f>_xlfn.XLOOKUP(B99,'WFP Details - 2026'!A:A,'WFP Details - 2026'!Z:Z)</f>
        <v>x</v>
      </c>
      <c r="H99" s="314">
        <v>45663</v>
      </c>
      <c r="I99" s="315">
        <v>1</v>
      </c>
      <c r="J99" s="315">
        <v>2025</v>
      </c>
      <c r="K99" s="316">
        <v>1</v>
      </c>
      <c r="L99" s="316">
        <v>1</v>
      </c>
      <c r="M99" s="316">
        <v>1</v>
      </c>
      <c r="N99" s="316">
        <v>1</v>
      </c>
      <c r="O99" s="316">
        <v>1</v>
      </c>
      <c r="P99" s="316">
        <v>1</v>
      </c>
      <c r="Q99" s="316">
        <v>1</v>
      </c>
      <c r="R99" s="316">
        <v>1</v>
      </c>
      <c r="S99" s="316">
        <v>1</v>
      </c>
      <c r="T99" s="316">
        <v>1</v>
      </c>
      <c r="U99" s="316">
        <v>1</v>
      </c>
      <c r="V99" s="316">
        <v>1</v>
      </c>
      <c r="W99" s="316">
        <v>1</v>
      </c>
      <c r="X99" s="316">
        <v>1</v>
      </c>
      <c r="Y99" s="316">
        <v>1</v>
      </c>
      <c r="Z99" s="316">
        <v>1</v>
      </c>
      <c r="AA99" s="316">
        <v>1</v>
      </c>
      <c r="AB99" s="316">
        <v>1</v>
      </c>
      <c r="AC99" s="316">
        <v>1</v>
      </c>
      <c r="AD99" s="316">
        <v>1</v>
      </c>
      <c r="AE99" s="316">
        <v>1</v>
      </c>
      <c r="AF99" s="316">
        <v>1</v>
      </c>
      <c r="AG99" s="316">
        <v>1</v>
      </c>
      <c r="AH99" s="316">
        <v>1</v>
      </c>
      <c r="AI99" s="316">
        <v>1</v>
      </c>
      <c r="AJ99" s="316">
        <v>1</v>
      </c>
      <c r="AK99" s="316">
        <v>1</v>
      </c>
      <c r="AL99" s="316">
        <v>1</v>
      </c>
      <c r="AM99" s="316">
        <v>1</v>
      </c>
      <c r="AN99" s="316">
        <v>1</v>
      </c>
      <c r="AO99" s="316">
        <v>1</v>
      </c>
      <c r="AP99" s="316">
        <v>1</v>
      </c>
      <c r="AQ99" s="316">
        <v>1</v>
      </c>
      <c r="AR99" s="316">
        <v>1</v>
      </c>
      <c r="AS99" s="316">
        <v>1</v>
      </c>
      <c r="AT99" s="316">
        <v>1</v>
      </c>
    </row>
    <row r="100" spans="2:46" ht="12.75" customHeight="1" x14ac:dyDescent="0.15">
      <c r="B100" s="312">
        <v>1056</v>
      </c>
      <c r="C100" s="313" t="s">
        <v>122</v>
      </c>
      <c r="D100" s="313" t="s">
        <v>1822</v>
      </c>
      <c r="E100" s="319" t="s">
        <v>1801</v>
      </c>
      <c r="F100" s="319" t="s">
        <v>171</v>
      </c>
      <c r="G100" s="315" t="str">
        <f>_xlfn.XLOOKUP(B100,'WFP Details - 2026'!A:A,'WFP Details - 2026'!Z:Z)</f>
        <v>x</v>
      </c>
      <c r="H100" s="314">
        <v>45663</v>
      </c>
      <c r="I100" s="315">
        <v>1</v>
      </c>
      <c r="J100" s="315">
        <v>2025</v>
      </c>
      <c r="K100" s="316">
        <v>1</v>
      </c>
      <c r="L100" s="316">
        <v>1</v>
      </c>
      <c r="M100" s="316">
        <v>1</v>
      </c>
      <c r="N100" s="316">
        <v>1</v>
      </c>
      <c r="O100" s="316">
        <v>1</v>
      </c>
      <c r="P100" s="316">
        <v>1</v>
      </c>
      <c r="Q100" s="316">
        <v>1</v>
      </c>
      <c r="R100" s="316">
        <v>1</v>
      </c>
      <c r="S100" s="316">
        <v>1</v>
      </c>
      <c r="T100" s="316">
        <v>1</v>
      </c>
      <c r="U100" s="316">
        <v>1</v>
      </c>
      <c r="V100" s="316">
        <v>1</v>
      </c>
      <c r="W100" s="316">
        <v>1</v>
      </c>
      <c r="X100" s="316">
        <v>1</v>
      </c>
      <c r="Y100" s="316">
        <v>1</v>
      </c>
      <c r="Z100" s="316">
        <v>1</v>
      </c>
      <c r="AA100" s="316">
        <v>1</v>
      </c>
      <c r="AB100" s="316">
        <v>1</v>
      </c>
      <c r="AC100" s="316">
        <v>1</v>
      </c>
      <c r="AD100" s="316">
        <v>1</v>
      </c>
      <c r="AE100" s="316">
        <v>1</v>
      </c>
      <c r="AF100" s="316">
        <v>1</v>
      </c>
      <c r="AG100" s="316">
        <v>1</v>
      </c>
      <c r="AH100" s="316">
        <v>1</v>
      </c>
      <c r="AI100" s="316">
        <v>1</v>
      </c>
      <c r="AJ100" s="316">
        <v>1</v>
      </c>
      <c r="AK100" s="316">
        <v>1</v>
      </c>
      <c r="AL100" s="316">
        <v>1</v>
      </c>
      <c r="AM100" s="316">
        <v>1</v>
      </c>
      <c r="AN100" s="316">
        <v>1</v>
      </c>
      <c r="AO100" s="316">
        <v>1</v>
      </c>
      <c r="AP100" s="316">
        <v>1</v>
      </c>
      <c r="AQ100" s="316">
        <v>1</v>
      </c>
      <c r="AR100" s="316">
        <v>1</v>
      </c>
      <c r="AS100" s="316">
        <v>1</v>
      </c>
      <c r="AT100" s="316">
        <v>1</v>
      </c>
    </row>
    <row r="101" spans="2:46" ht="12.75" customHeight="1" x14ac:dyDescent="0.15">
      <c r="B101" s="318">
        <v>1043</v>
      </c>
      <c r="C101" s="313" t="s">
        <v>122</v>
      </c>
      <c r="D101" s="313" t="s">
        <v>1823</v>
      </c>
      <c r="E101" s="319" t="s">
        <v>1793</v>
      </c>
      <c r="F101" s="319" t="s">
        <v>194</v>
      </c>
      <c r="G101" s="315" t="str">
        <f>_xlfn.XLOOKUP(B101,'WFP Details - 2026'!A:A,'WFP Details - 2026'!Z:Z)</f>
        <v>x</v>
      </c>
      <c r="H101" s="314">
        <v>45740</v>
      </c>
      <c r="I101" s="315">
        <v>3</v>
      </c>
      <c r="J101" s="315">
        <v>2025</v>
      </c>
      <c r="K101" s="316">
        <v>1</v>
      </c>
      <c r="L101" s="316">
        <v>1</v>
      </c>
      <c r="M101" s="316">
        <v>1</v>
      </c>
      <c r="N101" s="316">
        <v>1</v>
      </c>
      <c r="O101" s="316">
        <v>1</v>
      </c>
      <c r="P101" s="316">
        <v>1</v>
      </c>
      <c r="Q101" s="316">
        <v>1</v>
      </c>
      <c r="R101" s="316">
        <v>1</v>
      </c>
      <c r="S101" s="316">
        <v>1</v>
      </c>
      <c r="T101" s="316">
        <v>1</v>
      </c>
      <c r="U101" s="316">
        <v>1</v>
      </c>
      <c r="V101" s="316">
        <v>1</v>
      </c>
      <c r="W101" s="316">
        <v>1</v>
      </c>
      <c r="X101" s="316">
        <v>1</v>
      </c>
      <c r="Y101" s="316">
        <v>1</v>
      </c>
      <c r="Z101" s="316">
        <v>1</v>
      </c>
      <c r="AA101" s="316">
        <v>1</v>
      </c>
      <c r="AB101" s="316">
        <v>1</v>
      </c>
      <c r="AC101" s="316">
        <v>1</v>
      </c>
      <c r="AD101" s="316">
        <v>1</v>
      </c>
      <c r="AE101" s="316">
        <v>1</v>
      </c>
      <c r="AF101" s="316">
        <v>1</v>
      </c>
      <c r="AG101" s="316">
        <v>1</v>
      </c>
      <c r="AH101" s="316">
        <v>1</v>
      </c>
      <c r="AI101" s="316">
        <v>1</v>
      </c>
      <c r="AJ101" s="316">
        <v>1</v>
      </c>
      <c r="AK101" s="316">
        <v>1</v>
      </c>
      <c r="AL101" s="316">
        <v>1</v>
      </c>
      <c r="AM101" s="316">
        <v>1</v>
      </c>
      <c r="AN101" s="316">
        <v>1</v>
      </c>
      <c r="AO101" s="316">
        <v>1</v>
      </c>
      <c r="AP101" s="316">
        <v>1</v>
      </c>
      <c r="AQ101" s="316">
        <v>1</v>
      </c>
      <c r="AR101" s="316">
        <v>1</v>
      </c>
      <c r="AS101" s="316">
        <v>1</v>
      </c>
      <c r="AT101" s="316">
        <v>1</v>
      </c>
    </row>
    <row r="102" spans="2:46" ht="12.75" customHeight="1" x14ac:dyDescent="0.15">
      <c r="B102" s="318">
        <v>1032</v>
      </c>
      <c r="C102" s="313" t="s">
        <v>122</v>
      </c>
      <c r="D102" s="313" t="s">
        <v>234</v>
      </c>
      <c r="E102" s="319" t="s">
        <v>1805</v>
      </c>
      <c r="F102" s="319" t="s">
        <v>1824</v>
      </c>
      <c r="G102" s="315" t="str">
        <f>_xlfn.XLOOKUP(B102,'WFP Details - 2026'!A:A,'WFP Details - 2026'!Z:Z)</f>
        <v>x</v>
      </c>
      <c r="H102" s="314">
        <v>45775</v>
      </c>
      <c r="I102" s="315">
        <v>4</v>
      </c>
      <c r="J102" s="315">
        <v>2025</v>
      </c>
      <c r="K102" s="316">
        <v>1</v>
      </c>
      <c r="L102" s="316">
        <v>1</v>
      </c>
      <c r="M102" s="316">
        <v>1</v>
      </c>
      <c r="N102" s="316">
        <v>1</v>
      </c>
      <c r="O102" s="316">
        <v>1</v>
      </c>
      <c r="P102" s="316">
        <v>1</v>
      </c>
      <c r="Q102" s="316">
        <v>1</v>
      </c>
      <c r="R102" s="316">
        <v>1</v>
      </c>
      <c r="S102" s="316">
        <v>1</v>
      </c>
      <c r="T102" s="316">
        <v>1</v>
      </c>
      <c r="U102" s="316">
        <v>1</v>
      </c>
      <c r="V102" s="316">
        <v>1</v>
      </c>
      <c r="W102" s="316">
        <v>1</v>
      </c>
      <c r="X102" s="316">
        <v>1</v>
      </c>
      <c r="Y102" s="316">
        <v>1</v>
      </c>
      <c r="Z102" s="316">
        <v>1</v>
      </c>
      <c r="AA102" s="316">
        <v>1</v>
      </c>
      <c r="AB102" s="316">
        <v>1</v>
      </c>
      <c r="AC102" s="316">
        <v>1</v>
      </c>
      <c r="AD102" s="316">
        <v>1</v>
      </c>
      <c r="AE102" s="316">
        <v>1</v>
      </c>
      <c r="AF102" s="316">
        <v>1</v>
      </c>
      <c r="AG102" s="316">
        <v>1</v>
      </c>
      <c r="AH102" s="316">
        <v>1</v>
      </c>
      <c r="AI102" s="316">
        <v>1</v>
      </c>
      <c r="AJ102" s="316">
        <v>1</v>
      </c>
      <c r="AK102" s="316">
        <v>1</v>
      </c>
      <c r="AL102" s="316">
        <v>1</v>
      </c>
      <c r="AM102" s="316">
        <v>1</v>
      </c>
      <c r="AN102" s="316">
        <v>1</v>
      </c>
      <c r="AO102" s="316">
        <v>1</v>
      </c>
      <c r="AP102" s="316">
        <v>1</v>
      </c>
      <c r="AQ102" s="316">
        <v>1</v>
      </c>
      <c r="AR102" s="316">
        <v>1</v>
      </c>
      <c r="AS102" s="316">
        <v>1</v>
      </c>
      <c r="AT102" s="316">
        <v>1</v>
      </c>
    </row>
    <row r="103" spans="2:46" ht="12.75" customHeight="1" x14ac:dyDescent="0.15">
      <c r="B103" s="318">
        <v>1052</v>
      </c>
      <c r="C103" s="313" t="s">
        <v>122</v>
      </c>
      <c r="D103" s="313" t="s">
        <v>1825</v>
      </c>
      <c r="E103" s="319" t="s">
        <v>1801</v>
      </c>
      <c r="F103" s="319" t="s">
        <v>210</v>
      </c>
      <c r="G103" s="315" t="str">
        <f>_xlfn.XLOOKUP(B103,'WFP Details - 2026'!A:A,'WFP Details - 2026'!Z:Z)</f>
        <v>x</v>
      </c>
      <c r="H103" s="314">
        <v>45831</v>
      </c>
      <c r="I103" s="315">
        <v>6</v>
      </c>
      <c r="J103" s="315">
        <v>2025</v>
      </c>
      <c r="K103" s="316">
        <v>1</v>
      </c>
      <c r="L103" s="316">
        <v>1</v>
      </c>
      <c r="M103" s="316">
        <v>1</v>
      </c>
      <c r="N103" s="316">
        <v>1</v>
      </c>
      <c r="O103" s="316">
        <v>1</v>
      </c>
      <c r="P103" s="316">
        <v>1</v>
      </c>
      <c r="Q103" s="316">
        <v>1</v>
      </c>
      <c r="R103" s="316">
        <v>1</v>
      </c>
      <c r="S103" s="316">
        <v>1</v>
      </c>
      <c r="T103" s="316">
        <v>1</v>
      </c>
      <c r="U103" s="316">
        <v>1</v>
      </c>
      <c r="V103" s="316">
        <v>1</v>
      </c>
      <c r="W103" s="316">
        <v>1</v>
      </c>
      <c r="X103" s="316">
        <v>1</v>
      </c>
      <c r="Y103" s="316">
        <v>1</v>
      </c>
      <c r="Z103" s="316">
        <v>1</v>
      </c>
      <c r="AA103" s="316">
        <v>1</v>
      </c>
      <c r="AB103" s="316">
        <v>1</v>
      </c>
      <c r="AC103" s="316">
        <v>1</v>
      </c>
      <c r="AD103" s="316">
        <v>1</v>
      </c>
      <c r="AE103" s="316">
        <v>1</v>
      </c>
      <c r="AF103" s="316">
        <v>1</v>
      </c>
      <c r="AG103" s="316">
        <v>1</v>
      </c>
      <c r="AH103" s="316">
        <v>1</v>
      </c>
      <c r="AI103" s="316">
        <v>1</v>
      </c>
      <c r="AJ103" s="316">
        <v>1</v>
      </c>
      <c r="AK103" s="316">
        <v>1</v>
      </c>
      <c r="AL103" s="316">
        <v>1</v>
      </c>
      <c r="AM103" s="316">
        <v>1</v>
      </c>
      <c r="AN103" s="316">
        <v>1</v>
      </c>
      <c r="AO103" s="316">
        <v>1</v>
      </c>
      <c r="AP103" s="316">
        <v>1</v>
      </c>
      <c r="AQ103" s="316">
        <v>1</v>
      </c>
      <c r="AR103" s="316">
        <v>1</v>
      </c>
      <c r="AS103" s="316">
        <v>1</v>
      </c>
      <c r="AT103" s="316">
        <v>1</v>
      </c>
    </row>
    <row r="104" spans="2:46" ht="12.75" customHeight="1" x14ac:dyDescent="0.15">
      <c r="B104" s="318">
        <v>1355</v>
      </c>
      <c r="C104" s="313" t="s">
        <v>122</v>
      </c>
      <c r="D104" s="313" t="s">
        <v>79</v>
      </c>
      <c r="E104" s="319" t="s">
        <v>1792</v>
      </c>
      <c r="F104" s="319" t="s">
        <v>1826</v>
      </c>
      <c r="G104" s="315" t="str">
        <f>_xlfn.XLOOKUP(B104,'WFP Details - 2026'!A:A,'WFP Details - 2026'!Z:Z)</f>
        <v>x</v>
      </c>
      <c r="H104" s="314">
        <v>45943</v>
      </c>
      <c r="I104" s="315">
        <v>10</v>
      </c>
      <c r="J104" s="315">
        <v>2025</v>
      </c>
      <c r="K104" s="316">
        <v>1</v>
      </c>
      <c r="L104" s="316">
        <v>1</v>
      </c>
      <c r="M104" s="316">
        <v>1</v>
      </c>
      <c r="N104" s="316">
        <v>1</v>
      </c>
      <c r="O104" s="316">
        <v>1</v>
      </c>
      <c r="P104" s="316">
        <v>1</v>
      </c>
      <c r="Q104" s="316">
        <v>1</v>
      </c>
      <c r="R104" s="316">
        <v>1</v>
      </c>
      <c r="S104" s="316">
        <v>1</v>
      </c>
      <c r="T104" s="316">
        <v>1</v>
      </c>
      <c r="U104" s="316">
        <v>1</v>
      </c>
      <c r="V104" s="316">
        <v>1</v>
      </c>
      <c r="W104" s="316">
        <v>1</v>
      </c>
      <c r="X104" s="316">
        <v>1</v>
      </c>
      <c r="Y104" s="316">
        <v>1</v>
      </c>
      <c r="Z104" s="316">
        <v>1</v>
      </c>
      <c r="AA104" s="316">
        <v>1</v>
      </c>
      <c r="AB104" s="316">
        <v>1</v>
      </c>
      <c r="AC104" s="316">
        <v>1</v>
      </c>
      <c r="AD104" s="316">
        <v>1</v>
      </c>
      <c r="AE104" s="316">
        <v>1</v>
      </c>
      <c r="AF104" s="316">
        <v>1</v>
      </c>
      <c r="AG104" s="316">
        <v>1</v>
      </c>
      <c r="AH104" s="316">
        <v>1</v>
      </c>
      <c r="AI104" s="316">
        <v>1</v>
      </c>
      <c r="AJ104" s="316">
        <v>1</v>
      </c>
      <c r="AK104" s="316">
        <v>1</v>
      </c>
      <c r="AL104" s="316">
        <v>1</v>
      </c>
      <c r="AM104" s="316">
        <v>1</v>
      </c>
      <c r="AN104" s="316">
        <v>1</v>
      </c>
      <c r="AO104" s="316">
        <v>1</v>
      </c>
      <c r="AP104" s="316">
        <v>1</v>
      </c>
      <c r="AQ104" s="316">
        <v>1</v>
      </c>
      <c r="AR104" s="316">
        <v>1</v>
      </c>
      <c r="AS104" s="316">
        <v>1</v>
      </c>
      <c r="AT104" s="316">
        <v>1</v>
      </c>
    </row>
    <row r="105" spans="2:46" ht="12.75" customHeight="1" x14ac:dyDescent="0.15">
      <c r="B105" s="318">
        <v>1040</v>
      </c>
      <c r="C105" s="313" t="s">
        <v>122</v>
      </c>
      <c r="D105" s="313" t="s">
        <v>1284</v>
      </c>
      <c r="E105" s="319" t="s">
        <v>1817</v>
      </c>
      <c r="F105" s="319" t="s">
        <v>1827</v>
      </c>
      <c r="G105" s="315" t="str">
        <f>_xlfn.XLOOKUP(B105,'WFP Details - 2026'!A:A,'WFP Details - 2026'!Z:Z)</f>
        <v>x</v>
      </c>
      <c r="H105" s="314">
        <v>45943</v>
      </c>
      <c r="I105" s="315">
        <v>10</v>
      </c>
      <c r="J105" s="315">
        <v>2025</v>
      </c>
      <c r="K105" s="316">
        <v>1</v>
      </c>
      <c r="L105" s="316">
        <v>1</v>
      </c>
      <c r="M105" s="316">
        <v>1</v>
      </c>
      <c r="N105" s="316">
        <v>1</v>
      </c>
      <c r="O105" s="316">
        <v>1</v>
      </c>
      <c r="P105" s="316">
        <v>1</v>
      </c>
      <c r="Q105" s="316">
        <v>1</v>
      </c>
      <c r="R105" s="316">
        <v>1</v>
      </c>
      <c r="S105" s="316">
        <v>1</v>
      </c>
      <c r="T105" s="316">
        <v>1</v>
      </c>
      <c r="U105" s="316">
        <v>1</v>
      </c>
      <c r="V105" s="316">
        <v>1</v>
      </c>
      <c r="W105" s="316">
        <v>1</v>
      </c>
      <c r="X105" s="316">
        <v>1</v>
      </c>
      <c r="Y105" s="316">
        <v>1</v>
      </c>
      <c r="Z105" s="316">
        <v>1</v>
      </c>
      <c r="AA105" s="316">
        <v>1</v>
      </c>
      <c r="AB105" s="316">
        <v>1</v>
      </c>
      <c r="AC105" s="316">
        <v>1</v>
      </c>
      <c r="AD105" s="316">
        <v>1</v>
      </c>
      <c r="AE105" s="316">
        <v>1</v>
      </c>
      <c r="AF105" s="316">
        <v>1</v>
      </c>
      <c r="AG105" s="316">
        <v>1</v>
      </c>
      <c r="AH105" s="316">
        <v>1</v>
      </c>
      <c r="AI105" s="316">
        <v>1</v>
      </c>
      <c r="AJ105" s="316">
        <v>1</v>
      </c>
      <c r="AK105" s="316">
        <v>1</v>
      </c>
      <c r="AL105" s="316">
        <v>1</v>
      </c>
      <c r="AM105" s="316">
        <v>1</v>
      </c>
      <c r="AN105" s="316">
        <v>1</v>
      </c>
      <c r="AO105" s="316">
        <v>1</v>
      </c>
      <c r="AP105" s="316">
        <v>1</v>
      </c>
      <c r="AQ105" s="316">
        <v>1</v>
      </c>
      <c r="AR105" s="316">
        <v>1</v>
      </c>
      <c r="AS105" s="316">
        <v>1</v>
      </c>
      <c r="AT105" s="316">
        <v>1</v>
      </c>
    </row>
    <row r="106" spans="2:46" ht="12.75" customHeight="1" x14ac:dyDescent="0.15">
      <c r="B106" s="318">
        <v>1037</v>
      </c>
      <c r="C106" s="313" t="s">
        <v>122</v>
      </c>
      <c r="D106" s="313" t="s">
        <v>249</v>
      </c>
      <c r="E106" s="319" t="s">
        <v>1795</v>
      </c>
      <c r="F106" s="319" t="s">
        <v>194</v>
      </c>
      <c r="G106" s="315" t="str">
        <f>_xlfn.XLOOKUP(B106,'WFP Details - 2026'!A:A,'WFP Details - 2026'!Z:Z)</f>
        <v>x</v>
      </c>
      <c r="H106" s="314">
        <v>46006</v>
      </c>
      <c r="I106" s="315">
        <v>12</v>
      </c>
      <c r="J106" s="315">
        <v>2025</v>
      </c>
      <c r="K106" s="316">
        <v>1</v>
      </c>
      <c r="L106" s="316">
        <v>1</v>
      </c>
      <c r="M106" s="316">
        <v>1</v>
      </c>
      <c r="N106" s="316">
        <v>1</v>
      </c>
      <c r="O106" s="316">
        <v>1</v>
      </c>
      <c r="P106" s="316">
        <v>1</v>
      </c>
      <c r="Q106" s="316">
        <v>1</v>
      </c>
      <c r="R106" s="316">
        <v>1</v>
      </c>
      <c r="S106" s="316">
        <v>1</v>
      </c>
      <c r="T106" s="316">
        <v>1</v>
      </c>
      <c r="U106" s="316">
        <v>1</v>
      </c>
      <c r="V106" s="316">
        <v>1</v>
      </c>
      <c r="W106" s="316">
        <v>1</v>
      </c>
      <c r="X106" s="316">
        <v>1</v>
      </c>
      <c r="Y106" s="316">
        <v>1</v>
      </c>
      <c r="Z106" s="316">
        <v>1</v>
      </c>
      <c r="AA106" s="316">
        <v>1</v>
      </c>
      <c r="AB106" s="316">
        <v>1</v>
      </c>
      <c r="AC106" s="316">
        <v>1</v>
      </c>
      <c r="AD106" s="316">
        <v>1</v>
      </c>
      <c r="AE106" s="316">
        <v>1</v>
      </c>
      <c r="AF106" s="316">
        <v>1</v>
      </c>
      <c r="AG106" s="316">
        <v>1</v>
      </c>
      <c r="AH106" s="316">
        <v>1</v>
      </c>
      <c r="AI106" s="316">
        <v>1</v>
      </c>
      <c r="AJ106" s="316">
        <v>1</v>
      </c>
      <c r="AK106" s="316">
        <v>1</v>
      </c>
      <c r="AL106" s="316">
        <v>1</v>
      </c>
      <c r="AM106" s="316">
        <v>1</v>
      </c>
      <c r="AN106" s="316">
        <v>1</v>
      </c>
      <c r="AO106" s="316">
        <v>1</v>
      </c>
      <c r="AP106" s="316">
        <v>1</v>
      </c>
      <c r="AQ106" s="316">
        <v>1</v>
      </c>
      <c r="AR106" s="316">
        <v>1</v>
      </c>
      <c r="AS106" s="316">
        <v>1</v>
      </c>
      <c r="AT106" s="316">
        <v>1</v>
      </c>
    </row>
    <row r="107" spans="2:46" ht="12.75" customHeight="1" x14ac:dyDescent="0.15">
      <c r="B107" s="318">
        <v>1369</v>
      </c>
      <c r="C107" s="313" t="s">
        <v>122</v>
      </c>
      <c r="D107" s="313" t="s">
        <v>101</v>
      </c>
      <c r="E107" s="319" t="s">
        <v>1793</v>
      </c>
      <c r="F107" s="319" t="s">
        <v>1828</v>
      </c>
      <c r="G107" s="315" t="str">
        <f>_xlfn.XLOOKUP(B107,'WFP Details - 2026'!A:A,'WFP Details - 2026'!Z:Z)</f>
        <v>x</v>
      </c>
      <c r="H107" s="314">
        <v>46096</v>
      </c>
      <c r="I107" s="315">
        <v>3</v>
      </c>
      <c r="J107" s="315">
        <v>2026</v>
      </c>
      <c r="K107" s="316">
        <v>0</v>
      </c>
      <c r="L107" s="316">
        <v>0</v>
      </c>
      <c r="M107" s="316">
        <v>1</v>
      </c>
      <c r="N107" s="316">
        <v>1</v>
      </c>
      <c r="O107" s="316">
        <v>1</v>
      </c>
      <c r="P107" s="316">
        <v>1</v>
      </c>
      <c r="Q107" s="316">
        <v>1</v>
      </c>
      <c r="R107" s="316">
        <v>1</v>
      </c>
      <c r="S107" s="316">
        <v>1</v>
      </c>
      <c r="T107" s="316">
        <v>1</v>
      </c>
      <c r="U107" s="316">
        <v>1</v>
      </c>
      <c r="V107" s="316">
        <v>1</v>
      </c>
      <c r="W107" s="316">
        <v>1</v>
      </c>
      <c r="X107" s="316">
        <v>1</v>
      </c>
      <c r="Y107" s="316">
        <v>1</v>
      </c>
      <c r="Z107" s="316">
        <v>1</v>
      </c>
      <c r="AA107" s="316">
        <v>1</v>
      </c>
      <c r="AB107" s="316">
        <v>1</v>
      </c>
      <c r="AC107" s="316">
        <v>1</v>
      </c>
      <c r="AD107" s="316">
        <v>1</v>
      </c>
      <c r="AE107" s="316">
        <v>1</v>
      </c>
      <c r="AF107" s="316">
        <v>1</v>
      </c>
      <c r="AG107" s="316">
        <v>1</v>
      </c>
      <c r="AH107" s="316">
        <v>1</v>
      </c>
      <c r="AI107" s="316">
        <v>1</v>
      </c>
      <c r="AJ107" s="316">
        <v>1</v>
      </c>
      <c r="AK107" s="316">
        <v>1</v>
      </c>
      <c r="AL107" s="316">
        <v>1</v>
      </c>
      <c r="AM107" s="316">
        <v>1</v>
      </c>
      <c r="AN107" s="316">
        <v>1</v>
      </c>
      <c r="AO107" s="316">
        <v>1</v>
      </c>
      <c r="AP107" s="316">
        <v>1</v>
      </c>
      <c r="AQ107" s="316">
        <v>1</v>
      </c>
      <c r="AR107" s="316">
        <v>1</v>
      </c>
      <c r="AS107" s="316">
        <v>1</v>
      </c>
      <c r="AT107" s="316">
        <v>1</v>
      </c>
    </row>
    <row r="108" spans="2:46" ht="12.75" customHeight="1" x14ac:dyDescent="0.15">
      <c r="B108" s="318">
        <v>1370</v>
      </c>
      <c r="C108" s="313" t="s">
        <v>122</v>
      </c>
      <c r="D108" s="313" t="s">
        <v>101</v>
      </c>
      <c r="E108" s="319" t="s">
        <v>1817</v>
      </c>
      <c r="F108" s="319" t="s">
        <v>1829</v>
      </c>
      <c r="G108" s="315" t="str">
        <f>_xlfn.XLOOKUP(B108,'WFP Details - 2026'!A:A,'WFP Details - 2026'!Z:Z)</f>
        <v>x</v>
      </c>
      <c r="H108" s="314">
        <v>46096</v>
      </c>
      <c r="I108" s="315">
        <v>3</v>
      </c>
      <c r="J108" s="315">
        <v>2026</v>
      </c>
      <c r="K108" s="316">
        <v>0</v>
      </c>
      <c r="L108" s="316">
        <v>0</v>
      </c>
      <c r="M108" s="316">
        <v>1</v>
      </c>
      <c r="N108" s="316">
        <v>1</v>
      </c>
      <c r="O108" s="316">
        <v>1</v>
      </c>
      <c r="P108" s="316">
        <v>1</v>
      </c>
      <c r="Q108" s="316">
        <v>1</v>
      </c>
      <c r="R108" s="316">
        <v>1</v>
      </c>
      <c r="S108" s="316">
        <v>1</v>
      </c>
      <c r="T108" s="316">
        <v>1</v>
      </c>
      <c r="U108" s="316">
        <v>1</v>
      </c>
      <c r="V108" s="316">
        <v>1</v>
      </c>
      <c r="W108" s="316">
        <v>1</v>
      </c>
      <c r="X108" s="316">
        <v>1</v>
      </c>
      <c r="Y108" s="316">
        <v>1</v>
      </c>
      <c r="Z108" s="316">
        <v>1</v>
      </c>
      <c r="AA108" s="316">
        <v>1</v>
      </c>
      <c r="AB108" s="316">
        <v>1</v>
      </c>
      <c r="AC108" s="316">
        <v>1</v>
      </c>
      <c r="AD108" s="316">
        <v>1</v>
      </c>
      <c r="AE108" s="316">
        <v>1</v>
      </c>
      <c r="AF108" s="316">
        <v>1</v>
      </c>
      <c r="AG108" s="316">
        <v>1</v>
      </c>
      <c r="AH108" s="316">
        <v>1</v>
      </c>
      <c r="AI108" s="316">
        <v>1</v>
      </c>
      <c r="AJ108" s="316">
        <v>1</v>
      </c>
      <c r="AK108" s="316">
        <v>1</v>
      </c>
      <c r="AL108" s="316">
        <v>1</v>
      </c>
      <c r="AM108" s="316">
        <v>1</v>
      </c>
      <c r="AN108" s="316">
        <v>1</v>
      </c>
      <c r="AO108" s="316">
        <v>1</v>
      </c>
      <c r="AP108" s="316">
        <v>1</v>
      </c>
      <c r="AQ108" s="316">
        <v>1</v>
      </c>
      <c r="AR108" s="316">
        <v>1</v>
      </c>
      <c r="AS108" s="316">
        <v>1</v>
      </c>
      <c r="AT108" s="316">
        <v>1</v>
      </c>
    </row>
    <row r="109" spans="2:46" ht="12.75" customHeight="1" x14ac:dyDescent="0.15">
      <c r="B109" s="318">
        <v>5077</v>
      </c>
      <c r="C109" s="313" t="s">
        <v>122</v>
      </c>
      <c r="D109" s="313" t="s">
        <v>101</v>
      </c>
      <c r="E109" s="319" t="s">
        <v>1795</v>
      </c>
      <c r="F109" s="319" t="s">
        <v>220</v>
      </c>
      <c r="G109" s="315" t="str">
        <f>_xlfn.XLOOKUP(B109,'WFP Details - 2026'!A:A,'WFP Details - 2026'!Z:Z)</f>
        <v>x</v>
      </c>
      <c r="H109" s="314">
        <v>46096</v>
      </c>
      <c r="I109" s="315">
        <v>3</v>
      </c>
      <c r="J109" s="315">
        <v>2026</v>
      </c>
      <c r="K109" s="316">
        <v>0</v>
      </c>
      <c r="L109" s="316">
        <v>0</v>
      </c>
      <c r="M109" s="316">
        <v>1</v>
      </c>
      <c r="N109" s="316">
        <v>1</v>
      </c>
      <c r="O109" s="316">
        <v>1</v>
      </c>
      <c r="P109" s="316">
        <v>1</v>
      </c>
      <c r="Q109" s="316">
        <v>1</v>
      </c>
      <c r="R109" s="316">
        <v>1</v>
      </c>
      <c r="S109" s="316">
        <v>1</v>
      </c>
      <c r="T109" s="316">
        <v>1</v>
      </c>
      <c r="U109" s="316">
        <v>1</v>
      </c>
      <c r="V109" s="316">
        <v>1</v>
      </c>
      <c r="W109" s="316">
        <v>1</v>
      </c>
      <c r="X109" s="316">
        <v>1</v>
      </c>
      <c r="Y109" s="316">
        <v>1</v>
      </c>
      <c r="Z109" s="316">
        <v>1</v>
      </c>
      <c r="AA109" s="316">
        <v>1</v>
      </c>
      <c r="AB109" s="316">
        <v>1</v>
      </c>
      <c r="AC109" s="316">
        <v>1</v>
      </c>
      <c r="AD109" s="316">
        <v>1</v>
      </c>
      <c r="AE109" s="316">
        <v>1</v>
      </c>
      <c r="AF109" s="316">
        <v>1</v>
      </c>
      <c r="AG109" s="316">
        <v>1</v>
      </c>
      <c r="AH109" s="316">
        <v>1</v>
      </c>
      <c r="AI109" s="316">
        <v>1</v>
      </c>
      <c r="AJ109" s="316">
        <v>1</v>
      </c>
      <c r="AK109" s="316">
        <v>1</v>
      </c>
      <c r="AL109" s="316">
        <v>1</v>
      </c>
      <c r="AM109" s="316">
        <v>1</v>
      </c>
      <c r="AN109" s="316">
        <v>1</v>
      </c>
      <c r="AO109" s="316">
        <v>1</v>
      </c>
      <c r="AP109" s="316">
        <v>1</v>
      </c>
      <c r="AQ109" s="316">
        <v>1</v>
      </c>
      <c r="AR109" s="316">
        <v>1</v>
      </c>
      <c r="AS109" s="316">
        <v>1</v>
      </c>
      <c r="AT109" s="316">
        <v>1</v>
      </c>
    </row>
    <row r="110" spans="2:46" ht="12.75" customHeight="1" x14ac:dyDescent="0.15">
      <c r="B110" s="312">
        <v>5095</v>
      </c>
      <c r="C110" s="313" t="s">
        <v>122</v>
      </c>
      <c r="D110" s="313" t="s">
        <v>302</v>
      </c>
      <c r="E110" s="319" t="s">
        <v>1801</v>
      </c>
      <c r="F110" s="319" t="s">
        <v>252</v>
      </c>
      <c r="G110" s="315" t="str">
        <f>_xlfn.XLOOKUP(B110,'WFP Details - 2026'!A:A,'WFP Details - 2026'!Z:Z)</f>
        <v>x</v>
      </c>
      <c r="H110" s="314">
        <v>46096</v>
      </c>
      <c r="I110" s="315">
        <v>3</v>
      </c>
      <c r="J110" s="315">
        <v>2026</v>
      </c>
      <c r="K110" s="316">
        <v>0</v>
      </c>
      <c r="L110" s="316">
        <v>0</v>
      </c>
      <c r="M110" s="316">
        <v>1</v>
      </c>
      <c r="N110" s="316">
        <v>1</v>
      </c>
      <c r="O110" s="316">
        <v>1</v>
      </c>
      <c r="P110" s="316">
        <v>1</v>
      </c>
      <c r="Q110" s="316">
        <v>1</v>
      </c>
      <c r="R110" s="316">
        <v>1</v>
      </c>
      <c r="S110" s="316">
        <v>1</v>
      </c>
      <c r="T110" s="316">
        <v>1</v>
      </c>
      <c r="U110" s="316">
        <v>1</v>
      </c>
      <c r="V110" s="316">
        <v>1</v>
      </c>
      <c r="W110" s="316">
        <v>1</v>
      </c>
      <c r="X110" s="316">
        <v>1</v>
      </c>
      <c r="Y110" s="316">
        <v>1</v>
      </c>
      <c r="Z110" s="316">
        <v>1</v>
      </c>
      <c r="AA110" s="316">
        <v>1</v>
      </c>
      <c r="AB110" s="316">
        <v>1</v>
      </c>
      <c r="AC110" s="316">
        <v>1</v>
      </c>
      <c r="AD110" s="316">
        <v>1</v>
      </c>
      <c r="AE110" s="316">
        <v>1</v>
      </c>
      <c r="AF110" s="316">
        <v>1</v>
      </c>
      <c r="AG110" s="316">
        <v>1</v>
      </c>
      <c r="AH110" s="316">
        <v>1</v>
      </c>
      <c r="AI110" s="316">
        <v>1</v>
      </c>
      <c r="AJ110" s="316">
        <v>1</v>
      </c>
      <c r="AK110" s="316">
        <v>1</v>
      </c>
      <c r="AL110" s="316">
        <v>1</v>
      </c>
      <c r="AM110" s="316">
        <v>1</v>
      </c>
      <c r="AN110" s="316">
        <v>1</v>
      </c>
      <c r="AO110" s="316">
        <v>1</v>
      </c>
      <c r="AP110" s="316">
        <v>1</v>
      </c>
      <c r="AQ110" s="316">
        <v>1</v>
      </c>
      <c r="AR110" s="316">
        <v>1</v>
      </c>
      <c r="AS110" s="316">
        <v>1</v>
      </c>
      <c r="AT110" s="316">
        <v>1</v>
      </c>
    </row>
    <row r="111" spans="2:46" ht="12.75" customHeight="1" x14ac:dyDescent="0.15">
      <c r="B111" s="318">
        <v>5096</v>
      </c>
      <c r="C111" s="313" t="s">
        <v>122</v>
      </c>
      <c r="D111" s="313" t="s">
        <v>101</v>
      </c>
      <c r="E111" s="319" t="s">
        <v>1794</v>
      </c>
      <c r="F111" s="319" t="s">
        <v>198</v>
      </c>
      <c r="G111" s="315" t="str">
        <f>_xlfn.XLOOKUP(B111,'WFP Details - 2026'!A:A,'WFP Details - 2026'!Z:Z)</f>
        <v>x</v>
      </c>
      <c r="H111" s="314">
        <v>46188</v>
      </c>
      <c r="I111" s="315">
        <v>6</v>
      </c>
      <c r="J111" s="315">
        <v>2026</v>
      </c>
      <c r="K111" s="316">
        <v>0</v>
      </c>
      <c r="L111" s="316">
        <v>0</v>
      </c>
      <c r="M111" s="316">
        <v>0</v>
      </c>
      <c r="N111" s="316">
        <v>0</v>
      </c>
      <c r="O111" s="316">
        <v>0</v>
      </c>
      <c r="P111" s="316">
        <v>1</v>
      </c>
      <c r="Q111" s="316">
        <v>1</v>
      </c>
      <c r="R111" s="316">
        <v>1</v>
      </c>
      <c r="S111" s="316">
        <v>1</v>
      </c>
      <c r="T111" s="316">
        <v>1</v>
      </c>
      <c r="U111" s="316">
        <v>1</v>
      </c>
      <c r="V111" s="316">
        <v>1</v>
      </c>
      <c r="W111" s="316">
        <v>1</v>
      </c>
      <c r="X111" s="316">
        <v>1</v>
      </c>
      <c r="Y111" s="316">
        <v>1</v>
      </c>
      <c r="Z111" s="316">
        <v>1</v>
      </c>
      <c r="AA111" s="316">
        <v>1</v>
      </c>
      <c r="AB111" s="316">
        <v>1</v>
      </c>
      <c r="AC111" s="316">
        <v>1</v>
      </c>
      <c r="AD111" s="316">
        <v>1</v>
      </c>
      <c r="AE111" s="316">
        <v>1</v>
      </c>
      <c r="AF111" s="316">
        <v>1</v>
      </c>
      <c r="AG111" s="316">
        <v>1</v>
      </c>
      <c r="AH111" s="316">
        <v>1</v>
      </c>
      <c r="AI111" s="316">
        <v>1</v>
      </c>
      <c r="AJ111" s="316">
        <v>1</v>
      </c>
      <c r="AK111" s="316">
        <v>1</v>
      </c>
      <c r="AL111" s="316">
        <v>1</v>
      </c>
      <c r="AM111" s="316">
        <v>1</v>
      </c>
      <c r="AN111" s="316">
        <v>1</v>
      </c>
      <c r="AO111" s="316">
        <v>1</v>
      </c>
      <c r="AP111" s="316">
        <v>1</v>
      </c>
      <c r="AQ111" s="316">
        <v>1</v>
      </c>
      <c r="AR111" s="316">
        <v>1</v>
      </c>
      <c r="AS111" s="316">
        <v>1</v>
      </c>
      <c r="AT111" s="316">
        <v>1</v>
      </c>
    </row>
    <row r="112" spans="2:46" ht="12.75" customHeight="1" x14ac:dyDescent="0.15">
      <c r="B112" s="318">
        <v>5051</v>
      </c>
      <c r="C112" s="313" t="s">
        <v>122</v>
      </c>
      <c r="D112" s="313" t="s">
        <v>101</v>
      </c>
      <c r="E112" s="319" t="s">
        <v>1793</v>
      </c>
      <c r="F112" s="319" t="s">
        <v>194</v>
      </c>
      <c r="G112" s="315" t="str">
        <f>_xlfn.XLOOKUP(B112,'WFP Details - 2026'!A:A,'WFP Details - 2026'!Z:Z)</f>
        <v>x</v>
      </c>
      <c r="H112" s="314">
        <v>46188</v>
      </c>
      <c r="I112" s="315">
        <v>6</v>
      </c>
      <c r="J112" s="315">
        <v>2026</v>
      </c>
      <c r="K112" s="316">
        <v>0</v>
      </c>
      <c r="L112" s="316">
        <v>0</v>
      </c>
      <c r="M112" s="316">
        <v>0</v>
      </c>
      <c r="N112" s="316">
        <v>0</v>
      </c>
      <c r="O112" s="316">
        <v>0</v>
      </c>
      <c r="P112" s="316">
        <v>1</v>
      </c>
      <c r="Q112" s="316">
        <v>1</v>
      </c>
      <c r="R112" s="316">
        <v>1</v>
      </c>
      <c r="S112" s="316">
        <v>1</v>
      </c>
      <c r="T112" s="316">
        <v>1</v>
      </c>
      <c r="U112" s="316">
        <v>1</v>
      </c>
      <c r="V112" s="316">
        <v>1</v>
      </c>
      <c r="W112" s="316">
        <v>1</v>
      </c>
      <c r="X112" s="316">
        <v>1</v>
      </c>
      <c r="Y112" s="316">
        <v>1</v>
      </c>
      <c r="Z112" s="316">
        <v>1</v>
      </c>
      <c r="AA112" s="316">
        <v>1</v>
      </c>
      <c r="AB112" s="316">
        <v>1</v>
      </c>
      <c r="AC112" s="316">
        <v>1</v>
      </c>
      <c r="AD112" s="316">
        <v>1</v>
      </c>
      <c r="AE112" s="316">
        <v>1</v>
      </c>
      <c r="AF112" s="316">
        <v>1</v>
      </c>
      <c r="AG112" s="316">
        <v>1</v>
      </c>
      <c r="AH112" s="316">
        <v>1</v>
      </c>
      <c r="AI112" s="316">
        <v>1</v>
      </c>
      <c r="AJ112" s="316">
        <v>1</v>
      </c>
      <c r="AK112" s="316">
        <v>1</v>
      </c>
      <c r="AL112" s="316">
        <v>1</v>
      </c>
      <c r="AM112" s="316">
        <v>1</v>
      </c>
      <c r="AN112" s="316">
        <v>1</v>
      </c>
      <c r="AO112" s="316">
        <v>1</v>
      </c>
      <c r="AP112" s="316">
        <v>1</v>
      </c>
      <c r="AQ112" s="316">
        <v>1</v>
      </c>
      <c r="AR112" s="316">
        <v>1</v>
      </c>
      <c r="AS112" s="316">
        <v>1</v>
      </c>
      <c r="AT112" s="316">
        <v>1</v>
      </c>
    </row>
    <row r="113" spans="2:46" ht="12.75" customHeight="1" x14ac:dyDescent="0.15">
      <c r="B113" s="318">
        <v>5070</v>
      </c>
      <c r="C113" s="313" t="s">
        <v>122</v>
      </c>
      <c r="D113" s="313" t="s">
        <v>101</v>
      </c>
      <c r="E113" s="319" t="s">
        <v>1817</v>
      </c>
      <c r="F113" s="319" t="s">
        <v>1830</v>
      </c>
      <c r="G113" s="315" t="str">
        <f>_xlfn.XLOOKUP(B113,'WFP Details - 2026'!A:A,'WFP Details - 2026'!Z:Z)</f>
        <v>x</v>
      </c>
      <c r="H113" s="314">
        <v>46188</v>
      </c>
      <c r="I113" s="315">
        <v>6</v>
      </c>
      <c r="J113" s="315">
        <v>2026</v>
      </c>
      <c r="K113" s="316">
        <v>0</v>
      </c>
      <c r="L113" s="316">
        <v>0</v>
      </c>
      <c r="M113" s="316">
        <v>0</v>
      </c>
      <c r="N113" s="316">
        <v>0</v>
      </c>
      <c r="O113" s="316">
        <v>0</v>
      </c>
      <c r="P113" s="316">
        <v>1</v>
      </c>
      <c r="Q113" s="316">
        <v>1</v>
      </c>
      <c r="R113" s="316">
        <v>1</v>
      </c>
      <c r="S113" s="316">
        <v>1</v>
      </c>
      <c r="T113" s="316">
        <v>1</v>
      </c>
      <c r="U113" s="316">
        <v>1</v>
      </c>
      <c r="V113" s="316">
        <v>1</v>
      </c>
      <c r="W113" s="316">
        <v>1</v>
      </c>
      <c r="X113" s="316">
        <v>1</v>
      </c>
      <c r="Y113" s="316">
        <v>1</v>
      </c>
      <c r="Z113" s="316">
        <v>1</v>
      </c>
      <c r="AA113" s="316">
        <v>1</v>
      </c>
      <c r="AB113" s="316">
        <v>1</v>
      </c>
      <c r="AC113" s="316">
        <v>1</v>
      </c>
      <c r="AD113" s="316">
        <v>1</v>
      </c>
      <c r="AE113" s="316">
        <v>1</v>
      </c>
      <c r="AF113" s="316">
        <v>1</v>
      </c>
      <c r="AG113" s="316">
        <v>1</v>
      </c>
      <c r="AH113" s="316">
        <v>1</v>
      </c>
      <c r="AI113" s="316">
        <v>1</v>
      </c>
      <c r="AJ113" s="316">
        <v>1</v>
      </c>
      <c r="AK113" s="316">
        <v>1</v>
      </c>
      <c r="AL113" s="316">
        <v>1</v>
      </c>
      <c r="AM113" s="316">
        <v>1</v>
      </c>
      <c r="AN113" s="316">
        <v>1</v>
      </c>
      <c r="AO113" s="316">
        <v>1</v>
      </c>
      <c r="AP113" s="316">
        <v>1</v>
      </c>
      <c r="AQ113" s="316">
        <v>1</v>
      </c>
      <c r="AR113" s="316">
        <v>1</v>
      </c>
      <c r="AS113" s="316">
        <v>1</v>
      </c>
      <c r="AT113" s="316">
        <v>1</v>
      </c>
    </row>
    <row r="114" spans="2:46" ht="12.75" customHeight="1" x14ac:dyDescent="0.15">
      <c r="B114" s="312">
        <v>5088</v>
      </c>
      <c r="C114" s="313" t="s">
        <v>122</v>
      </c>
      <c r="D114" s="313" t="s">
        <v>101</v>
      </c>
      <c r="E114" s="319" t="s">
        <v>1793</v>
      </c>
      <c r="F114" s="319" t="s">
        <v>194</v>
      </c>
      <c r="G114" s="315" t="str">
        <f>_xlfn.XLOOKUP(B114,'WFP Details - 2026'!A:A,'WFP Details - 2026'!Z:Z)</f>
        <v>x</v>
      </c>
      <c r="H114" s="314">
        <v>46188</v>
      </c>
      <c r="I114" s="315">
        <v>6</v>
      </c>
      <c r="J114" s="315">
        <v>2026</v>
      </c>
      <c r="K114" s="316">
        <v>0</v>
      </c>
      <c r="L114" s="316">
        <v>0</v>
      </c>
      <c r="M114" s="316">
        <v>0</v>
      </c>
      <c r="N114" s="316">
        <v>0</v>
      </c>
      <c r="O114" s="316">
        <v>0</v>
      </c>
      <c r="P114" s="316">
        <v>1</v>
      </c>
      <c r="Q114" s="316">
        <v>1</v>
      </c>
      <c r="R114" s="316">
        <v>1</v>
      </c>
      <c r="S114" s="316">
        <v>1</v>
      </c>
      <c r="T114" s="316">
        <v>1</v>
      </c>
      <c r="U114" s="316">
        <v>1</v>
      </c>
      <c r="V114" s="316">
        <v>1</v>
      </c>
      <c r="W114" s="316">
        <v>1</v>
      </c>
      <c r="X114" s="316">
        <v>1</v>
      </c>
      <c r="Y114" s="316">
        <v>1</v>
      </c>
      <c r="Z114" s="316">
        <v>1</v>
      </c>
      <c r="AA114" s="316">
        <v>1</v>
      </c>
      <c r="AB114" s="316">
        <v>1</v>
      </c>
      <c r="AC114" s="316">
        <v>1</v>
      </c>
      <c r="AD114" s="316">
        <v>1</v>
      </c>
      <c r="AE114" s="316">
        <v>1</v>
      </c>
      <c r="AF114" s="316">
        <v>1</v>
      </c>
      <c r="AG114" s="316">
        <v>1</v>
      </c>
      <c r="AH114" s="316">
        <v>1</v>
      </c>
      <c r="AI114" s="316">
        <v>1</v>
      </c>
      <c r="AJ114" s="316">
        <v>1</v>
      </c>
      <c r="AK114" s="316">
        <v>1</v>
      </c>
      <c r="AL114" s="316">
        <v>1</v>
      </c>
      <c r="AM114" s="316">
        <v>1</v>
      </c>
      <c r="AN114" s="316">
        <v>1</v>
      </c>
      <c r="AO114" s="316">
        <v>1</v>
      </c>
      <c r="AP114" s="316">
        <v>1</v>
      </c>
      <c r="AQ114" s="316">
        <v>1</v>
      </c>
      <c r="AR114" s="316">
        <v>1</v>
      </c>
      <c r="AS114" s="316">
        <v>1</v>
      </c>
      <c r="AT114" s="316">
        <v>1</v>
      </c>
    </row>
    <row r="115" spans="2:46" ht="12.75" customHeight="1" x14ac:dyDescent="0.15">
      <c r="B115" s="312">
        <v>5052</v>
      </c>
      <c r="C115" s="313" t="s">
        <v>122</v>
      </c>
      <c r="D115" s="313" t="s">
        <v>101</v>
      </c>
      <c r="E115" s="319" t="s">
        <v>1794</v>
      </c>
      <c r="F115" s="319" t="s">
        <v>241</v>
      </c>
      <c r="G115" s="315" t="str">
        <f>_xlfn.XLOOKUP(B115,'WFP Details - 2026'!A:A,'WFP Details - 2026'!Z:Z)</f>
        <v>x</v>
      </c>
      <c r="H115" s="314">
        <v>46188</v>
      </c>
      <c r="I115" s="315">
        <v>6</v>
      </c>
      <c r="J115" s="315">
        <v>2026</v>
      </c>
      <c r="K115" s="316">
        <v>0</v>
      </c>
      <c r="L115" s="316">
        <v>0</v>
      </c>
      <c r="M115" s="316">
        <v>0</v>
      </c>
      <c r="N115" s="316">
        <v>0</v>
      </c>
      <c r="O115" s="316">
        <v>0</v>
      </c>
      <c r="P115" s="316">
        <v>1</v>
      </c>
      <c r="Q115" s="316">
        <v>1</v>
      </c>
      <c r="R115" s="316">
        <v>1</v>
      </c>
      <c r="S115" s="316">
        <v>1</v>
      </c>
      <c r="T115" s="316">
        <v>1</v>
      </c>
      <c r="U115" s="316">
        <v>1</v>
      </c>
      <c r="V115" s="316">
        <v>1</v>
      </c>
      <c r="W115" s="316">
        <v>1</v>
      </c>
      <c r="X115" s="316">
        <v>1</v>
      </c>
      <c r="Y115" s="316">
        <v>1</v>
      </c>
      <c r="Z115" s="316">
        <v>1</v>
      </c>
      <c r="AA115" s="316">
        <v>1</v>
      </c>
      <c r="AB115" s="316">
        <v>1</v>
      </c>
      <c r="AC115" s="316">
        <v>1</v>
      </c>
      <c r="AD115" s="316">
        <v>1</v>
      </c>
      <c r="AE115" s="316">
        <v>1</v>
      </c>
      <c r="AF115" s="316">
        <v>1</v>
      </c>
      <c r="AG115" s="316">
        <v>1</v>
      </c>
      <c r="AH115" s="316">
        <v>1</v>
      </c>
      <c r="AI115" s="316">
        <v>1</v>
      </c>
      <c r="AJ115" s="316">
        <v>1</v>
      </c>
      <c r="AK115" s="316">
        <v>1</v>
      </c>
      <c r="AL115" s="316">
        <v>1</v>
      </c>
      <c r="AM115" s="316">
        <v>1</v>
      </c>
      <c r="AN115" s="316">
        <v>1</v>
      </c>
      <c r="AO115" s="316">
        <v>1</v>
      </c>
      <c r="AP115" s="316">
        <v>1</v>
      </c>
      <c r="AQ115" s="316">
        <v>1</v>
      </c>
      <c r="AR115" s="316">
        <v>1</v>
      </c>
      <c r="AS115" s="316">
        <v>1</v>
      </c>
      <c r="AT115" s="316">
        <v>1</v>
      </c>
    </row>
    <row r="116" spans="2:46" ht="12.75" customHeight="1" x14ac:dyDescent="0.15">
      <c r="B116" s="312">
        <v>5104</v>
      </c>
      <c r="C116" s="313" t="s">
        <v>122</v>
      </c>
      <c r="D116" s="313" t="s">
        <v>101</v>
      </c>
      <c r="E116" s="319" t="s">
        <v>1805</v>
      </c>
      <c r="F116" s="319" t="s">
        <v>1293</v>
      </c>
      <c r="G116" s="315" t="e">
        <f>_xlfn.XLOOKUP(B116,'WFP Details - 2026'!A:A,'WFP Details - 2026'!Z:Z)</f>
        <v>#N/A</v>
      </c>
      <c r="H116" s="314">
        <v>46188</v>
      </c>
      <c r="I116" s="315">
        <v>6</v>
      </c>
      <c r="J116" s="315">
        <v>2026</v>
      </c>
      <c r="K116" s="316">
        <v>0</v>
      </c>
      <c r="L116" s="316">
        <v>0</v>
      </c>
      <c r="M116" s="316">
        <v>0</v>
      </c>
      <c r="N116" s="316">
        <v>0</v>
      </c>
      <c r="O116" s="316">
        <v>0</v>
      </c>
      <c r="P116" s="316">
        <v>1</v>
      </c>
      <c r="Q116" s="316">
        <v>1</v>
      </c>
      <c r="R116" s="316">
        <v>1</v>
      </c>
      <c r="S116" s="316">
        <v>1</v>
      </c>
      <c r="T116" s="316">
        <v>1</v>
      </c>
      <c r="U116" s="316">
        <v>1</v>
      </c>
      <c r="V116" s="316">
        <v>1</v>
      </c>
      <c r="W116" s="316">
        <v>1</v>
      </c>
      <c r="X116" s="316">
        <v>1</v>
      </c>
      <c r="Y116" s="316">
        <v>1</v>
      </c>
      <c r="Z116" s="316">
        <v>1</v>
      </c>
      <c r="AA116" s="316">
        <v>1</v>
      </c>
      <c r="AB116" s="316">
        <v>1</v>
      </c>
      <c r="AC116" s="316">
        <v>1</v>
      </c>
      <c r="AD116" s="316">
        <v>1</v>
      </c>
      <c r="AE116" s="316">
        <v>1</v>
      </c>
      <c r="AF116" s="316">
        <v>1</v>
      </c>
      <c r="AG116" s="316">
        <v>1</v>
      </c>
      <c r="AH116" s="316">
        <v>1</v>
      </c>
      <c r="AI116" s="316">
        <v>1</v>
      </c>
      <c r="AJ116" s="316">
        <v>1</v>
      </c>
      <c r="AK116" s="316">
        <v>1</v>
      </c>
      <c r="AL116" s="316">
        <v>1</v>
      </c>
      <c r="AM116" s="316">
        <v>1</v>
      </c>
      <c r="AN116" s="316">
        <v>1</v>
      </c>
      <c r="AO116" s="316">
        <v>1</v>
      </c>
      <c r="AP116" s="316">
        <v>1</v>
      </c>
      <c r="AQ116" s="316">
        <v>1</v>
      </c>
      <c r="AR116" s="316">
        <v>1</v>
      </c>
      <c r="AS116" s="316">
        <v>1</v>
      </c>
      <c r="AT116" s="316">
        <v>1</v>
      </c>
    </row>
    <row r="117" spans="2:46" ht="12.75" customHeight="1" x14ac:dyDescent="0.15">
      <c r="B117" s="329">
        <v>1372</v>
      </c>
      <c r="C117" s="313" t="s">
        <v>122</v>
      </c>
      <c r="D117" s="313" t="s">
        <v>101</v>
      </c>
      <c r="E117" s="319" t="s">
        <v>1817</v>
      </c>
      <c r="F117" s="319" t="s">
        <v>221</v>
      </c>
      <c r="G117" s="315" t="str">
        <f>_xlfn.XLOOKUP(B117,'WFP Details - 2026'!A:A,'WFP Details - 2026'!Z:Z)</f>
        <v>x</v>
      </c>
      <c r="H117" s="314">
        <v>46280</v>
      </c>
      <c r="I117" s="315">
        <v>9</v>
      </c>
      <c r="J117" s="315">
        <v>2026</v>
      </c>
      <c r="K117" s="316">
        <v>0</v>
      </c>
      <c r="L117" s="316">
        <v>0</v>
      </c>
      <c r="M117" s="316">
        <v>0</v>
      </c>
      <c r="N117" s="316">
        <v>0</v>
      </c>
      <c r="O117" s="316">
        <v>0</v>
      </c>
      <c r="P117" s="316">
        <v>0</v>
      </c>
      <c r="Q117" s="316">
        <v>0</v>
      </c>
      <c r="R117" s="316">
        <v>0</v>
      </c>
      <c r="S117" s="316">
        <v>1</v>
      </c>
      <c r="T117" s="316">
        <v>1</v>
      </c>
      <c r="U117" s="316">
        <v>1</v>
      </c>
      <c r="V117" s="316">
        <v>1</v>
      </c>
      <c r="W117" s="316">
        <v>1</v>
      </c>
      <c r="X117" s="316">
        <v>1</v>
      </c>
      <c r="Y117" s="316">
        <v>1</v>
      </c>
      <c r="Z117" s="316">
        <v>1</v>
      </c>
      <c r="AA117" s="316">
        <v>1</v>
      </c>
      <c r="AB117" s="316">
        <v>1</v>
      </c>
      <c r="AC117" s="316">
        <v>1</v>
      </c>
      <c r="AD117" s="316">
        <v>1</v>
      </c>
      <c r="AE117" s="316">
        <v>1</v>
      </c>
      <c r="AF117" s="316">
        <v>1</v>
      </c>
      <c r="AG117" s="316">
        <v>1</v>
      </c>
      <c r="AH117" s="316">
        <v>1</v>
      </c>
      <c r="AI117" s="316">
        <v>1</v>
      </c>
      <c r="AJ117" s="316">
        <v>1</v>
      </c>
      <c r="AK117" s="316">
        <v>1</v>
      </c>
      <c r="AL117" s="316">
        <v>1</v>
      </c>
      <c r="AM117" s="316">
        <v>1</v>
      </c>
      <c r="AN117" s="316">
        <v>1</v>
      </c>
      <c r="AO117" s="316">
        <v>1</v>
      </c>
      <c r="AP117" s="316">
        <v>1</v>
      </c>
      <c r="AQ117" s="316">
        <v>1</v>
      </c>
      <c r="AR117" s="316">
        <v>1</v>
      </c>
      <c r="AS117" s="316">
        <v>1</v>
      </c>
      <c r="AT117" s="316">
        <v>1</v>
      </c>
    </row>
    <row r="118" spans="2:46" ht="12.75" hidden="1" customHeight="1" x14ac:dyDescent="0.15">
      <c r="B118" s="318">
        <v>5049</v>
      </c>
      <c r="C118" s="313" t="s">
        <v>122</v>
      </c>
      <c r="D118" s="313" t="s">
        <v>101</v>
      </c>
      <c r="E118" s="313" t="s">
        <v>1801</v>
      </c>
      <c r="F118" s="313" t="s">
        <v>252</v>
      </c>
      <c r="G118" s="315" t="e">
        <f>_xlfn.XLOOKUP(B118,'WFP Details - 2026'!A:A,'WFP Details - 2026'!Z:Z)</f>
        <v>#N/A</v>
      </c>
      <c r="H118" s="314">
        <v>46461</v>
      </c>
      <c r="I118" s="315">
        <v>3</v>
      </c>
      <c r="J118" s="315">
        <v>2027</v>
      </c>
      <c r="K118" s="316">
        <v>0</v>
      </c>
      <c r="L118" s="316">
        <v>0</v>
      </c>
      <c r="M118" s="316">
        <v>0</v>
      </c>
      <c r="N118" s="316">
        <v>0</v>
      </c>
      <c r="O118" s="316">
        <v>0</v>
      </c>
      <c r="P118" s="316">
        <v>0</v>
      </c>
      <c r="Q118" s="316">
        <v>0</v>
      </c>
      <c r="R118" s="316">
        <v>0</v>
      </c>
      <c r="S118" s="316">
        <v>0</v>
      </c>
      <c r="T118" s="316">
        <v>0</v>
      </c>
      <c r="U118" s="316">
        <v>0</v>
      </c>
      <c r="V118" s="316">
        <v>0</v>
      </c>
      <c r="W118" s="316">
        <v>0</v>
      </c>
      <c r="X118" s="316">
        <v>0</v>
      </c>
      <c r="Y118" s="316">
        <v>1</v>
      </c>
      <c r="Z118" s="316">
        <v>1</v>
      </c>
      <c r="AA118" s="316">
        <v>1</v>
      </c>
      <c r="AB118" s="316">
        <v>1</v>
      </c>
      <c r="AC118" s="316">
        <v>1</v>
      </c>
      <c r="AD118" s="316">
        <v>1</v>
      </c>
      <c r="AE118" s="316">
        <v>1</v>
      </c>
      <c r="AF118" s="316">
        <v>1</v>
      </c>
      <c r="AG118" s="316">
        <v>1</v>
      </c>
      <c r="AH118" s="316">
        <v>1</v>
      </c>
      <c r="AI118" s="316">
        <v>1</v>
      </c>
      <c r="AJ118" s="316">
        <v>1</v>
      </c>
      <c r="AK118" s="316">
        <v>1</v>
      </c>
      <c r="AL118" s="316">
        <v>1</v>
      </c>
      <c r="AM118" s="316">
        <v>1</v>
      </c>
      <c r="AN118" s="316">
        <v>1</v>
      </c>
      <c r="AO118" s="316">
        <v>1</v>
      </c>
      <c r="AP118" s="316">
        <v>1</v>
      </c>
      <c r="AQ118" s="316">
        <v>1</v>
      </c>
      <c r="AR118" s="316">
        <v>1</v>
      </c>
      <c r="AS118" s="316">
        <v>1</v>
      </c>
      <c r="AT118" s="316">
        <v>1</v>
      </c>
    </row>
    <row r="119" spans="2:46" ht="12.75" hidden="1" customHeight="1" x14ac:dyDescent="0.15">
      <c r="B119" s="312">
        <v>5053</v>
      </c>
      <c r="C119" s="313" t="s">
        <v>122</v>
      </c>
      <c r="D119" s="313" t="s">
        <v>101</v>
      </c>
      <c r="E119" s="313" t="s">
        <v>1805</v>
      </c>
      <c r="F119" s="313" t="s">
        <v>1285</v>
      </c>
      <c r="G119" s="315" t="e">
        <f>_xlfn.XLOOKUP(B119,'WFP Details - 2026'!A:A,'WFP Details - 2026'!Z:Z)</f>
        <v>#N/A</v>
      </c>
      <c r="H119" s="314">
        <v>46461</v>
      </c>
      <c r="I119" s="315">
        <v>3</v>
      </c>
      <c r="J119" s="315">
        <v>2027</v>
      </c>
      <c r="K119" s="316">
        <v>0</v>
      </c>
      <c r="L119" s="316">
        <v>0</v>
      </c>
      <c r="M119" s="316">
        <v>0</v>
      </c>
      <c r="N119" s="316">
        <v>0</v>
      </c>
      <c r="O119" s="316">
        <v>0</v>
      </c>
      <c r="P119" s="316">
        <v>0</v>
      </c>
      <c r="Q119" s="316">
        <v>0</v>
      </c>
      <c r="R119" s="316">
        <v>0</v>
      </c>
      <c r="S119" s="316">
        <v>0</v>
      </c>
      <c r="T119" s="316">
        <v>0</v>
      </c>
      <c r="U119" s="316">
        <v>0</v>
      </c>
      <c r="V119" s="316">
        <v>0</v>
      </c>
      <c r="W119" s="316">
        <v>0</v>
      </c>
      <c r="X119" s="316">
        <v>0</v>
      </c>
      <c r="Y119" s="316">
        <v>1</v>
      </c>
      <c r="Z119" s="316">
        <v>1</v>
      </c>
      <c r="AA119" s="316">
        <v>1</v>
      </c>
      <c r="AB119" s="316">
        <v>1</v>
      </c>
      <c r="AC119" s="316">
        <v>1</v>
      </c>
      <c r="AD119" s="316">
        <v>1</v>
      </c>
      <c r="AE119" s="316">
        <v>1</v>
      </c>
      <c r="AF119" s="316">
        <v>1</v>
      </c>
      <c r="AG119" s="316">
        <v>1</v>
      </c>
      <c r="AH119" s="316">
        <v>1</v>
      </c>
      <c r="AI119" s="316">
        <v>1</v>
      </c>
      <c r="AJ119" s="316">
        <v>1</v>
      </c>
      <c r="AK119" s="316">
        <v>1</v>
      </c>
      <c r="AL119" s="316">
        <v>1</v>
      </c>
      <c r="AM119" s="316">
        <v>1</v>
      </c>
      <c r="AN119" s="316">
        <v>1</v>
      </c>
      <c r="AO119" s="316">
        <v>1</v>
      </c>
      <c r="AP119" s="316">
        <v>1</v>
      </c>
      <c r="AQ119" s="316">
        <v>1</v>
      </c>
      <c r="AR119" s="316">
        <v>1</v>
      </c>
      <c r="AS119" s="316">
        <v>1</v>
      </c>
      <c r="AT119" s="316">
        <v>1</v>
      </c>
    </row>
    <row r="120" spans="2:46" ht="12.75" hidden="1" customHeight="1" x14ac:dyDescent="0.15">
      <c r="B120" s="315">
        <v>5054</v>
      </c>
      <c r="C120" s="313" t="s">
        <v>122</v>
      </c>
      <c r="D120" s="313" t="s">
        <v>101</v>
      </c>
      <c r="E120" s="313" t="s">
        <v>1795</v>
      </c>
      <c r="F120" s="319" t="s">
        <v>194</v>
      </c>
      <c r="G120" s="315" t="e">
        <f>_xlfn.XLOOKUP(B120,'WFP Details - 2026'!A:A,'WFP Details - 2026'!Z:Z)</f>
        <v>#N/A</v>
      </c>
      <c r="H120" s="314">
        <v>46461</v>
      </c>
      <c r="I120" s="315">
        <v>3</v>
      </c>
      <c r="J120" s="315">
        <v>2027</v>
      </c>
      <c r="K120" s="316">
        <v>0</v>
      </c>
      <c r="L120" s="316">
        <v>0</v>
      </c>
      <c r="M120" s="316">
        <v>0</v>
      </c>
      <c r="N120" s="316">
        <v>0</v>
      </c>
      <c r="O120" s="316">
        <v>0</v>
      </c>
      <c r="P120" s="316">
        <v>0</v>
      </c>
      <c r="Q120" s="316">
        <v>0</v>
      </c>
      <c r="R120" s="316">
        <v>0</v>
      </c>
      <c r="S120" s="316">
        <v>0</v>
      </c>
      <c r="T120" s="316">
        <v>0</v>
      </c>
      <c r="U120" s="316">
        <v>0</v>
      </c>
      <c r="V120" s="316">
        <v>0</v>
      </c>
      <c r="W120" s="316">
        <v>0</v>
      </c>
      <c r="X120" s="316">
        <v>0</v>
      </c>
      <c r="Y120" s="316">
        <v>1</v>
      </c>
      <c r="Z120" s="316">
        <v>1</v>
      </c>
      <c r="AA120" s="316">
        <v>1</v>
      </c>
      <c r="AB120" s="316">
        <v>1</v>
      </c>
      <c r="AC120" s="316">
        <v>1</v>
      </c>
      <c r="AD120" s="316">
        <v>1</v>
      </c>
      <c r="AE120" s="316">
        <v>1</v>
      </c>
      <c r="AF120" s="316">
        <v>1</v>
      </c>
      <c r="AG120" s="316">
        <v>1</v>
      </c>
      <c r="AH120" s="316">
        <v>1</v>
      </c>
      <c r="AI120" s="316">
        <v>1</v>
      </c>
      <c r="AJ120" s="316">
        <v>1</v>
      </c>
      <c r="AK120" s="316">
        <v>1</v>
      </c>
      <c r="AL120" s="316">
        <v>1</v>
      </c>
      <c r="AM120" s="316">
        <v>1</v>
      </c>
      <c r="AN120" s="316">
        <v>1</v>
      </c>
      <c r="AO120" s="316">
        <v>1</v>
      </c>
      <c r="AP120" s="316">
        <v>1</v>
      </c>
      <c r="AQ120" s="316">
        <v>1</v>
      </c>
      <c r="AR120" s="316">
        <v>1</v>
      </c>
      <c r="AS120" s="316">
        <v>1</v>
      </c>
      <c r="AT120" s="316">
        <v>1</v>
      </c>
    </row>
    <row r="121" spans="2:46" ht="12.75" hidden="1" customHeight="1" x14ac:dyDescent="0.15">
      <c r="B121" s="315">
        <v>5055</v>
      </c>
      <c r="C121" s="313" t="s">
        <v>122</v>
      </c>
      <c r="D121" s="313" t="s">
        <v>101</v>
      </c>
      <c r="E121" s="313" t="s">
        <v>1795</v>
      </c>
      <c r="F121" s="319" t="s">
        <v>194</v>
      </c>
      <c r="G121" s="315" t="e">
        <f>_xlfn.XLOOKUP(B121,'WFP Details - 2026'!A:A,'WFP Details - 2026'!Z:Z)</f>
        <v>#N/A</v>
      </c>
      <c r="H121" s="314">
        <v>46461</v>
      </c>
      <c r="I121" s="315">
        <v>3</v>
      </c>
      <c r="J121" s="315">
        <v>2027</v>
      </c>
      <c r="K121" s="316">
        <v>0</v>
      </c>
      <c r="L121" s="316">
        <v>0</v>
      </c>
      <c r="M121" s="316">
        <v>0</v>
      </c>
      <c r="N121" s="316">
        <v>0</v>
      </c>
      <c r="O121" s="316">
        <v>0</v>
      </c>
      <c r="P121" s="316">
        <v>0</v>
      </c>
      <c r="Q121" s="316">
        <v>0</v>
      </c>
      <c r="R121" s="316">
        <v>0</v>
      </c>
      <c r="S121" s="316">
        <v>0</v>
      </c>
      <c r="T121" s="316">
        <v>0</v>
      </c>
      <c r="U121" s="316">
        <v>0</v>
      </c>
      <c r="V121" s="316">
        <v>0</v>
      </c>
      <c r="W121" s="316">
        <v>0</v>
      </c>
      <c r="X121" s="316">
        <v>0</v>
      </c>
      <c r="Y121" s="316">
        <v>1</v>
      </c>
      <c r="Z121" s="316">
        <v>1</v>
      </c>
      <c r="AA121" s="316">
        <v>1</v>
      </c>
      <c r="AB121" s="316">
        <v>1</v>
      </c>
      <c r="AC121" s="316">
        <v>1</v>
      </c>
      <c r="AD121" s="316">
        <v>1</v>
      </c>
      <c r="AE121" s="316">
        <v>1</v>
      </c>
      <c r="AF121" s="316">
        <v>1</v>
      </c>
      <c r="AG121" s="316">
        <v>1</v>
      </c>
      <c r="AH121" s="316">
        <v>1</v>
      </c>
      <c r="AI121" s="316">
        <v>1</v>
      </c>
      <c r="AJ121" s="316">
        <v>1</v>
      </c>
      <c r="AK121" s="316">
        <v>1</v>
      </c>
      <c r="AL121" s="316">
        <v>1</v>
      </c>
      <c r="AM121" s="316">
        <v>1</v>
      </c>
      <c r="AN121" s="316">
        <v>1</v>
      </c>
      <c r="AO121" s="316">
        <v>1</v>
      </c>
      <c r="AP121" s="316">
        <v>1</v>
      </c>
      <c r="AQ121" s="316">
        <v>1</v>
      </c>
      <c r="AR121" s="316">
        <v>1</v>
      </c>
      <c r="AS121" s="316">
        <v>1</v>
      </c>
      <c r="AT121" s="316">
        <v>1</v>
      </c>
    </row>
    <row r="122" spans="2:46" ht="12.75" hidden="1" customHeight="1" x14ac:dyDescent="0.15">
      <c r="B122" s="315">
        <v>5058</v>
      </c>
      <c r="C122" s="313" t="s">
        <v>122</v>
      </c>
      <c r="D122" s="313" t="s">
        <v>101</v>
      </c>
      <c r="E122" s="313" t="s">
        <v>1794</v>
      </c>
      <c r="F122" s="319" t="s">
        <v>198</v>
      </c>
      <c r="G122" s="315" t="e">
        <f>_xlfn.XLOOKUP(B122,'WFP Details - 2026'!A:A,'WFP Details - 2026'!Z:Z)</f>
        <v>#N/A</v>
      </c>
      <c r="H122" s="314">
        <v>46461</v>
      </c>
      <c r="I122" s="315">
        <v>3</v>
      </c>
      <c r="J122" s="315">
        <v>2027</v>
      </c>
      <c r="K122" s="316">
        <v>0</v>
      </c>
      <c r="L122" s="316">
        <v>0</v>
      </c>
      <c r="M122" s="316">
        <v>0</v>
      </c>
      <c r="N122" s="316">
        <v>0</v>
      </c>
      <c r="O122" s="316">
        <v>0</v>
      </c>
      <c r="P122" s="316">
        <v>0</v>
      </c>
      <c r="Q122" s="316">
        <v>0</v>
      </c>
      <c r="R122" s="316">
        <v>0</v>
      </c>
      <c r="S122" s="316">
        <v>0</v>
      </c>
      <c r="T122" s="316">
        <v>0</v>
      </c>
      <c r="U122" s="316">
        <v>0</v>
      </c>
      <c r="V122" s="316">
        <v>0</v>
      </c>
      <c r="W122" s="316">
        <v>0</v>
      </c>
      <c r="X122" s="316">
        <v>0</v>
      </c>
      <c r="Y122" s="316">
        <v>1</v>
      </c>
      <c r="Z122" s="316">
        <v>1</v>
      </c>
      <c r="AA122" s="316">
        <v>1</v>
      </c>
      <c r="AB122" s="316">
        <v>1</v>
      </c>
      <c r="AC122" s="316">
        <v>1</v>
      </c>
      <c r="AD122" s="316">
        <v>1</v>
      </c>
      <c r="AE122" s="316">
        <v>1</v>
      </c>
      <c r="AF122" s="316">
        <v>1</v>
      </c>
      <c r="AG122" s="316">
        <v>1</v>
      </c>
      <c r="AH122" s="316">
        <v>1</v>
      </c>
      <c r="AI122" s="316">
        <v>1</v>
      </c>
      <c r="AJ122" s="316">
        <v>1</v>
      </c>
      <c r="AK122" s="316">
        <v>1</v>
      </c>
      <c r="AL122" s="316">
        <v>1</v>
      </c>
      <c r="AM122" s="316">
        <v>1</v>
      </c>
      <c r="AN122" s="316">
        <v>1</v>
      </c>
      <c r="AO122" s="316">
        <v>1</v>
      </c>
      <c r="AP122" s="316">
        <v>1</v>
      </c>
      <c r="AQ122" s="316">
        <v>1</v>
      </c>
      <c r="AR122" s="316">
        <v>1</v>
      </c>
      <c r="AS122" s="316">
        <v>1</v>
      </c>
      <c r="AT122" s="316">
        <v>1</v>
      </c>
    </row>
    <row r="123" spans="2:46" ht="12.75" hidden="1" customHeight="1" x14ac:dyDescent="0.15">
      <c r="B123" s="315">
        <v>5059</v>
      </c>
      <c r="C123" s="313" t="s">
        <v>122</v>
      </c>
      <c r="D123" s="313" t="s">
        <v>101</v>
      </c>
      <c r="E123" s="313" t="s">
        <v>1801</v>
      </c>
      <c r="F123" s="319" t="s">
        <v>252</v>
      </c>
      <c r="G123" s="315" t="e">
        <f>_xlfn.XLOOKUP(B123,'WFP Details - 2026'!A:A,'WFP Details - 2026'!Z:Z)</f>
        <v>#N/A</v>
      </c>
      <c r="H123" s="314">
        <v>46461</v>
      </c>
      <c r="I123" s="315">
        <v>3</v>
      </c>
      <c r="J123" s="315">
        <v>2027</v>
      </c>
      <c r="K123" s="316">
        <v>0</v>
      </c>
      <c r="L123" s="316">
        <v>0</v>
      </c>
      <c r="M123" s="316">
        <v>0</v>
      </c>
      <c r="N123" s="316">
        <v>0</v>
      </c>
      <c r="O123" s="316">
        <v>0</v>
      </c>
      <c r="P123" s="316">
        <v>0</v>
      </c>
      <c r="Q123" s="316">
        <v>0</v>
      </c>
      <c r="R123" s="316">
        <v>0</v>
      </c>
      <c r="S123" s="316">
        <v>0</v>
      </c>
      <c r="T123" s="316">
        <v>0</v>
      </c>
      <c r="U123" s="316">
        <v>0</v>
      </c>
      <c r="V123" s="316">
        <v>0</v>
      </c>
      <c r="W123" s="316">
        <v>0</v>
      </c>
      <c r="X123" s="316">
        <v>0</v>
      </c>
      <c r="Y123" s="316">
        <v>1</v>
      </c>
      <c r="Z123" s="316">
        <v>1</v>
      </c>
      <c r="AA123" s="316">
        <v>1</v>
      </c>
      <c r="AB123" s="316">
        <v>1</v>
      </c>
      <c r="AC123" s="316">
        <v>1</v>
      </c>
      <c r="AD123" s="316">
        <v>1</v>
      </c>
      <c r="AE123" s="316">
        <v>1</v>
      </c>
      <c r="AF123" s="316">
        <v>1</v>
      </c>
      <c r="AG123" s="316">
        <v>1</v>
      </c>
      <c r="AH123" s="316">
        <v>1</v>
      </c>
      <c r="AI123" s="316">
        <v>1</v>
      </c>
      <c r="AJ123" s="316">
        <v>1</v>
      </c>
      <c r="AK123" s="316">
        <v>1</v>
      </c>
      <c r="AL123" s="316">
        <v>1</v>
      </c>
      <c r="AM123" s="316">
        <v>1</v>
      </c>
      <c r="AN123" s="316">
        <v>1</v>
      </c>
      <c r="AO123" s="316">
        <v>1</v>
      </c>
      <c r="AP123" s="316">
        <v>1</v>
      </c>
      <c r="AQ123" s="316">
        <v>1</v>
      </c>
      <c r="AR123" s="316">
        <v>1</v>
      </c>
      <c r="AS123" s="316">
        <v>1</v>
      </c>
      <c r="AT123" s="316">
        <v>1</v>
      </c>
    </row>
    <row r="124" spans="2:46" ht="12.75" hidden="1" customHeight="1" x14ac:dyDescent="0.15">
      <c r="B124" s="315">
        <v>5060</v>
      </c>
      <c r="C124" s="313" t="s">
        <v>122</v>
      </c>
      <c r="D124" s="313" t="s">
        <v>101</v>
      </c>
      <c r="E124" s="313" t="s">
        <v>1795</v>
      </c>
      <c r="F124" s="319" t="s">
        <v>194</v>
      </c>
      <c r="G124" s="315" t="e">
        <f>_xlfn.XLOOKUP(B124,'WFP Details - 2026'!A:A,'WFP Details - 2026'!Z:Z)</f>
        <v>#N/A</v>
      </c>
      <c r="H124" s="314">
        <v>46461</v>
      </c>
      <c r="I124" s="315">
        <v>3</v>
      </c>
      <c r="J124" s="315">
        <v>2027</v>
      </c>
      <c r="K124" s="316">
        <v>0</v>
      </c>
      <c r="L124" s="316">
        <v>0</v>
      </c>
      <c r="M124" s="316">
        <v>0</v>
      </c>
      <c r="N124" s="316">
        <v>0</v>
      </c>
      <c r="O124" s="316">
        <v>0</v>
      </c>
      <c r="P124" s="316">
        <v>0</v>
      </c>
      <c r="Q124" s="316">
        <v>0</v>
      </c>
      <c r="R124" s="316">
        <v>0</v>
      </c>
      <c r="S124" s="316">
        <v>0</v>
      </c>
      <c r="T124" s="316">
        <v>0</v>
      </c>
      <c r="U124" s="316">
        <v>0</v>
      </c>
      <c r="V124" s="316">
        <v>0</v>
      </c>
      <c r="W124" s="316">
        <v>0</v>
      </c>
      <c r="X124" s="316">
        <v>0</v>
      </c>
      <c r="Y124" s="316">
        <v>1</v>
      </c>
      <c r="Z124" s="316">
        <v>1</v>
      </c>
      <c r="AA124" s="316">
        <v>1</v>
      </c>
      <c r="AB124" s="316">
        <v>1</v>
      </c>
      <c r="AC124" s="316">
        <v>1</v>
      </c>
      <c r="AD124" s="316">
        <v>1</v>
      </c>
      <c r="AE124" s="316">
        <v>1</v>
      </c>
      <c r="AF124" s="316">
        <v>1</v>
      </c>
      <c r="AG124" s="316">
        <v>1</v>
      </c>
      <c r="AH124" s="316">
        <v>1</v>
      </c>
      <c r="AI124" s="316">
        <v>1</v>
      </c>
      <c r="AJ124" s="316">
        <v>1</v>
      </c>
      <c r="AK124" s="316">
        <v>1</v>
      </c>
      <c r="AL124" s="316">
        <v>1</v>
      </c>
      <c r="AM124" s="316">
        <v>1</v>
      </c>
      <c r="AN124" s="316">
        <v>1</v>
      </c>
      <c r="AO124" s="316">
        <v>1</v>
      </c>
      <c r="AP124" s="316">
        <v>1</v>
      </c>
      <c r="AQ124" s="316">
        <v>1</v>
      </c>
      <c r="AR124" s="316">
        <v>1</v>
      </c>
      <c r="AS124" s="316">
        <v>1</v>
      </c>
      <c r="AT124" s="316">
        <v>1</v>
      </c>
    </row>
    <row r="125" spans="2:46" ht="12.75" hidden="1" customHeight="1" x14ac:dyDescent="0.15">
      <c r="B125" s="315">
        <v>5061</v>
      </c>
      <c r="C125" s="313" t="s">
        <v>122</v>
      </c>
      <c r="D125" s="313" t="s">
        <v>101</v>
      </c>
      <c r="E125" s="313" t="s">
        <v>1794</v>
      </c>
      <c r="F125" s="319" t="s">
        <v>198</v>
      </c>
      <c r="G125" s="315" t="e">
        <f>_xlfn.XLOOKUP(B125,'WFP Details - 2026'!A:A,'WFP Details - 2026'!Z:Z)</f>
        <v>#N/A</v>
      </c>
      <c r="H125" s="314">
        <v>46461</v>
      </c>
      <c r="I125" s="315">
        <v>3</v>
      </c>
      <c r="J125" s="315">
        <v>2027</v>
      </c>
      <c r="K125" s="316">
        <v>0</v>
      </c>
      <c r="L125" s="316">
        <v>0</v>
      </c>
      <c r="M125" s="316">
        <v>0</v>
      </c>
      <c r="N125" s="316">
        <v>0</v>
      </c>
      <c r="O125" s="316">
        <v>0</v>
      </c>
      <c r="P125" s="316">
        <v>0</v>
      </c>
      <c r="Q125" s="316">
        <v>0</v>
      </c>
      <c r="R125" s="316">
        <v>0</v>
      </c>
      <c r="S125" s="316">
        <v>0</v>
      </c>
      <c r="T125" s="316">
        <v>0</v>
      </c>
      <c r="U125" s="316">
        <v>0</v>
      </c>
      <c r="V125" s="316">
        <v>0</v>
      </c>
      <c r="W125" s="316">
        <v>0</v>
      </c>
      <c r="X125" s="316">
        <v>0</v>
      </c>
      <c r="Y125" s="316">
        <v>1</v>
      </c>
      <c r="Z125" s="316">
        <v>1</v>
      </c>
      <c r="AA125" s="316">
        <v>1</v>
      </c>
      <c r="AB125" s="316">
        <v>1</v>
      </c>
      <c r="AC125" s="316">
        <v>1</v>
      </c>
      <c r="AD125" s="316">
        <v>1</v>
      </c>
      <c r="AE125" s="316">
        <v>1</v>
      </c>
      <c r="AF125" s="316">
        <v>1</v>
      </c>
      <c r="AG125" s="316">
        <v>1</v>
      </c>
      <c r="AH125" s="316">
        <v>1</v>
      </c>
      <c r="AI125" s="316">
        <v>1</v>
      </c>
      <c r="AJ125" s="316">
        <v>1</v>
      </c>
      <c r="AK125" s="316">
        <v>1</v>
      </c>
      <c r="AL125" s="316">
        <v>1</v>
      </c>
      <c r="AM125" s="316">
        <v>1</v>
      </c>
      <c r="AN125" s="316">
        <v>1</v>
      </c>
      <c r="AO125" s="316">
        <v>1</v>
      </c>
      <c r="AP125" s="316">
        <v>1</v>
      </c>
      <c r="AQ125" s="316">
        <v>1</v>
      </c>
      <c r="AR125" s="316">
        <v>1</v>
      </c>
      <c r="AS125" s="316">
        <v>1</v>
      </c>
      <c r="AT125" s="316">
        <v>1</v>
      </c>
    </row>
    <row r="126" spans="2:46" ht="12.75" hidden="1" customHeight="1" x14ac:dyDescent="0.15">
      <c r="B126" s="318">
        <v>5065</v>
      </c>
      <c r="C126" s="313" t="s">
        <v>122</v>
      </c>
      <c r="D126" s="313" t="s">
        <v>101</v>
      </c>
      <c r="E126" s="313" t="s">
        <v>1817</v>
      </c>
      <c r="F126" s="313" t="s">
        <v>1293</v>
      </c>
      <c r="G126" s="315" t="e">
        <f>_xlfn.XLOOKUP(B126,'WFP Details - 2026'!A:A,'WFP Details - 2026'!Z:Z)</f>
        <v>#N/A</v>
      </c>
      <c r="H126" s="314">
        <v>46461</v>
      </c>
      <c r="I126" s="315">
        <v>3</v>
      </c>
      <c r="J126" s="315">
        <v>2027</v>
      </c>
      <c r="K126" s="316">
        <v>0</v>
      </c>
      <c r="L126" s="316">
        <v>0</v>
      </c>
      <c r="M126" s="316">
        <v>0</v>
      </c>
      <c r="N126" s="316">
        <v>0</v>
      </c>
      <c r="O126" s="316">
        <v>0</v>
      </c>
      <c r="P126" s="316">
        <v>0</v>
      </c>
      <c r="Q126" s="316">
        <v>0</v>
      </c>
      <c r="R126" s="316">
        <v>0</v>
      </c>
      <c r="S126" s="316">
        <v>0</v>
      </c>
      <c r="T126" s="316">
        <v>0</v>
      </c>
      <c r="U126" s="316">
        <v>0</v>
      </c>
      <c r="V126" s="316">
        <v>0</v>
      </c>
      <c r="W126" s="316">
        <v>0</v>
      </c>
      <c r="X126" s="316">
        <v>0</v>
      </c>
      <c r="Y126" s="316">
        <v>1</v>
      </c>
      <c r="Z126" s="316">
        <v>1</v>
      </c>
      <c r="AA126" s="316">
        <v>1</v>
      </c>
      <c r="AB126" s="316">
        <v>1</v>
      </c>
      <c r="AC126" s="316">
        <v>1</v>
      </c>
      <c r="AD126" s="316">
        <v>1</v>
      </c>
      <c r="AE126" s="316">
        <v>1</v>
      </c>
      <c r="AF126" s="316">
        <v>1</v>
      </c>
      <c r="AG126" s="316">
        <v>1</v>
      </c>
      <c r="AH126" s="316">
        <v>1</v>
      </c>
      <c r="AI126" s="316">
        <v>1</v>
      </c>
      <c r="AJ126" s="316">
        <v>1</v>
      </c>
      <c r="AK126" s="316">
        <v>1</v>
      </c>
      <c r="AL126" s="316">
        <v>1</v>
      </c>
      <c r="AM126" s="316">
        <v>1</v>
      </c>
      <c r="AN126" s="316">
        <v>1</v>
      </c>
      <c r="AO126" s="316">
        <v>1</v>
      </c>
      <c r="AP126" s="316">
        <v>1</v>
      </c>
      <c r="AQ126" s="316">
        <v>1</v>
      </c>
      <c r="AR126" s="316">
        <v>1</v>
      </c>
      <c r="AS126" s="316">
        <v>1</v>
      </c>
      <c r="AT126" s="316">
        <v>1</v>
      </c>
    </row>
    <row r="127" spans="2:46" ht="12.75" hidden="1" customHeight="1" x14ac:dyDescent="0.15">
      <c r="B127" s="318">
        <v>5072</v>
      </c>
      <c r="C127" s="313" t="s">
        <v>122</v>
      </c>
      <c r="D127" s="313" t="s">
        <v>101</v>
      </c>
      <c r="E127" s="313" t="s">
        <v>1805</v>
      </c>
      <c r="F127" s="313" t="s">
        <v>1296</v>
      </c>
      <c r="G127" s="315" t="e">
        <f>_xlfn.XLOOKUP(B127,'WFP Details - 2026'!A:A,'WFP Details - 2026'!Z:Z)</f>
        <v>#N/A</v>
      </c>
      <c r="H127" s="314">
        <v>46461</v>
      </c>
      <c r="I127" s="315">
        <v>3</v>
      </c>
      <c r="J127" s="315">
        <v>2027</v>
      </c>
      <c r="K127" s="316">
        <v>0</v>
      </c>
      <c r="L127" s="316">
        <v>0</v>
      </c>
      <c r="M127" s="316">
        <v>0</v>
      </c>
      <c r="N127" s="316">
        <v>0</v>
      </c>
      <c r="O127" s="316">
        <v>0</v>
      </c>
      <c r="P127" s="316">
        <v>0</v>
      </c>
      <c r="Q127" s="316">
        <v>0</v>
      </c>
      <c r="R127" s="316">
        <v>0</v>
      </c>
      <c r="S127" s="316">
        <v>0</v>
      </c>
      <c r="T127" s="316">
        <v>0</v>
      </c>
      <c r="U127" s="316">
        <v>0</v>
      </c>
      <c r="V127" s="316">
        <v>0</v>
      </c>
      <c r="W127" s="316">
        <v>0</v>
      </c>
      <c r="X127" s="316">
        <v>0</v>
      </c>
      <c r="Y127" s="316">
        <v>1</v>
      </c>
      <c r="Z127" s="316">
        <v>1</v>
      </c>
      <c r="AA127" s="316">
        <v>1</v>
      </c>
      <c r="AB127" s="316">
        <v>1</v>
      </c>
      <c r="AC127" s="316">
        <v>1</v>
      </c>
      <c r="AD127" s="316">
        <v>1</v>
      </c>
      <c r="AE127" s="316">
        <v>1</v>
      </c>
      <c r="AF127" s="316">
        <v>1</v>
      </c>
      <c r="AG127" s="316">
        <v>1</v>
      </c>
      <c r="AH127" s="316">
        <v>1</v>
      </c>
      <c r="AI127" s="316">
        <v>1</v>
      </c>
      <c r="AJ127" s="316">
        <v>1</v>
      </c>
      <c r="AK127" s="316">
        <v>1</v>
      </c>
      <c r="AL127" s="316">
        <v>1</v>
      </c>
      <c r="AM127" s="316">
        <v>1</v>
      </c>
      <c r="AN127" s="316">
        <v>1</v>
      </c>
      <c r="AO127" s="316">
        <v>1</v>
      </c>
      <c r="AP127" s="316">
        <v>1</v>
      </c>
      <c r="AQ127" s="316">
        <v>1</v>
      </c>
      <c r="AR127" s="316">
        <v>1</v>
      </c>
      <c r="AS127" s="316">
        <v>1</v>
      </c>
      <c r="AT127" s="316">
        <v>1</v>
      </c>
    </row>
    <row r="128" spans="2:46" ht="12.75" hidden="1" customHeight="1" x14ac:dyDescent="0.15">
      <c r="B128" s="318">
        <v>5076</v>
      </c>
      <c r="C128" s="313" t="s">
        <v>122</v>
      </c>
      <c r="D128" s="313" t="s">
        <v>101</v>
      </c>
      <c r="E128" s="313" t="s">
        <v>1794</v>
      </c>
      <c r="F128" s="313" t="s">
        <v>198</v>
      </c>
      <c r="G128" s="315" t="e">
        <f>_xlfn.XLOOKUP(B128,'WFP Details - 2026'!A:A,'WFP Details - 2026'!Z:Z)</f>
        <v>#N/A</v>
      </c>
      <c r="H128" s="314">
        <v>46461</v>
      </c>
      <c r="I128" s="315">
        <v>3</v>
      </c>
      <c r="J128" s="315">
        <v>2027</v>
      </c>
      <c r="K128" s="316">
        <v>0</v>
      </c>
      <c r="L128" s="316">
        <v>0</v>
      </c>
      <c r="M128" s="316">
        <v>0</v>
      </c>
      <c r="N128" s="316">
        <v>0</v>
      </c>
      <c r="O128" s="316">
        <v>0</v>
      </c>
      <c r="P128" s="316">
        <v>0</v>
      </c>
      <c r="Q128" s="316">
        <v>0</v>
      </c>
      <c r="R128" s="316">
        <v>0</v>
      </c>
      <c r="S128" s="316">
        <v>0</v>
      </c>
      <c r="T128" s="316">
        <v>0</v>
      </c>
      <c r="U128" s="316">
        <v>0</v>
      </c>
      <c r="V128" s="316">
        <v>0</v>
      </c>
      <c r="W128" s="316">
        <v>0</v>
      </c>
      <c r="X128" s="316">
        <v>0</v>
      </c>
      <c r="Y128" s="316">
        <v>1</v>
      </c>
      <c r="Z128" s="316">
        <v>1</v>
      </c>
      <c r="AA128" s="316">
        <v>1</v>
      </c>
      <c r="AB128" s="316">
        <v>1</v>
      </c>
      <c r="AC128" s="316">
        <v>1</v>
      </c>
      <c r="AD128" s="316">
        <v>1</v>
      </c>
      <c r="AE128" s="316">
        <v>1</v>
      </c>
      <c r="AF128" s="316">
        <v>1</v>
      </c>
      <c r="AG128" s="316">
        <v>1</v>
      </c>
      <c r="AH128" s="316">
        <v>1</v>
      </c>
      <c r="AI128" s="316">
        <v>1</v>
      </c>
      <c r="AJ128" s="316">
        <v>1</v>
      </c>
      <c r="AK128" s="316">
        <v>1</v>
      </c>
      <c r="AL128" s="316">
        <v>1</v>
      </c>
      <c r="AM128" s="316">
        <v>1</v>
      </c>
      <c r="AN128" s="316">
        <v>1</v>
      </c>
      <c r="AO128" s="316">
        <v>1</v>
      </c>
      <c r="AP128" s="316">
        <v>1</v>
      </c>
      <c r="AQ128" s="316">
        <v>1</v>
      </c>
      <c r="AR128" s="316">
        <v>1</v>
      </c>
      <c r="AS128" s="316">
        <v>1</v>
      </c>
      <c r="AT128" s="316">
        <v>1</v>
      </c>
    </row>
    <row r="129" spans="2:46" ht="12.75" hidden="1" customHeight="1" x14ac:dyDescent="0.15">
      <c r="B129" s="317">
        <v>5081</v>
      </c>
      <c r="C129" s="313" t="s">
        <v>122</v>
      </c>
      <c r="D129" s="313" t="s">
        <v>101</v>
      </c>
      <c r="E129" s="313" t="s">
        <v>1793</v>
      </c>
      <c r="F129" s="313" t="s">
        <v>250</v>
      </c>
      <c r="G129" s="315" t="e">
        <f>_xlfn.XLOOKUP(B129,'WFP Details - 2026'!A:A,'WFP Details - 2026'!Z:Z)</f>
        <v>#N/A</v>
      </c>
      <c r="H129" s="314">
        <v>46461</v>
      </c>
      <c r="I129" s="315">
        <v>3</v>
      </c>
      <c r="J129" s="315">
        <v>2027</v>
      </c>
      <c r="K129" s="316">
        <v>0</v>
      </c>
      <c r="L129" s="316">
        <v>0</v>
      </c>
      <c r="M129" s="316">
        <v>0</v>
      </c>
      <c r="N129" s="316">
        <v>0</v>
      </c>
      <c r="O129" s="316">
        <v>0</v>
      </c>
      <c r="P129" s="316">
        <v>0</v>
      </c>
      <c r="Q129" s="316">
        <v>0</v>
      </c>
      <c r="R129" s="316">
        <v>0</v>
      </c>
      <c r="S129" s="316">
        <v>0</v>
      </c>
      <c r="T129" s="316">
        <v>0</v>
      </c>
      <c r="U129" s="316">
        <v>0</v>
      </c>
      <c r="V129" s="316">
        <v>0</v>
      </c>
      <c r="W129" s="316">
        <v>0</v>
      </c>
      <c r="X129" s="316">
        <v>0</v>
      </c>
      <c r="Y129" s="316">
        <v>1</v>
      </c>
      <c r="Z129" s="316">
        <v>1</v>
      </c>
      <c r="AA129" s="316">
        <v>1</v>
      </c>
      <c r="AB129" s="316">
        <v>1</v>
      </c>
      <c r="AC129" s="316">
        <v>1</v>
      </c>
      <c r="AD129" s="316">
        <v>1</v>
      </c>
      <c r="AE129" s="316">
        <v>1</v>
      </c>
      <c r="AF129" s="316">
        <v>1</v>
      </c>
      <c r="AG129" s="316">
        <v>1</v>
      </c>
      <c r="AH129" s="316">
        <v>1</v>
      </c>
      <c r="AI129" s="316">
        <v>1</v>
      </c>
      <c r="AJ129" s="316">
        <v>1</v>
      </c>
      <c r="AK129" s="316">
        <v>1</v>
      </c>
      <c r="AL129" s="316">
        <v>1</v>
      </c>
      <c r="AM129" s="316">
        <v>1</v>
      </c>
      <c r="AN129" s="316">
        <v>1</v>
      </c>
      <c r="AO129" s="316">
        <v>1</v>
      </c>
      <c r="AP129" s="316">
        <v>1</v>
      </c>
      <c r="AQ129" s="316">
        <v>1</v>
      </c>
      <c r="AR129" s="316">
        <v>1</v>
      </c>
      <c r="AS129" s="316">
        <v>1</v>
      </c>
      <c r="AT129" s="316">
        <v>1</v>
      </c>
    </row>
    <row r="130" spans="2:46" ht="12.75" hidden="1" customHeight="1" x14ac:dyDescent="0.15">
      <c r="B130" s="312">
        <v>5082</v>
      </c>
      <c r="C130" s="313" t="s">
        <v>122</v>
      </c>
      <c r="D130" s="313" t="s">
        <v>101</v>
      </c>
      <c r="E130" s="313" t="s">
        <v>1801</v>
      </c>
      <c r="F130" s="313" t="s">
        <v>253</v>
      </c>
      <c r="G130" s="315" t="e">
        <f>_xlfn.XLOOKUP(B130,'WFP Details - 2026'!A:A,'WFP Details - 2026'!Z:Z)</f>
        <v>#N/A</v>
      </c>
      <c r="H130" s="314">
        <v>46461</v>
      </c>
      <c r="I130" s="315">
        <v>3</v>
      </c>
      <c r="J130" s="315">
        <v>2027</v>
      </c>
      <c r="K130" s="316">
        <v>0</v>
      </c>
      <c r="L130" s="316">
        <v>0</v>
      </c>
      <c r="M130" s="316">
        <v>0</v>
      </c>
      <c r="N130" s="316">
        <v>0</v>
      </c>
      <c r="O130" s="316">
        <v>0</v>
      </c>
      <c r="P130" s="316">
        <v>0</v>
      </c>
      <c r="Q130" s="316">
        <v>0</v>
      </c>
      <c r="R130" s="316">
        <v>0</v>
      </c>
      <c r="S130" s="316">
        <v>0</v>
      </c>
      <c r="T130" s="316">
        <v>0</v>
      </c>
      <c r="U130" s="316">
        <v>0</v>
      </c>
      <c r="V130" s="316">
        <v>0</v>
      </c>
      <c r="W130" s="316">
        <v>0</v>
      </c>
      <c r="X130" s="316">
        <v>0</v>
      </c>
      <c r="Y130" s="316">
        <v>1</v>
      </c>
      <c r="Z130" s="316">
        <v>1</v>
      </c>
      <c r="AA130" s="316">
        <v>1</v>
      </c>
      <c r="AB130" s="316">
        <v>1</v>
      </c>
      <c r="AC130" s="316">
        <v>1</v>
      </c>
      <c r="AD130" s="316">
        <v>1</v>
      </c>
      <c r="AE130" s="316">
        <v>1</v>
      </c>
      <c r="AF130" s="316">
        <v>1</v>
      </c>
      <c r="AG130" s="316">
        <v>1</v>
      </c>
      <c r="AH130" s="316">
        <v>1</v>
      </c>
      <c r="AI130" s="316">
        <v>1</v>
      </c>
      <c r="AJ130" s="316">
        <v>1</v>
      </c>
      <c r="AK130" s="316">
        <v>1</v>
      </c>
      <c r="AL130" s="316">
        <v>1</v>
      </c>
      <c r="AM130" s="316">
        <v>1</v>
      </c>
      <c r="AN130" s="316">
        <v>1</v>
      </c>
      <c r="AO130" s="316">
        <v>1</v>
      </c>
      <c r="AP130" s="316">
        <v>1</v>
      </c>
      <c r="AQ130" s="316">
        <v>1</v>
      </c>
      <c r="AR130" s="316">
        <v>1</v>
      </c>
      <c r="AS130" s="316">
        <v>1</v>
      </c>
      <c r="AT130" s="316">
        <v>1</v>
      </c>
    </row>
    <row r="131" spans="2:46" ht="12.75" hidden="1" customHeight="1" x14ac:dyDescent="0.15">
      <c r="B131" s="317">
        <v>5084</v>
      </c>
      <c r="C131" s="313" t="s">
        <v>122</v>
      </c>
      <c r="D131" s="313" t="s">
        <v>101</v>
      </c>
      <c r="E131" s="313" t="s">
        <v>1817</v>
      </c>
      <c r="F131" s="313" t="s">
        <v>1298</v>
      </c>
      <c r="G131" s="315" t="e">
        <f>_xlfn.XLOOKUP(B131,'WFP Details - 2026'!A:A,'WFP Details - 2026'!Z:Z)</f>
        <v>#N/A</v>
      </c>
      <c r="H131" s="314">
        <v>46461</v>
      </c>
      <c r="I131" s="315">
        <v>3</v>
      </c>
      <c r="J131" s="315">
        <v>2027</v>
      </c>
      <c r="K131" s="316">
        <v>0</v>
      </c>
      <c r="L131" s="316">
        <v>0</v>
      </c>
      <c r="M131" s="316">
        <v>0</v>
      </c>
      <c r="N131" s="316">
        <v>0</v>
      </c>
      <c r="O131" s="316">
        <v>0</v>
      </c>
      <c r="P131" s="316">
        <v>0</v>
      </c>
      <c r="Q131" s="316">
        <v>0</v>
      </c>
      <c r="R131" s="316">
        <v>0</v>
      </c>
      <c r="S131" s="316">
        <v>0</v>
      </c>
      <c r="T131" s="316">
        <v>0</v>
      </c>
      <c r="U131" s="316">
        <v>0</v>
      </c>
      <c r="V131" s="316">
        <v>0</v>
      </c>
      <c r="W131" s="316">
        <v>0</v>
      </c>
      <c r="X131" s="316">
        <v>0</v>
      </c>
      <c r="Y131" s="316">
        <v>1</v>
      </c>
      <c r="Z131" s="316">
        <v>1</v>
      </c>
      <c r="AA131" s="316">
        <v>1</v>
      </c>
      <c r="AB131" s="316">
        <v>1</v>
      </c>
      <c r="AC131" s="316">
        <v>1</v>
      </c>
      <c r="AD131" s="316">
        <v>1</v>
      </c>
      <c r="AE131" s="316">
        <v>1</v>
      </c>
      <c r="AF131" s="316">
        <v>1</v>
      </c>
      <c r="AG131" s="316">
        <v>1</v>
      </c>
      <c r="AH131" s="316">
        <v>1</v>
      </c>
      <c r="AI131" s="316">
        <v>1</v>
      </c>
      <c r="AJ131" s="316">
        <v>1</v>
      </c>
      <c r="AK131" s="316">
        <v>1</v>
      </c>
      <c r="AL131" s="316">
        <v>1</v>
      </c>
      <c r="AM131" s="316">
        <v>1</v>
      </c>
      <c r="AN131" s="316">
        <v>1</v>
      </c>
      <c r="AO131" s="316">
        <v>1</v>
      </c>
      <c r="AP131" s="316">
        <v>1</v>
      </c>
      <c r="AQ131" s="316">
        <v>1</v>
      </c>
      <c r="AR131" s="316">
        <v>1</v>
      </c>
      <c r="AS131" s="316">
        <v>1</v>
      </c>
      <c r="AT131" s="316">
        <v>1</v>
      </c>
    </row>
    <row r="132" spans="2:46" ht="12.75" hidden="1" customHeight="1" x14ac:dyDescent="0.15">
      <c r="B132" s="312">
        <v>5099</v>
      </c>
      <c r="C132" s="313" t="s">
        <v>122</v>
      </c>
      <c r="D132" s="313" t="s">
        <v>101</v>
      </c>
      <c r="E132" s="313" t="s">
        <v>1795</v>
      </c>
      <c r="F132" s="313" t="s">
        <v>194</v>
      </c>
      <c r="G132" s="315" t="e">
        <f>_xlfn.XLOOKUP(B132,'WFP Details - 2026'!A:A,'WFP Details - 2026'!Z:Z)</f>
        <v>#N/A</v>
      </c>
      <c r="H132" s="314">
        <v>46461</v>
      </c>
      <c r="I132" s="315">
        <v>3</v>
      </c>
      <c r="J132" s="315">
        <v>2027</v>
      </c>
      <c r="K132" s="316">
        <v>0</v>
      </c>
      <c r="L132" s="316">
        <v>0</v>
      </c>
      <c r="M132" s="316">
        <v>0</v>
      </c>
      <c r="N132" s="316">
        <v>0</v>
      </c>
      <c r="O132" s="316">
        <v>0</v>
      </c>
      <c r="P132" s="316">
        <v>0</v>
      </c>
      <c r="Q132" s="316">
        <v>0</v>
      </c>
      <c r="R132" s="316">
        <v>0</v>
      </c>
      <c r="S132" s="316">
        <v>0</v>
      </c>
      <c r="T132" s="316">
        <v>0</v>
      </c>
      <c r="U132" s="316">
        <v>0</v>
      </c>
      <c r="V132" s="316">
        <v>0</v>
      </c>
      <c r="W132" s="316">
        <v>0</v>
      </c>
      <c r="X132" s="316">
        <v>0</v>
      </c>
      <c r="Y132" s="316">
        <v>1</v>
      </c>
      <c r="Z132" s="316">
        <v>1</v>
      </c>
      <c r="AA132" s="316">
        <v>1</v>
      </c>
      <c r="AB132" s="316">
        <v>1</v>
      </c>
      <c r="AC132" s="316">
        <v>1</v>
      </c>
      <c r="AD132" s="316">
        <v>1</v>
      </c>
      <c r="AE132" s="316">
        <v>1</v>
      </c>
      <c r="AF132" s="316">
        <v>1</v>
      </c>
      <c r="AG132" s="316">
        <v>1</v>
      </c>
      <c r="AH132" s="316">
        <v>1</v>
      </c>
      <c r="AI132" s="316">
        <v>1</v>
      </c>
      <c r="AJ132" s="316">
        <v>1</v>
      </c>
      <c r="AK132" s="316">
        <v>1</v>
      </c>
      <c r="AL132" s="316">
        <v>1</v>
      </c>
      <c r="AM132" s="316">
        <v>1</v>
      </c>
      <c r="AN132" s="316">
        <v>1</v>
      </c>
      <c r="AO132" s="316">
        <v>1</v>
      </c>
      <c r="AP132" s="316">
        <v>1</v>
      </c>
      <c r="AQ132" s="316">
        <v>1</v>
      </c>
      <c r="AR132" s="316">
        <v>1</v>
      </c>
      <c r="AS132" s="316">
        <v>1</v>
      </c>
      <c r="AT132" s="316">
        <v>1</v>
      </c>
    </row>
    <row r="133" spans="2:46" ht="12.75" hidden="1" customHeight="1" x14ac:dyDescent="0.15">
      <c r="B133" s="318">
        <v>5100</v>
      </c>
      <c r="C133" s="313" t="s">
        <v>122</v>
      </c>
      <c r="D133" s="313" t="s">
        <v>101</v>
      </c>
      <c r="E133" s="313" t="s">
        <v>1794</v>
      </c>
      <c r="F133" s="313" t="s">
        <v>198</v>
      </c>
      <c r="G133" s="315" t="e">
        <f>_xlfn.XLOOKUP(B133,'WFP Details - 2026'!A:A,'WFP Details - 2026'!Z:Z)</f>
        <v>#N/A</v>
      </c>
      <c r="H133" s="314">
        <v>46461</v>
      </c>
      <c r="I133" s="315">
        <v>3</v>
      </c>
      <c r="J133" s="315">
        <v>2027</v>
      </c>
      <c r="K133" s="316">
        <v>0</v>
      </c>
      <c r="L133" s="316">
        <v>0</v>
      </c>
      <c r="M133" s="316">
        <v>0</v>
      </c>
      <c r="N133" s="316">
        <v>0</v>
      </c>
      <c r="O133" s="316">
        <v>0</v>
      </c>
      <c r="P133" s="316">
        <v>0</v>
      </c>
      <c r="Q133" s="316">
        <v>0</v>
      </c>
      <c r="R133" s="316">
        <v>0</v>
      </c>
      <c r="S133" s="316">
        <v>0</v>
      </c>
      <c r="T133" s="316">
        <v>0</v>
      </c>
      <c r="U133" s="316">
        <v>0</v>
      </c>
      <c r="V133" s="316">
        <v>0</v>
      </c>
      <c r="W133" s="316">
        <v>0</v>
      </c>
      <c r="X133" s="316">
        <v>0</v>
      </c>
      <c r="Y133" s="316">
        <v>1</v>
      </c>
      <c r="Z133" s="316">
        <v>1</v>
      </c>
      <c r="AA133" s="316">
        <v>1</v>
      </c>
      <c r="AB133" s="316">
        <v>1</v>
      </c>
      <c r="AC133" s="316">
        <v>1</v>
      </c>
      <c r="AD133" s="316">
        <v>1</v>
      </c>
      <c r="AE133" s="316">
        <v>1</v>
      </c>
      <c r="AF133" s="316">
        <v>1</v>
      </c>
      <c r="AG133" s="316">
        <v>1</v>
      </c>
      <c r="AH133" s="316">
        <v>1</v>
      </c>
      <c r="AI133" s="316">
        <v>1</v>
      </c>
      <c r="AJ133" s="316">
        <v>1</v>
      </c>
      <c r="AK133" s="316">
        <v>1</v>
      </c>
      <c r="AL133" s="316">
        <v>1</v>
      </c>
      <c r="AM133" s="316">
        <v>1</v>
      </c>
      <c r="AN133" s="316">
        <v>1</v>
      </c>
      <c r="AO133" s="316">
        <v>1</v>
      </c>
      <c r="AP133" s="316">
        <v>1</v>
      </c>
      <c r="AQ133" s="316">
        <v>1</v>
      </c>
      <c r="AR133" s="316">
        <v>1</v>
      </c>
      <c r="AS133" s="316">
        <v>1</v>
      </c>
      <c r="AT133" s="316">
        <v>1</v>
      </c>
    </row>
    <row r="134" spans="2:46" ht="12.75" hidden="1" customHeight="1" x14ac:dyDescent="0.15">
      <c r="B134" s="318">
        <v>5101</v>
      </c>
      <c r="C134" s="313" t="s">
        <v>122</v>
      </c>
      <c r="D134" s="313" t="s">
        <v>101</v>
      </c>
      <c r="E134" s="313" t="s">
        <v>1801</v>
      </c>
      <c r="F134" s="313" t="s">
        <v>252</v>
      </c>
      <c r="G134" s="315" t="e">
        <f>_xlfn.XLOOKUP(B134,'WFP Details - 2026'!A:A,'WFP Details - 2026'!Z:Z)</f>
        <v>#N/A</v>
      </c>
      <c r="H134" s="314">
        <v>46461</v>
      </c>
      <c r="I134" s="315">
        <v>3</v>
      </c>
      <c r="J134" s="315">
        <v>2027</v>
      </c>
      <c r="K134" s="316">
        <v>0</v>
      </c>
      <c r="L134" s="316">
        <v>0</v>
      </c>
      <c r="M134" s="316">
        <v>0</v>
      </c>
      <c r="N134" s="316">
        <v>0</v>
      </c>
      <c r="O134" s="316">
        <v>0</v>
      </c>
      <c r="P134" s="316">
        <v>0</v>
      </c>
      <c r="Q134" s="316">
        <v>0</v>
      </c>
      <c r="R134" s="316">
        <v>0</v>
      </c>
      <c r="S134" s="316">
        <v>0</v>
      </c>
      <c r="T134" s="316">
        <v>0</v>
      </c>
      <c r="U134" s="316">
        <v>0</v>
      </c>
      <c r="V134" s="316">
        <v>0</v>
      </c>
      <c r="W134" s="316">
        <v>0</v>
      </c>
      <c r="X134" s="316">
        <v>0</v>
      </c>
      <c r="Y134" s="316">
        <v>1</v>
      </c>
      <c r="Z134" s="316">
        <v>1</v>
      </c>
      <c r="AA134" s="316">
        <v>1</v>
      </c>
      <c r="AB134" s="316">
        <v>1</v>
      </c>
      <c r="AC134" s="316">
        <v>1</v>
      </c>
      <c r="AD134" s="316">
        <v>1</v>
      </c>
      <c r="AE134" s="316">
        <v>1</v>
      </c>
      <c r="AF134" s="316">
        <v>1</v>
      </c>
      <c r="AG134" s="316">
        <v>1</v>
      </c>
      <c r="AH134" s="316">
        <v>1</v>
      </c>
      <c r="AI134" s="316">
        <v>1</v>
      </c>
      <c r="AJ134" s="316">
        <v>1</v>
      </c>
      <c r="AK134" s="316">
        <v>1</v>
      </c>
      <c r="AL134" s="316">
        <v>1</v>
      </c>
      <c r="AM134" s="316">
        <v>1</v>
      </c>
      <c r="AN134" s="316">
        <v>1</v>
      </c>
      <c r="AO134" s="316">
        <v>1</v>
      </c>
      <c r="AP134" s="316">
        <v>1</v>
      </c>
      <c r="AQ134" s="316">
        <v>1</v>
      </c>
      <c r="AR134" s="316">
        <v>1</v>
      </c>
      <c r="AS134" s="316">
        <v>1</v>
      </c>
      <c r="AT134" s="316">
        <v>1</v>
      </c>
    </row>
    <row r="135" spans="2:46" ht="12.75" hidden="1" customHeight="1" x14ac:dyDescent="0.15">
      <c r="B135" s="312">
        <v>5106</v>
      </c>
      <c r="C135" s="313" t="s">
        <v>122</v>
      </c>
      <c r="D135" s="313" t="s">
        <v>101</v>
      </c>
      <c r="E135" s="313" t="s">
        <v>1795</v>
      </c>
      <c r="F135" s="313" t="s">
        <v>194</v>
      </c>
      <c r="G135" s="315" t="e">
        <f>_xlfn.XLOOKUP(B135,'WFP Details - 2026'!A:A,'WFP Details - 2026'!Z:Z)</f>
        <v>#N/A</v>
      </c>
      <c r="H135" s="314">
        <v>46461</v>
      </c>
      <c r="I135" s="315">
        <v>3</v>
      </c>
      <c r="J135" s="315">
        <v>2027</v>
      </c>
      <c r="K135" s="316">
        <v>0</v>
      </c>
      <c r="L135" s="316">
        <v>0</v>
      </c>
      <c r="M135" s="316">
        <v>0</v>
      </c>
      <c r="N135" s="316">
        <v>0</v>
      </c>
      <c r="O135" s="316">
        <v>0</v>
      </c>
      <c r="P135" s="316">
        <v>0</v>
      </c>
      <c r="Q135" s="316">
        <v>0</v>
      </c>
      <c r="R135" s="316">
        <v>0</v>
      </c>
      <c r="S135" s="316">
        <v>0</v>
      </c>
      <c r="T135" s="316">
        <v>0</v>
      </c>
      <c r="U135" s="316">
        <v>0</v>
      </c>
      <c r="V135" s="316">
        <v>0</v>
      </c>
      <c r="W135" s="316">
        <v>0</v>
      </c>
      <c r="X135" s="316">
        <v>0</v>
      </c>
      <c r="Y135" s="316">
        <v>1</v>
      </c>
      <c r="Z135" s="316">
        <v>1</v>
      </c>
      <c r="AA135" s="316">
        <v>1</v>
      </c>
      <c r="AB135" s="316">
        <v>1</v>
      </c>
      <c r="AC135" s="316">
        <v>1</v>
      </c>
      <c r="AD135" s="316">
        <v>1</v>
      </c>
      <c r="AE135" s="316">
        <v>1</v>
      </c>
      <c r="AF135" s="316">
        <v>1</v>
      </c>
      <c r="AG135" s="316">
        <v>1</v>
      </c>
      <c r="AH135" s="316">
        <v>1</v>
      </c>
      <c r="AI135" s="316">
        <v>1</v>
      </c>
      <c r="AJ135" s="316">
        <v>1</v>
      </c>
      <c r="AK135" s="316">
        <v>1</v>
      </c>
      <c r="AL135" s="316">
        <v>1</v>
      </c>
      <c r="AM135" s="316">
        <v>1</v>
      </c>
      <c r="AN135" s="316">
        <v>1</v>
      </c>
      <c r="AO135" s="316">
        <v>1</v>
      </c>
      <c r="AP135" s="316">
        <v>1</v>
      </c>
      <c r="AQ135" s="316">
        <v>1</v>
      </c>
      <c r="AR135" s="316">
        <v>1</v>
      </c>
      <c r="AS135" s="316">
        <v>1</v>
      </c>
      <c r="AT135" s="316">
        <v>1</v>
      </c>
    </row>
    <row r="136" spans="2:46" ht="12.75" hidden="1" customHeight="1" x14ac:dyDescent="0.15">
      <c r="B136" s="315">
        <v>5057</v>
      </c>
      <c r="C136" s="313" t="s">
        <v>122</v>
      </c>
      <c r="D136" s="313" t="s">
        <v>101</v>
      </c>
      <c r="E136" s="313" t="s">
        <v>1793</v>
      </c>
      <c r="F136" s="319" t="s">
        <v>194</v>
      </c>
      <c r="G136" s="315" t="e">
        <f>_xlfn.XLOOKUP(B136,'WFP Details - 2026'!A:A,'WFP Details - 2026'!Z:Z)</f>
        <v>#N/A</v>
      </c>
      <c r="H136" s="314">
        <v>46553</v>
      </c>
      <c r="I136" s="315">
        <v>6</v>
      </c>
      <c r="J136" s="315">
        <v>2027</v>
      </c>
      <c r="K136" s="316">
        <v>0</v>
      </c>
      <c r="L136" s="316">
        <v>0</v>
      </c>
      <c r="M136" s="316">
        <v>0</v>
      </c>
      <c r="N136" s="316">
        <v>0</v>
      </c>
      <c r="O136" s="316">
        <v>0</v>
      </c>
      <c r="P136" s="316">
        <v>0</v>
      </c>
      <c r="Q136" s="316">
        <v>0</v>
      </c>
      <c r="R136" s="316">
        <v>0</v>
      </c>
      <c r="S136" s="316">
        <v>0</v>
      </c>
      <c r="T136" s="316">
        <v>0</v>
      </c>
      <c r="U136" s="316">
        <v>0</v>
      </c>
      <c r="V136" s="316">
        <v>0</v>
      </c>
      <c r="W136" s="316">
        <v>0</v>
      </c>
      <c r="X136" s="316">
        <v>0</v>
      </c>
      <c r="Y136" s="316">
        <v>0</v>
      </c>
      <c r="Z136" s="316">
        <v>0</v>
      </c>
      <c r="AA136" s="316">
        <v>0</v>
      </c>
      <c r="AB136" s="316">
        <v>1</v>
      </c>
      <c r="AC136" s="316">
        <v>1</v>
      </c>
      <c r="AD136" s="316">
        <v>1</v>
      </c>
      <c r="AE136" s="316">
        <v>1</v>
      </c>
      <c r="AF136" s="316">
        <v>1</v>
      </c>
      <c r="AG136" s="316">
        <v>1</v>
      </c>
      <c r="AH136" s="316">
        <v>1</v>
      </c>
      <c r="AI136" s="316">
        <v>1</v>
      </c>
      <c r="AJ136" s="316">
        <v>1</v>
      </c>
      <c r="AK136" s="316">
        <v>1</v>
      </c>
      <c r="AL136" s="316">
        <v>1</v>
      </c>
      <c r="AM136" s="316">
        <v>1</v>
      </c>
      <c r="AN136" s="316">
        <v>1</v>
      </c>
      <c r="AO136" s="316">
        <v>1</v>
      </c>
      <c r="AP136" s="316">
        <v>1</v>
      </c>
      <c r="AQ136" s="316">
        <v>1</v>
      </c>
      <c r="AR136" s="316">
        <v>1</v>
      </c>
      <c r="AS136" s="316">
        <v>1</v>
      </c>
      <c r="AT136" s="316">
        <v>1</v>
      </c>
    </row>
    <row r="137" spans="2:46" ht="12.75" hidden="1" customHeight="1" x14ac:dyDescent="0.15">
      <c r="B137" s="315">
        <v>5062</v>
      </c>
      <c r="C137" s="313" t="s">
        <v>122</v>
      </c>
      <c r="D137" s="313" t="s">
        <v>101</v>
      </c>
      <c r="E137" s="313" t="s">
        <v>1794</v>
      </c>
      <c r="F137" s="319" t="s">
        <v>198</v>
      </c>
      <c r="G137" s="315" t="e">
        <f>_xlfn.XLOOKUP(B137,'WFP Details - 2026'!A:A,'WFP Details - 2026'!Z:Z)</f>
        <v>#N/A</v>
      </c>
      <c r="H137" s="314">
        <v>46553</v>
      </c>
      <c r="I137" s="315">
        <v>6</v>
      </c>
      <c r="J137" s="315">
        <v>2027</v>
      </c>
      <c r="K137" s="316">
        <v>0</v>
      </c>
      <c r="L137" s="316">
        <v>0</v>
      </c>
      <c r="M137" s="316">
        <v>0</v>
      </c>
      <c r="N137" s="316">
        <v>0</v>
      </c>
      <c r="O137" s="316">
        <v>0</v>
      </c>
      <c r="P137" s="316">
        <v>0</v>
      </c>
      <c r="Q137" s="316">
        <v>0</v>
      </c>
      <c r="R137" s="316">
        <v>0</v>
      </c>
      <c r="S137" s="316">
        <v>0</v>
      </c>
      <c r="T137" s="316">
        <v>0</v>
      </c>
      <c r="U137" s="316">
        <v>0</v>
      </c>
      <c r="V137" s="316">
        <v>0</v>
      </c>
      <c r="W137" s="316">
        <v>0</v>
      </c>
      <c r="X137" s="316">
        <v>0</v>
      </c>
      <c r="Y137" s="316">
        <v>0</v>
      </c>
      <c r="Z137" s="316">
        <v>0</v>
      </c>
      <c r="AA137" s="316">
        <v>0</v>
      </c>
      <c r="AB137" s="316">
        <v>1</v>
      </c>
      <c r="AC137" s="316">
        <v>1</v>
      </c>
      <c r="AD137" s="316">
        <v>1</v>
      </c>
      <c r="AE137" s="316">
        <v>1</v>
      </c>
      <c r="AF137" s="316">
        <v>1</v>
      </c>
      <c r="AG137" s="316">
        <v>1</v>
      </c>
      <c r="AH137" s="316">
        <v>1</v>
      </c>
      <c r="AI137" s="316">
        <v>1</v>
      </c>
      <c r="AJ137" s="316">
        <v>1</v>
      </c>
      <c r="AK137" s="316">
        <v>1</v>
      </c>
      <c r="AL137" s="316">
        <v>1</v>
      </c>
      <c r="AM137" s="316">
        <v>1</v>
      </c>
      <c r="AN137" s="316">
        <v>1</v>
      </c>
      <c r="AO137" s="316">
        <v>1</v>
      </c>
      <c r="AP137" s="316">
        <v>1</v>
      </c>
      <c r="AQ137" s="316">
        <v>1</v>
      </c>
      <c r="AR137" s="316">
        <v>1</v>
      </c>
      <c r="AS137" s="316">
        <v>1</v>
      </c>
      <c r="AT137" s="316">
        <v>1</v>
      </c>
    </row>
    <row r="138" spans="2:46" ht="12.75" hidden="1" customHeight="1" x14ac:dyDescent="0.15">
      <c r="B138" s="315">
        <v>5063</v>
      </c>
      <c r="C138" s="313" t="s">
        <v>122</v>
      </c>
      <c r="D138" s="313" t="s">
        <v>101</v>
      </c>
      <c r="E138" s="313" t="s">
        <v>1801</v>
      </c>
      <c r="F138" s="319" t="s">
        <v>252</v>
      </c>
      <c r="G138" s="315" t="e">
        <f>_xlfn.XLOOKUP(B138,'WFP Details - 2026'!A:A,'WFP Details - 2026'!Z:Z)</f>
        <v>#N/A</v>
      </c>
      <c r="H138" s="314">
        <v>46553</v>
      </c>
      <c r="I138" s="315">
        <v>6</v>
      </c>
      <c r="J138" s="315">
        <v>2027</v>
      </c>
      <c r="K138" s="316">
        <v>0</v>
      </c>
      <c r="L138" s="316">
        <v>0</v>
      </c>
      <c r="M138" s="316">
        <v>0</v>
      </c>
      <c r="N138" s="316">
        <v>0</v>
      </c>
      <c r="O138" s="316">
        <v>0</v>
      </c>
      <c r="P138" s="316">
        <v>0</v>
      </c>
      <c r="Q138" s="316">
        <v>0</v>
      </c>
      <c r="R138" s="316">
        <v>0</v>
      </c>
      <c r="S138" s="316">
        <v>0</v>
      </c>
      <c r="T138" s="316">
        <v>0</v>
      </c>
      <c r="U138" s="316">
        <v>0</v>
      </c>
      <c r="V138" s="316">
        <v>0</v>
      </c>
      <c r="W138" s="316">
        <v>0</v>
      </c>
      <c r="X138" s="316">
        <v>0</v>
      </c>
      <c r="Y138" s="316">
        <v>0</v>
      </c>
      <c r="Z138" s="316">
        <v>0</v>
      </c>
      <c r="AA138" s="316">
        <v>0</v>
      </c>
      <c r="AB138" s="316">
        <v>1</v>
      </c>
      <c r="AC138" s="316">
        <v>1</v>
      </c>
      <c r="AD138" s="316">
        <v>1</v>
      </c>
      <c r="AE138" s="316">
        <v>1</v>
      </c>
      <c r="AF138" s="316">
        <v>1</v>
      </c>
      <c r="AG138" s="316">
        <v>1</v>
      </c>
      <c r="AH138" s="316">
        <v>1</v>
      </c>
      <c r="AI138" s="316">
        <v>1</v>
      </c>
      <c r="AJ138" s="316">
        <v>1</v>
      </c>
      <c r="AK138" s="316">
        <v>1</v>
      </c>
      <c r="AL138" s="316">
        <v>1</v>
      </c>
      <c r="AM138" s="316">
        <v>1</v>
      </c>
      <c r="AN138" s="316">
        <v>1</v>
      </c>
      <c r="AO138" s="316">
        <v>1</v>
      </c>
      <c r="AP138" s="316">
        <v>1</v>
      </c>
      <c r="AQ138" s="316">
        <v>1</v>
      </c>
      <c r="AR138" s="316">
        <v>1</v>
      </c>
      <c r="AS138" s="316">
        <v>1</v>
      </c>
      <c r="AT138" s="316">
        <v>1</v>
      </c>
    </row>
    <row r="139" spans="2:46" ht="12.75" hidden="1" customHeight="1" x14ac:dyDescent="0.15">
      <c r="B139" s="315">
        <v>5066</v>
      </c>
      <c r="C139" s="313" t="s">
        <v>122</v>
      </c>
      <c r="D139" s="313" t="s">
        <v>101</v>
      </c>
      <c r="E139" s="313" t="s">
        <v>1795</v>
      </c>
      <c r="F139" s="319" t="s">
        <v>194</v>
      </c>
      <c r="G139" s="315" t="e">
        <f>_xlfn.XLOOKUP(B139,'WFP Details - 2026'!A:A,'WFP Details - 2026'!Z:Z)</f>
        <v>#N/A</v>
      </c>
      <c r="H139" s="314">
        <v>46553</v>
      </c>
      <c r="I139" s="315">
        <v>6</v>
      </c>
      <c r="J139" s="315">
        <v>2027</v>
      </c>
      <c r="K139" s="316">
        <v>0</v>
      </c>
      <c r="L139" s="316">
        <v>0</v>
      </c>
      <c r="M139" s="316">
        <v>0</v>
      </c>
      <c r="N139" s="316">
        <v>0</v>
      </c>
      <c r="O139" s="316">
        <v>0</v>
      </c>
      <c r="P139" s="316">
        <v>0</v>
      </c>
      <c r="Q139" s="316">
        <v>0</v>
      </c>
      <c r="R139" s="316">
        <v>0</v>
      </c>
      <c r="S139" s="316">
        <v>0</v>
      </c>
      <c r="T139" s="316">
        <v>0</v>
      </c>
      <c r="U139" s="316">
        <v>0</v>
      </c>
      <c r="V139" s="316">
        <v>0</v>
      </c>
      <c r="W139" s="316">
        <v>0</v>
      </c>
      <c r="X139" s="316">
        <v>0</v>
      </c>
      <c r="Y139" s="316">
        <v>0</v>
      </c>
      <c r="Z139" s="316">
        <v>0</v>
      </c>
      <c r="AA139" s="316">
        <v>0</v>
      </c>
      <c r="AB139" s="316">
        <v>1</v>
      </c>
      <c r="AC139" s="316">
        <v>1</v>
      </c>
      <c r="AD139" s="316">
        <v>1</v>
      </c>
      <c r="AE139" s="316">
        <v>1</v>
      </c>
      <c r="AF139" s="316">
        <v>1</v>
      </c>
      <c r="AG139" s="316">
        <v>1</v>
      </c>
      <c r="AH139" s="316">
        <v>1</v>
      </c>
      <c r="AI139" s="316">
        <v>1</v>
      </c>
      <c r="AJ139" s="316">
        <v>1</v>
      </c>
      <c r="AK139" s="316">
        <v>1</v>
      </c>
      <c r="AL139" s="316">
        <v>1</v>
      </c>
      <c r="AM139" s="316">
        <v>1</v>
      </c>
      <c r="AN139" s="316">
        <v>1</v>
      </c>
      <c r="AO139" s="316">
        <v>1</v>
      </c>
      <c r="AP139" s="316">
        <v>1</v>
      </c>
      <c r="AQ139" s="316">
        <v>1</v>
      </c>
      <c r="AR139" s="316">
        <v>1</v>
      </c>
      <c r="AS139" s="316">
        <v>1</v>
      </c>
      <c r="AT139" s="316">
        <v>1</v>
      </c>
    </row>
    <row r="140" spans="2:46" ht="12.75" hidden="1" customHeight="1" x14ac:dyDescent="0.15">
      <c r="B140" s="315">
        <v>5067</v>
      </c>
      <c r="C140" s="313" t="s">
        <v>122</v>
      </c>
      <c r="D140" s="313" t="s">
        <v>101</v>
      </c>
      <c r="E140" s="313" t="s">
        <v>1794</v>
      </c>
      <c r="F140" s="319" t="s">
        <v>198</v>
      </c>
      <c r="G140" s="315" t="e">
        <f>_xlfn.XLOOKUP(B140,'WFP Details - 2026'!A:A,'WFP Details - 2026'!Z:Z)</f>
        <v>#N/A</v>
      </c>
      <c r="H140" s="314">
        <v>46553</v>
      </c>
      <c r="I140" s="315">
        <v>6</v>
      </c>
      <c r="J140" s="315">
        <v>2027</v>
      </c>
      <c r="K140" s="316">
        <v>0</v>
      </c>
      <c r="L140" s="316">
        <v>0</v>
      </c>
      <c r="M140" s="316">
        <v>0</v>
      </c>
      <c r="N140" s="316">
        <v>0</v>
      </c>
      <c r="O140" s="316">
        <v>0</v>
      </c>
      <c r="P140" s="316">
        <v>0</v>
      </c>
      <c r="Q140" s="316">
        <v>0</v>
      </c>
      <c r="R140" s="316">
        <v>0</v>
      </c>
      <c r="S140" s="316">
        <v>0</v>
      </c>
      <c r="T140" s="316">
        <v>0</v>
      </c>
      <c r="U140" s="316">
        <v>0</v>
      </c>
      <c r="V140" s="316">
        <v>0</v>
      </c>
      <c r="W140" s="316">
        <v>0</v>
      </c>
      <c r="X140" s="316">
        <v>0</v>
      </c>
      <c r="Y140" s="316">
        <v>0</v>
      </c>
      <c r="Z140" s="316">
        <v>0</v>
      </c>
      <c r="AA140" s="316">
        <v>0</v>
      </c>
      <c r="AB140" s="316">
        <v>1</v>
      </c>
      <c r="AC140" s="316">
        <v>1</v>
      </c>
      <c r="AD140" s="316">
        <v>1</v>
      </c>
      <c r="AE140" s="316">
        <v>1</v>
      </c>
      <c r="AF140" s="316">
        <v>1</v>
      </c>
      <c r="AG140" s="316">
        <v>1</v>
      </c>
      <c r="AH140" s="316">
        <v>1</v>
      </c>
      <c r="AI140" s="316">
        <v>1</v>
      </c>
      <c r="AJ140" s="316">
        <v>1</v>
      </c>
      <c r="AK140" s="316">
        <v>1</v>
      </c>
      <c r="AL140" s="316">
        <v>1</v>
      </c>
      <c r="AM140" s="316">
        <v>1</v>
      </c>
      <c r="AN140" s="316">
        <v>1</v>
      </c>
      <c r="AO140" s="316">
        <v>1</v>
      </c>
      <c r="AP140" s="316">
        <v>1</v>
      </c>
      <c r="AQ140" s="316">
        <v>1</v>
      </c>
      <c r="AR140" s="316">
        <v>1</v>
      </c>
      <c r="AS140" s="316">
        <v>1</v>
      </c>
      <c r="AT140" s="316">
        <v>1</v>
      </c>
    </row>
    <row r="141" spans="2:46" ht="12.75" hidden="1" customHeight="1" x14ac:dyDescent="0.15">
      <c r="B141" s="317">
        <v>5068</v>
      </c>
      <c r="C141" s="313" t="s">
        <v>122</v>
      </c>
      <c r="D141" s="313" t="s">
        <v>101</v>
      </c>
      <c r="E141" s="313" t="s">
        <v>1801</v>
      </c>
      <c r="F141" s="313" t="s">
        <v>1457</v>
      </c>
      <c r="G141" s="315" t="e">
        <f>_xlfn.XLOOKUP(B141,'WFP Details - 2026'!A:A,'WFP Details - 2026'!Z:Z)</f>
        <v>#N/A</v>
      </c>
      <c r="H141" s="314">
        <v>46553</v>
      </c>
      <c r="I141" s="315">
        <v>6</v>
      </c>
      <c r="J141" s="315">
        <v>2027</v>
      </c>
      <c r="K141" s="316">
        <v>0</v>
      </c>
      <c r="L141" s="316">
        <v>0</v>
      </c>
      <c r="M141" s="316">
        <v>0</v>
      </c>
      <c r="N141" s="316">
        <v>0</v>
      </c>
      <c r="O141" s="316">
        <v>0</v>
      </c>
      <c r="P141" s="316">
        <v>0</v>
      </c>
      <c r="Q141" s="316">
        <v>0</v>
      </c>
      <c r="R141" s="316">
        <v>0</v>
      </c>
      <c r="S141" s="316">
        <v>0</v>
      </c>
      <c r="T141" s="316">
        <v>0</v>
      </c>
      <c r="U141" s="316">
        <v>0</v>
      </c>
      <c r="V141" s="316">
        <v>0</v>
      </c>
      <c r="W141" s="316">
        <v>0</v>
      </c>
      <c r="X141" s="316">
        <v>0</v>
      </c>
      <c r="Y141" s="316">
        <v>0</v>
      </c>
      <c r="Z141" s="316">
        <v>0</v>
      </c>
      <c r="AA141" s="316">
        <v>0</v>
      </c>
      <c r="AB141" s="316">
        <v>1</v>
      </c>
      <c r="AC141" s="316">
        <v>1</v>
      </c>
      <c r="AD141" s="316">
        <v>1</v>
      </c>
      <c r="AE141" s="316">
        <v>1</v>
      </c>
      <c r="AF141" s="316">
        <v>1</v>
      </c>
      <c r="AG141" s="316">
        <v>1</v>
      </c>
      <c r="AH141" s="316">
        <v>1</v>
      </c>
      <c r="AI141" s="316">
        <v>1</v>
      </c>
      <c r="AJ141" s="316">
        <v>1</v>
      </c>
      <c r="AK141" s="316">
        <v>1</v>
      </c>
      <c r="AL141" s="316">
        <v>1</v>
      </c>
      <c r="AM141" s="316">
        <v>1</v>
      </c>
      <c r="AN141" s="316">
        <v>1</v>
      </c>
      <c r="AO141" s="316">
        <v>1</v>
      </c>
      <c r="AP141" s="316">
        <v>1</v>
      </c>
      <c r="AQ141" s="316">
        <v>1</v>
      </c>
      <c r="AR141" s="316">
        <v>1</v>
      </c>
      <c r="AS141" s="316">
        <v>1</v>
      </c>
      <c r="AT141" s="316">
        <v>1</v>
      </c>
    </row>
    <row r="142" spans="2:46" ht="12.75" hidden="1" customHeight="1" x14ac:dyDescent="0.15">
      <c r="B142" s="318">
        <v>5079</v>
      </c>
      <c r="C142" s="313" t="s">
        <v>122</v>
      </c>
      <c r="D142" s="313" t="s">
        <v>101</v>
      </c>
      <c r="E142" s="313" t="s">
        <v>1793</v>
      </c>
      <c r="F142" s="313" t="s">
        <v>1298</v>
      </c>
      <c r="G142" s="315" t="e">
        <f>_xlfn.XLOOKUP(B142,'WFP Details - 2026'!A:A,'WFP Details - 2026'!Z:Z)</f>
        <v>#N/A</v>
      </c>
      <c r="H142" s="314">
        <v>46553</v>
      </c>
      <c r="I142" s="315">
        <v>6</v>
      </c>
      <c r="J142" s="315">
        <v>2027</v>
      </c>
      <c r="K142" s="316">
        <v>0</v>
      </c>
      <c r="L142" s="316">
        <v>0</v>
      </c>
      <c r="M142" s="316">
        <v>0</v>
      </c>
      <c r="N142" s="316">
        <v>0</v>
      </c>
      <c r="O142" s="316">
        <v>0</v>
      </c>
      <c r="P142" s="316">
        <v>0</v>
      </c>
      <c r="Q142" s="316">
        <v>0</v>
      </c>
      <c r="R142" s="316">
        <v>0</v>
      </c>
      <c r="S142" s="316">
        <v>0</v>
      </c>
      <c r="T142" s="316">
        <v>0</v>
      </c>
      <c r="U142" s="316">
        <v>0</v>
      </c>
      <c r="V142" s="316">
        <v>0</v>
      </c>
      <c r="W142" s="316">
        <v>0</v>
      </c>
      <c r="X142" s="316">
        <v>0</v>
      </c>
      <c r="Y142" s="316">
        <v>0</v>
      </c>
      <c r="Z142" s="316">
        <v>0</v>
      </c>
      <c r="AA142" s="316">
        <v>0</v>
      </c>
      <c r="AB142" s="316">
        <v>1</v>
      </c>
      <c r="AC142" s="316">
        <v>1</v>
      </c>
      <c r="AD142" s="316">
        <v>1</v>
      </c>
      <c r="AE142" s="316">
        <v>1</v>
      </c>
      <c r="AF142" s="316">
        <v>1</v>
      </c>
      <c r="AG142" s="316">
        <v>1</v>
      </c>
      <c r="AH142" s="316">
        <v>1</v>
      </c>
      <c r="AI142" s="316">
        <v>1</v>
      </c>
      <c r="AJ142" s="316">
        <v>1</v>
      </c>
      <c r="AK142" s="316">
        <v>1</v>
      </c>
      <c r="AL142" s="316">
        <v>1</v>
      </c>
      <c r="AM142" s="316">
        <v>1</v>
      </c>
      <c r="AN142" s="316">
        <v>1</v>
      </c>
      <c r="AO142" s="316">
        <v>1</v>
      </c>
      <c r="AP142" s="316">
        <v>1</v>
      </c>
      <c r="AQ142" s="316">
        <v>1</v>
      </c>
      <c r="AR142" s="316">
        <v>1</v>
      </c>
      <c r="AS142" s="316">
        <v>1</v>
      </c>
      <c r="AT142" s="316">
        <v>1</v>
      </c>
    </row>
    <row r="143" spans="2:46" ht="12.75" hidden="1" customHeight="1" x14ac:dyDescent="0.15">
      <c r="B143" s="317">
        <v>5080</v>
      </c>
      <c r="C143" s="313" t="s">
        <v>122</v>
      </c>
      <c r="D143" s="313" t="s">
        <v>101</v>
      </c>
      <c r="E143" s="313" t="s">
        <v>1801</v>
      </c>
      <c r="F143" s="313" t="s">
        <v>1457</v>
      </c>
      <c r="G143" s="315" t="e">
        <f>_xlfn.XLOOKUP(B143,'WFP Details - 2026'!A:A,'WFP Details - 2026'!Z:Z)</f>
        <v>#N/A</v>
      </c>
      <c r="H143" s="314">
        <v>46553</v>
      </c>
      <c r="I143" s="315">
        <v>6</v>
      </c>
      <c r="J143" s="315">
        <v>2027</v>
      </c>
      <c r="K143" s="316">
        <v>0</v>
      </c>
      <c r="L143" s="316">
        <v>0</v>
      </c>
      <c r="M143" s="316">
        <v>0</v>
      </c>
      <c r="N143" s="316">
        <v>0</v>
      </c>
      <c r="O143" s="316">
        <v>0</v>
      </c>
      <c r="P143" s="316">
        <v>0</v>
      </c>
      <c r="Q143" s="316">
        <v>0</v>
      </c>
      <c r="R143" s="316">
        <v>0</v>
      </c>
      <c r="S143" s="316">
        <v>0</v>
      </c>
      <c r="T143" s="316">
        <v>0</v>
      </c>
      <c r="U143" s="316">
        <v>0</v>
      </c>
      <c r="V143" s="316">
        <v>0</v>
      </c>
      <c r="W143" s="316">
        <v>0</v>
      </c>
      <c r="X143" s="316">
        <v>0</v>
      </c>
      <c r="Y143" s="316">
        <v>0</v>
      </c>
      <c r="Z143" s="316">
        <v>0</v>
      </c>
      <c r="AA143" s="316">
        <v>0</v>
      </c>
      <c r="AB143" s="316">
        <v>1</v>
      </c>
      <c r="AC143" s="316">
        <v>1</v>
      </c>
      <c r="AD143" s="316">
        <v>1</v>
      </c>
      <c r="AE143" s="316">
        <v>1</v>
      </c>
      <c r="AF143" s="316">
        <v>1</v>
      </c>
      <c r="AG143" s="316">
        <v>1</v>
      </c>
      <c r="AH143" s="316">
        <v>1</v>
      </c>
      <c r="AI143" s="316">
        <v>1</v>
      </c>
      <c r="AJ143" s="316">
        <v>1</v>
      </c>
      <c r="AK143" s="316">
        <v>1</v>
      </c>
      <c r="AL143" s="316">
        <v>1</v>
      </c>
      <c r="AM143" s="316">
        <v>1</v>
      </c>
      <c r="AN143" s="316">
        <v>1</v>
      </c>
      <c r="AO143" s="316">
        <v>1</v>
      </c>
      <c r="AP143" s="316">
        <v>1</v>
      </c>
      <c r="AQ143" s="316">
        <v>1</v>
      </c>
      <c r="AR143" s="316">
        <v>1</v>
      </c>
      <c r="AS143" s="316">
        <v>1</v>
      </c>
      <c r="AT143" s="316">
        <v>1</v>
      </c>
    </row>
    <row r="144" spans="2:46" ht="12.75" hidden="1" customHeight="1" x14ac:dyDescent="0.15">
      <c r="B144" s="317">
        <v>5087</v>
      </c>
      <c r="C144" s="313" t="s">
        <v>122</v>
      </c>
      <c r="D144" s="313" t="s">
        <v>101</v>
      </c>
      <c r="E144" s="313" t="s">
        <v>1805</v>
      </c>
      <c r="F144" s="313" t="s">
        <v>1459</v>
      </c>
      <c r="G144" s="315" t="e">
        <f>_xlfn.XLOOKUP(B144,'WFP Details - 2026'!A:A,'WFP Details - 2026'!Z:Z)</f>
        <v>#N/A</v>
      </c>
      <c r="H144" s="314">
        <v>46553</v>
      </c>
      <c r="I144" s="315">
        <v>6</v>
      </c>
      <c r="J144" s="315">
        <v>2027</v>
      </c>
      <c r="K144" s="316">
        <v>0</v>
      </c>
      <c r="L144" s="316">
        <v>0</v>
      </c>
      <c r="M144" s="316">
        <v>0</v>
      </c>
      <c r="N144" s="316">
        <v>0</v>
      </c>
      <c r="O144" s="316">
        <v>0</v>
      </c>
      <c r="P144" s="316">
        <v>0</v>
      </c>
      <c r="Q144" s="316">
        <v>0</v>
      </c>
      <c r="R144" s="316">
        <v>0</v>
      </c>
      <c r="S144" s="316">
        <v>0</v>
      </c>
      <c r="T144" s="316">
        <v>0</v>
      </c>
      <c r="U144" s="316">
        <v>0</v>
      </c>
      <c r="V144" s="316">
        <v>0</v>
      </c>
      <c r="W144" s="316">
        <v>0</v>
      </c>
      <c r="X144" s="316">
        <v>0</v>
      </c>
      <c r="Y144" s="316">
        <v>0</v>
      </c>
      <c r="Z144" s="316">
        <v>0</v>
      </c>
      <c r="AA144" s="316">
        <v>0</v>
      </c>
      <c r="AB144" s="316">
        <v>1</v>
      </c>
      <c r="AC144" s="316">
        <v>1</v>
      </c>
      <c r="AD144" s="316">
        <v>1</v>
      </c>
      <c r="AE144" s="316">
        <v>1</v>
      </c>
      <c r="AF144" s="316">
        <v>1</v>
      </c>
      <c r="AG144" s="316">
        <v>1</v>
      </c>
      <c r="AH144" s="316">
        <v>1</v>
      </c>
      <c r="AI144" s="316">
        <v>1</v>
      </c>
      <c r="AJ144" s="316">
        <v>1</v>
      </c>
      <c r="AK144" s="316">
        <v>1</v>
      </c>
      <c r="AL144" s="316">
        <v>1</v>
      </c>
      <c r="AM144" s="316">
        <v>1</v>
      </c>
      <c r="AN144" s="316">
        <v>1</v>
      </c>
      <c r="AO144" s="316">
        <v>1</v>
      </c>
      <c r="AP144" s="316">
        <v>1</v>
      </c>
      <c r="AQ144" s="316">
        <v>1</v>
      </c>
      <c r="AR144" s="316">
        <v>1</v>
      </c>
      <c r="AS144" s="316">
        <v>1</v>
      </c>
      <c r="AT144" s="316">
        <v>1</v>
      </c>
    </row>
    <row r="145" spans="2:46" ht="12.75" hidden="1" customHeight="1" x14ac:dyDescent="0.15">
      <c r="B145" s="318">
        <v>5093</v>
      </c>
      <c r="C145" s="313" t="s">
        <v>122</v>
      </c>
      <c r="D145" s="313" t="s">
        <v>101</v>
      </c>
      <c r="E145" s="313" t="s">
        <v>1795</v>
      </c>
      <c r="F145" s="313" t="s">
        <v>1460</v>
      </c>
      <c r="G145" s="315" t="e">
        <f>_xlfn.XLOOKUP(B145,'WFP Details - 2026'!A:A,'WFP Details - 2026'!Z:Z)</f>
        <v>#N/A</v>
      </c>
      <c r="H145" s="314">
        <v>46553</v>
      </c>
      <c r="I145" s="315">
        <v>6</v>
      </c>
      <c r="J145" s="315">
        <v>2027</v>
      </c>
      <c r="K145" s="316">
        <v>0</v>
      </c>
      <c r="L145" s="316">
        <v>0</v>
      </c>
      <c r="M145" s="316">
        <v>0</v>
      </c>
      <c r="N145" s="316">
        <v>0</v>
      </c>
      <c r="O145" s="316">
        <v>0</v>
      </c>
      <c r="P145" s="316">
        <v>0</v>
      </c>
      <c r="Q145" s="316">
        <v>0</v>
      </c>
      <c r="R145" s="316">
        <v>0</v>
      </c>
      <c r="S145" s="316">
        <v>0</v>
      </c>
      <c r="T145" s="316">
        <v>0</v>
      </c>
      <c r="U145" s="316">
        <v>0</v>
      </c>
      <c r="V145" s="316">
        <v>0</v>
      </c>
      <c r="W145" s="316">
        <v>0</v>
      </c>
      <c r="X145" s="316">
        <v>0</v>
      </c>
      <c r="Y145" s="316">
        <v>0</v>
      </c>
      <c r="Z145" s="316">
        <v>0</v>
      </c>
      <c r="AA145" s="316">
        <v>0</v>
      </c>
      <c r="AB145" s="316">
        <v>1</v>
      </c>
      <c r="AC145" s="316">
        <v>1</v>
      </c>
      <c r="AD145" s="316">
        <v>1</v>
      </c>
      <c r="AE145" s="316">
        <v>1</v>
      </c>
      <c r="AF145" s="316">
        <v>1</v>
      </c>
      <c r="AG145" s="316">
        <v>1</v>
      </c>
      <c r="AH145" s="316">
        <v>1</v>
      </c>
      <c r="AI145" s="316">
        <v>1</v>
      </c>
      <c r="AJ145" s="316">
        <v>1</v>
      </c>
      <c r="AK145" s="316">
        <v>1</v>
      </c>
      <c r="AL145" s="316">
        <v>1</v>
      </c>
      <c r="AM145" s="316">
        <v>1</v>
      </c>
      <c r="AN145" s="316">
        <v>1</v>
      </c>
      <c r="AO145" s="316">
        <v>1</v>
      </c>
      <c r="AP145" s="316">
        <v>1</v>
      </c>
      <c r="AQ145" s="316">
        <v>1</v>
      </c>
      <c r="AR145" s="316">
        <v>1</v>
      </c>
      <c r="AS145" s="316">
        <v>1</v>
      </c>
      <c r="AT145" s="316">
        <v>1</v>
      </c>
    </row>
    <row r="146" spans="2:46" ht="12.75" hidden="1" customHeight="1" x14ac:dyDescent="0.15">
      <c r="B146" s="318">
        <v>5353</v>
      </c>
      <c r="C146" s="313" t="s">
        <v>122</v>
      </c>
      <c r="D146" s="313" t="s">
        <v>101</v>
      </c>
      <c r="E146" s="313" t="s">
        <v>1817</v>
      </c>
      <c r="F146" s="313" t="s">
        <v>160</v>
      </c>
      <c r="G146" s="315" t="e">
        <f>_xlfn.XLOOKUP(B146,'WFP Details - 2026'!A:A,'WFP Details - 2026'!Z:Z)</f>
        <v>#N/A</v>
      </c>
      <c r="H146" s="314">
        <v>46553</v>
      </c>
      <c r="I146" s="315">
        <v>6</v>
      </c>
      <c r="J146" s="315">
        <v>2027</v>
      </c>
      <c r="K146" s="316">
        <v>0</v>
      </c>
      <c r="L146" s="316">
        <v>0</v>
      </c>
      <c r="M146" s="316">
        <v>0</v>
      </c>
      <c r="N146" s="316">
        <v>0</v>
      </c>
      <c r="O146" s="316">
        <v>0</v>
      </c>
      <c r="P146" s="316">
        <v>0</v>
      </c>
      <c r="Q146" s="316">
        <v>0</v>
      </c>
      <c r="R146" s="316">
        <v>0</v>
      </c>
      <c r="S146" s="316">
        <v>0</v>
      </c>
      <c r="T146" s="316">
        <v>0</v>
      </c>
      <c r="U146" s="316">
        <v>0</v>
      </c>
      <c r="V146" s="316">
        <v>0</v>
      </c>
      <c r="W146" s="316">
        <v>0</v>
      </c>
      <c r="X146" s="316">
        <v>0</v>
      </c>
      <c r="Y146" s="316">
        <v>0</v>
      </c>
      <c r="Z146" s="316">
        <v>0</v>
      </c>
      <c r="AA146" s="316">
        <v>0</v>
      </c>
      <c r="AB146" s="316">
        <v>1</v>
      </c>
      <c r="AC146" s="316">
        <v>1</v>
      </c>
      <c r="AD146" s="316">
        <v>1</v>
      </c>
      <c r="AE146" s="316">
        <v>1</v>
      </c>
      <c r="AF146" s="316">
        <v>1</v>
      </c>
      <c r="AG146" s="316">
        <v>1</v>
      </c>
      <c r="AH146" s="316">
        <v>1</v>
      </c>
      <c r="AI146" s="316">
        <v>1</v>
      </c>
      <c r="AJ146" s="316">
        <v>1</v>
      </c>
      <c r="AK146" s="316">
        <v>1</v>
      </c>
      <c r="AL146" s="316">
        <v>1</v>
      </c>
      <c r="AM146" s="316">
        <v>1</v>
      </c>
      <c r="AN146" s="316">
        <v>1</v>
      </c>
      <c r="AO146" s="316">
        <v>1</v>
      </c>
      <c r="AP146" s="316">
        <v>1</v>
      </c>
      <c r="AQ146" s="316">
        <v>1</v>
      </c>
      <c r="AR146" s="316">
        <v>1</v>
      </c>
      <c r="AS146" s="316">
        <v>1</v>
      </c>
      <c r="AT146" s="316">
        <v>1</v>
      </c>
    </row>
    <row r="147" spans="2:46" ht="12.75" hidden="1" customHeight="1" x14ac:dyDescent="0.15">
      <c r="B147" s="318">
        <v>5069</v>
      </c>
      <c r="C147" s="313" t="s">
        <v>122</v>
      </c>
      <c r="D147" s="309" t="s">
        <v>101</v>
      </c>
      <c r="E147" s="313" t="s">
        <v>1831</v>
      </c>
      <c r="F147" s="313" t="s">
        <v>1547</v>
      </c>
      <c r="G147" s="315" t="e">
        <f>_xlfn.XLOOKUP(B147,'WFP Details - 2026'!A:A,'WFP Details - 2026'!Z:Z)</f>
        <v>#N/A</v>
      </c>
      <c r="H147" s="314">
        <v>46827</v>
      </c>
      <c r="I147" s="315">
        <v>3</v>
      </c>
      <c r="J147" s="315">
        <v>2028</v>
      </c>
      <c r="K147" s="316">
        <v>0</v>
      </c>
      <c r="L147" s="316">
        <v>0</v>
      </c>
      <c r="M147" s="316">
        <v>0</v>
      </c>
      <c r="N147" s="316">
        <v>0</v>
      </c>
      <c r="O147" s="316">
        <v>0</v>
      </c>
      <c r="P147" s="316">
        <v>0</v>
      </c>
      <c r="Q147" s="316">
        <v>0</v>
      </c>
      <c r="R147" s="316">
        <v>0</v>
      </c>
      <c r="S147" s="316">
        <v>0</v>
      </c>
      <c r="T147" s="316">
        <v>0</v>
      </c>
      <c r="U147" s="316">
        <v>0</v>
      </c>
      <c r="V147" s="316">
        <v>0</v>
      </c>
      <c r="W147" s="316">
        <v>0</v>
      </c>
      <c r="X147" s="316">
        <v>0</v>
      </c>
      <c r="Y147" s="316">
        <v>0</v>
      </c>
      <c r="Z147" s="316">
        <v>0</v>
      </c>
      <c r="AA147" s="316">
        <v>0</v>
      </c>
      <c r="AB147" s="316">
        <v>0</v>
      </c>
      <c r="AC147" s="316">
        <v>0</v>
      </c>
      <c r="AD147" s="316">
        <v>0</v>
      </c>
      <c r="AE147" s="316">
        <v>0</v>
      </c>
      <c r="AF147" s="316">
        <v>0</v>
      </c>
      <c r="AG147" s="316">
        <v>0</v>
      </c>
      <c r="AH147" s="316">
        <v>0</v>
      </c>
      <c r="AI147" s="316">
        <v>0</v>
      </c>
      <c r="AJ147" s="316">
        <v>0</v>
      </c>
      <c r="AK147" s="316">
        <v>1</v>
      </c>
      <c r="AL147" s="316">
        <v>1</v>
      </c>
      <c r="AM147" s="316">
        <v>1</v>
      </c>
      <c r="AN147" s="316">
        <v>1</v>
      </c>
      <c r="AO147" s="316">
        <v>1</v>
      </c>
      <c r="AP147" s="316">
        <v>1</v>
      </c>
      <c r="AQ147" s="316">
        <v>1</v>
      </c>
      <c r="AR147" s="316">
        <v>1</v>
      </c>
      <c r="AS147" s="316">
        <v>1</v>
      </c>
      <c r="AT147" s="316">
        <v>1</v>
      </c>
    </row>
    <row r="148" spans="2:46" ht="12.75" hidden="1" customHeight="1" x14ac:dyDescent="0.15">
      <c r="B148" s="312">
        <v>5085</v>
      </c>
      <c r="C148" s="313" t="s">
        <v>122</v>
      </c>
      <c r="D148" s="313" t="s">
        <v>101</v>
      </c>
      <c r="E148" s="313" t="s">
        <v>1805</v>
      </c>
      <c r="F148" s="313" t="s">
        <v>160</v>
      </c>
      <c r="G148" s="315" t="e">
        <f>_xlfn.XLOOKUP(B148,'WFP Details - 2026'!A:A,'WFP Details - 2026'!Z:Z)</f>
        <v>#N/A</v>
      </c>
      <c r="H148" s="314">
        <v>46827</v>
      </c>
      <c r="I148" s="315">
        <v>3</v>
      </c>
      <c r="J148" s="315">
        <v>2028</v>
      </c>
      <c r="K148" s="316">
        <v>0</v>
      </c>
      <c r="L148" s="316">
        <v>0</v>
      </c>
      <c r="M148" s="316">
        <v>0</v>
      </c>
      <c r="N148" s="316">
        <v>0</v>
      </c>
      <c r="O148" s="316">
        <v>0</v>
      </c>
      <c r="P148" s="316">
        <v>0</v>
      </c>
      <c r="Q148" s="316">
        <v>0</v>
      </c>
      <c r="R148" s="316">
        <v>0</v>
      </c>
      <c r="S148" s="316">
        <v>0</v>
      </c>
      <c r="T148" s="316">
        <v>0</v>
      </c>
      <c r="U148" s="316">
        <v>0</v>
      </c>
      <c r="V148" s="316">
        <v>0</v>
      </c>
      <c r="W148" s="316">
        <v>0</v>
      </c>
      <c r="X148" s="316">
        <v>0</v>
      </c>
      <c r="Y148" s="316">
        <v>0</v>
      </c>
      <c r="Z148" s="316">
        <v>0</v>
      </c>
      <c r="AA148" s="316">
        <v>0</v>
      </c>
      <c r="AB148" s="316">
        <v>0</v>
      </c>
      <c r="AC148" s="316">
        <v>0</v>
      </c>
      <c r="AD148" s="316">
        <v>0</v>
      </c>
      <c r="AE148" s="316">
        <v>0</v>
      </c>
      <c r="AF148" s="316">
        <v>0</v>
      </c>
      <c r="AG148" s="316">
        <v>0</v>
      </c>
      <c r="AH148" s="316">
        <v>0</v>
      </c>
      <c r="AI148" s="316">
        <v>0</v>
      </c>
      <c r="AJ148" s="316">
        <v>0</v>
      </c>
      <c r="AK148" s="316">
        <v>1</v>
      </c>
      <c r="AL148" s="316">
        <v>1</v>
      </c>
      <c r="AM148" s="316">
        <v>1</v>
      </c>
      <c r="AN148" s="316">
        <v>1</v>
      </c>
      <c r="AO148" s="316">
        <v>1</v>
      </c>
      <c r="AP148" s="316">
        <v>1</v>
      </c>
      <c r="AQ148" s="316">
        <v>1</v>
      </c>
      <c r="AR148" s="316">
        <v>1</v>
      </c>
      <c r="AS148" s="316">
        <v>1</v>
      </c>
      <c r="AT148" s="316">
        <v>1</v>
      </c>
    </row>
    <row r="149" spans="2:46" ht="12.75" customHeight="1" x14ac:dyDescent="0.15">
      <c r="B149" s="312">
        <v>1029</v>
      </c>
      <c r="C149" s="313" t="s">
        <v>256</v>
      </c>
      <c r="D149" s="313" t="s">
        <v>272</v>
      </c>
      <c r="E149" s="319" t="s">
        <v>1831</v>
      </c>
      <c r="F149" s="319" t="s">
        <v>1832</v>
      </c>
      <c r="G149" s="315" t="str">
        <f>_xlfn.XLOOKUP(B149,'WFP Details - 2026'!A:A,'WFP Details - 2026'!Z:Z)</f>
        <v>x</v>
      </c>
      <c r="H149" s="314">
        <v>45453</v>
      </c>
      <c r="I149" s="315">
        <v>6</v>
      </c>
      <c r="J149" s="315">
        <v>2024</v>
      </c>
      <c r="K149" s="316">
        <v>1</v>
      </c>
      <c r="L149" s="316">
        <v>1</v>
      </c>
      <c r="M149" s="316">
        <v>1</v>
      </c>
      <c r="N149" s="316">
        <v>1</v>
      </c>
      <c r="O149" s="316">
        <v>1</v>
      </c>
      <c r="P149" s="316">
        <v>1</v>
      </c>
      <c r="Q149" s="316">
        <v>1</v>
      </c>
      <c r="R149" s="316">
        <v>1</v>
      </c>
      <c r="S149" s="316">
        <v>1</v>
      </c>
      <c r="T149" s="316">
        <v>1</v>
      </c>
      <c r="U149" s="316">
        <v>1</v>
      </c>
      <c r="V149" s="316">
        <v>1</v>
      </c>
      <c r="W149" s="316">
        <v>1</v>
      </c>
      <c r="X149" s="316">
        <v>1</v>
      </c>
      <c r="Y149" s="316">
        <v>1</v>
      </c>
      <c r="Z149" s="316">
        <v>1</v>
      </c>
      <c r="AA149" s="316">
        <v>1</v>
      </c>
      <c r="AB149" s="316">
        <v>1</v>
      </c>
      <c r="AC149" s="316">
        <v>1</v>
      </c>
      <c r="AD149" s="316">
        <v>1</v>
      </c>
      <c r="AE149" s="316">
        <v>1</v>
      </c>
      <c r="AF149" s="316">
        <v>1</v>
      </c>
      <c r="AG149" s="316">
        <v>1</v>
      </c>
      <c r="AH149" s="316">
        <v>1</v>
      </c>
      <c r="AI149" s="316">
        <v>1</v>
      </c>
      <c r="AJ149" s="316">
        <v>1</v>
      </c>
      <c r="AK149" s="316">
        <v>1</v>
      </c>
      <c r="AL149" s="316">
        <v>1</v>
      </c>
      <c r="AM149" s="316">
        <v>1</v>
      </c>
      <c r="AN149" s="316">
        <v>1</v>
      </c>
      <c r="AO149" s="316">
        <v>1</v>
      </c>
      <c r="AP149" s="316">
        <v>1</v>
      </c>
      <c r="AQ149" s="316">
        <v>1</v>
      </c>
      <c r="AR149" s="316">
        <v>1</v>
      </c>
      <c r="AS149" s="316">
        <v>1</v>
      </c>
      <c r="AT149" s="316">
        <v>1</v>
      </c>
    </row>
    <row r="150" spans="2:46" ht="12.75" customHeight="1" x14ac:dyDescent="0.15">
      <c r="B150" s="318">
        <v>1234</v>
      </c>
      <c r="C150" s="313" t="s">
        <v>256</v>
      </c>
      <c r="D150" s="313" t="s">
        <v>275</v>
      </c>
      <c r="E150" s="319" t="s">
        <v>1831</v>
      </c>
      <c r="F150" s="319" t="s">
        <v>1833</v>
      </c>
      <c r="G150" s="315" t="str">
        <f>_xlfn.XLOOKUP(B150,'WFP Details - 2026'!A:A,'WFP Details - 2026'!Z:Z)</f>
        <v>x</v>
      </c>
      <c r="H150" s="314">
        <v>45726</v>
      </c>
      <c r="I150" s="315">
        <v>3</v>
      </c>
      <c r="J150" s="315">
        <v>2025</v>
      </c>
      <c r="K150" s="316">
        <v>1</v>
      </c>
      <c r="L150" s="316">
        <v>1</v>
      </c>
      <c r="M150" s="316">
        <v>1</v>
      </c>
      <c r="N150" s="316">
        <v>1</v>
      </c>
      <c r="O150" s="316">
        <v>1</v>
      </c>
      <c r="P150" s="316">
        <v>1</v>
      </c>
      <c r="Q150" s="316">
        <v>1</v>
      </c>
      <c r="R150" s="316">
        <v>1</v>
      </c>
      <c r="S150" s="316">
        <v>1</v>
      </c>
      <c r="T150" s="316">
        <v>1</v>
      </c>
      <c r="U150" s="316">
        <v>1</v>
      </c>
      <c r="V150" s="316">
        <v>1</v>
      </c>
      <c r="W150" s="316">
        <v>1</v>
      </c>
      <c r="X150" s="316">
        <v>1</v>
      </c>
      <c r="Y150" s="316">
        <v>1</v>
      </c>
      <c r="Z150" s="316">
        <v>1</v>
      </c>
      <c r="AA150" s="316">
        <v>1</v>
      </c>
      <c r="AB150" s="316">
        <v>1</v>
      </c>
      <c r="AC150" s="316">
        <v>1</v>
      </c>
      <c r="AD150" s="316">
        <v>1</v>
      </c>
      <c r="AE150" s="316">
        <v>1</v>
      </c>
      <c r="AF150" s="316">
        <v>1</v>
      </c>
      <c r="AG150" s="316">
        <v>1</v>
      </c>
      <c r="AH150" s="316">
        <v>1</v>
      </c>
      <c r="AI150" s="316">
        <v>1</v>
      </c>
      <c r="AJ150" s="316">
        <v>1</v>
      </c>
      <c r="AK150" s="316">
        <v>1</v>
      </c>
      <c r="AL150" s="316">
        <v>1</v>
      </c>
      <c r="AM150" s="316">
        <v>1</v>
      </c>
      <c r="AN150" s="316">
        <v>1</v>
      </c>
      <c r="AO150" s="316">
        <v>1</v>
      </c>
      <c r="AP150" s="316">
        <v>1</v>
      </c>
      <c r="AQ150" s="316">
        <v>1</v>
      </c>
      <c r="AR150" s="316">
        <v>1</v>
      </c>
      <c r="AS150" s="316">
        <v>1</v>
      </c>
      <c r="AT150" s="316">
        <v>1</v>
      </c>
    </row>
    <row r="151" spans="2:46" ht="12.75" customHeight="1" x14ac:dyDescent="0.15">
      <c r="B151" s="317">
        <v>1027</v>
      </c>
      <c r="C151" s="313" t="s">
        <v>256</v>
      </c>
      <c r="D151" s="313" t="s">
        <v>281</v>
      </c>
      <c r="E151" s="319" t="s">
        <v>1817</v>
      </c>
      <c r="F151" s="319" t="s">
        <v>1834</v>
      </c>
      <c r="G151" s="315" t="str">
        <f>_xlfn.XLOOKUP(B151,'WFP Details - 2026'!A:A,'WFP Details - 2026'!Z:Z)</f>
        <v>x</v>
      </c>
      <c r="H151" s="314">
        <v>45775</v>
      </c>
      <c r="I151" s="315">
        <v>4</v>
      </c>
      <c r="J151" s="315">
        <v>2025</v>
      </c>
      <c r="K151" s="316">
        <v>1</v>
      </c>
      <c r="L151" s="316">
        <v>1</v>
      </c>
      <c r="M151" s="316">
        <v>1</v>
      </c>
      <c r="N151" s="316">
        <v>1</v>
      </c>
      <c r="O151" s="316">
        <v>1</v>
      </c>
      <c r="P151" s="316">
        <v>1</v>
      </c>
      <c r="Q151" s="316">
        <v>1</v>
      </c>
      <c r="R151" s="316">
        <v>1</v>
      </c>
      <c r="S151" s="316">
        <v>1</v>
      </c>
      <c r="T151" s="316">
        <v>1</v>
      </c>
      <c r="U151" s="316">
        <v>1</v>
      </c>
      <c r="V151" s="316">
        <v>1</v>
      </c>
      <c r="W151" s="316">
        <v>1</v>
      </c>
      <c r="X151" s="316">
        <v>1</v>
      </c>
      <c r="Y151" s="316">
        <v>1</v>
      </c>
      <c r="Z151" s="316">
        <v>1</v>
      </c>
      <c r="AA151" s="316">
        <v>1</v>
      </c>
      <c r="AB151" s="316">
        <v>1</v>
      </c>
      <c r="AC151" s="316">
        <v>1</v>
      </c>
      <c r="AD151" s="316">
        <v>1</v>
      </c>
      <c r="AE151" s="316">
        <v>1</v>
      </c>
      <c r="AF151" s="316">
        <v>1</v>
      </c>
      <c r="AG151" s="316">
        <v>1</v>
      </c>
      <c r="AH151" s="316">
        <v>1</v>
      </c>
      <c r="AI151" s="316">
        <v>1</v>
      </c>
      <c r="AJ151" s="316">
        <v>1</v>
      </c>
      <c r="AK151" s="316">
        <v>1</v>
      </c>
      <c r="AL151" s="316">
        <v>1</v>
      </c>
      <c r="AM151" s="316">
        <v>1</v>
      </c>
      <c r="AN151" s="316">
        <v>1</v>
      </c>
      <c r="AO151" s="316">
        <v>1</v>
      </c>
      <c r="AP151" s="316">
        <v>1</v>
      </c>
      <c r="AQ151" s="316">
        <v>1</v>
      </c>
      <c r="AR151" s="316">
        <v>1</v>
      </c>
      <c r="AS151" s="316">
        <v>1</v>
      </c>
      <c r="AT151" s="316">
        <v>1</v>
      </c>
    </row>
    <row r="152" spans="2:46" ht="12.75" customHeight="1" x14ac:dyDescent="0.15">
      <c r="B152" s="318">
        <v>1026</v>
      </c>
      <c r="C152" s="313" t="s">
        <v>291</v>
      </c>
      <c r="D152" s="313" t="s">
        <v>1835</v>
      </c>
      <c r="E152" s="319" t="s">
        <v>1792</v>
      </c>
      <c r="F152" s="319" t="s">
        <v>1836</v>
      </c>
      <c r="G152" s="315" t="str">
        <f>_xlfn.XLOOKUP(B152,'WFP Details - 2026'!A:A,'WFP Details - 2026'!Z:Z)</f>
        <v>x</v>
      </c>
      <c r="H152" s="314">
        <v>46006</v>
      </c>
      <c r="I152" s="315">
        <v>12</v>
      </c>
      <c r="J152" s="315">
        <v>2025</v>
      </c>
      <c r="K152" s="316">
        <v>1</v>
      </c>
      <c r="L152" s="316">
        <v>1</v>
      </c>
      <c r="M152" s="316">
        <v>1</v>
      </c>
      <c r="N152" s="316">
        <v>1</v>
      </c>
      <c r="O152" s="316">
        <v>1</v>
      </c>
      <c r="P152" s="316">
        <v>1</v>
      </c>
      <c r="Q152" s="316">
        <v>1</v>
      </c>
      <c r="R152" s="316">
        <v>1</v>
      </c>
      <c r="S152" s="316">
        <v>1</v>
      </c>
      <c r="T152" s="316">
        <v>1</v>
      </c>
      <c r="U152" s="316">
        <v>1</v>
      </c>
      <c r="V152" s="316">
        <v>1</v>
      </c>
      <c r="W152" s="316">
        <v>1</v>
      </c>
      <c r="X152" s="316">
        <v>1</v>
      </c>
      <c r="Y152" s="316">
        <v>1</v>
      </c>
      <c r="Z152" s="316">
        <v>1</v>
      </c>
      <c r="AA152" s="316">
        <v>1</v>
      </c>
      <c r="AB152" s="316">
        <v>1</v>
      </c>
      <c r="AC152" s="316">
        <v>1</v>
      </c>
      <c r="AD152" s="316">
        <v>1</v>
      </c>
      <c r="AE152" s="316">
        <v>1</v>
      </c>
      <c r="AF152" s="316">
        <v>1</v>
      </c>
      <c r="AG152" s="316">
        <v>1</v>
      </c>
      <c r="AH152" s="316">
        <v>1</v>
      </c>
      <c r="AI152" s="316">
        <v>1</v>
      </c>
      <c r="AJ152" s="316">
        <v>1</v>
      </c>
      <c r="AK152" s="316">
        <v>1</v>
      </c>
      <c r="AL152" s="316">
        <v>1</v>
      </c>
      <c r="AM152" s="316">
        <v>1</v>
      </c>
      <c r="AN152" s="316">
        <v>1</v>
      </c>
      <c r="AO152" s="316">
        <v>1</v>
      </c>
      <c r="AP152" s="316">
        <v>1</v>
      </c>
      <c r="AQ152" s="316">
        <v>1</v>
      </c>
      <c r="AR152" s="316">
        <v>1</v>
      </c>
      <c r="AS152" s="316">
        <v>1</v>
      </c>
      <c r="AT152" s="316">
        <v>1</v>
      </c>
    </row>
    <row r="153" spans="2:46" ht="12.75" customHeight="1" x14ac:dyDescent="0.15">
      <c r="B153" s="312">
        <v>5046</v>
      </c>
      <c r="C153" s="313" t="s">
        <v>256</v>
      </c>
      <c r="D153" s="313" t="s">
        <v>101</v>
      </c>
      <c r="E153" s="319" t="s">
        <v>1817</v>
      </c>
      <c r="F153" s="319" t="s">
        <v>1837</v>
      </c>
      <c r="G153" s="315" t="str">
        <f>_xlfn.XLOOKUP(B153,'WFP Details - 2026'!A:A,'WFP Details - 2026'!Z:Z)</f>
        <v>x</v>
      </c>
      <c r="H153" s="314">
        <v>46188</v>
      </c>
      <c r="I153" s="315">
        <v>6</v>
      </c>
      <c r="J153" s="315">
        <v>2026</v>
      </c>
      <c r="K153" s="316">
        <v>0</v>
      </c>
      <c r="L153" s="316">
        <v>0</v>
      </c>
      <c r="M153" s="316">
        <v>0</v>
      </c>
      <c r="N153" s="316">
        <v>0</v>
      </c>
      <c r="O153" s="316">
        <v>0</v>
      </c>
      <c r="P153" s="316">
        <v>1</v>
      </c>
      <c r="Q153" s="316">
        <v>1</v>
      </c>
      <c r="R153" s="316">
        <v>1</v>
      </c>
      <c r="S153" s="316">
        <v>1</v>
      </c>
      <c r="T153" s="316">
        <v>1</v>
      </c>
      <c r="U153" s="316">
        <v>1</v>
      </c>
      <c r="V153" s="316">
        <v>1</v>
      </c>
      <c r="W153" s="316">
        <v>1</v>
      </c>
      <c r="X153" s="316">
        <v>1</v>
      </c>
      <c r="Y153" s="316">
        <v>1</v>
      </c>
      <c r="Z153" s="316">
        <v>1</v>
      </c>
      <c r="AA153" s="316">
        <v>1</v>
      </c>
      <c r="AB153" s="316">
        <v>1</v>
      </c>
      <c r="AC153" s="316">
        <v>1</v>
      </c>
      <c r="AD153" s="316">
        <v>1</v>
      </c>
      <c r="AE153" s="316">
        <v>1</v>
      </c>
      <c r="AF153" s="316">
        <v>1</v>
      </c>
      <c r="AG153" s="316">
        <v>1</v>
      </c>
      <c r="AH153" s="316">
        <v>1</v>
      </c>
      <c r="AI153" s="316">
        <v>1</v>
      </c>
      <c r="AJ153" s="316">
        <v>1</v>
      </c>
      <c r="AK153" s="316">
        <v>1</v>
      </c>
      <c r="AL153" s="316">
        <v>1</v>
      </c>
      <c r="AM153" s="316">
        <v>1</v>
      </c>
      <c r="AN153" s="316">
        <v>1</v>
      </c>
      <c r="AO153" s="316">
        <v>1</v>
      </c>
      <c r="AP153" s="316">
        <v>1</v>
      </c>
      <c r="AQ153" s="316">
        <v>1</v>
      </c>
      <c r="AR153" s="316">
        <v>1</v>
      </c>
      <c r="AS153" s="316">
        <v>1</v>
      </c>
      <c r="AT153" s="316">
        <v>1</v>
      </c>
    </row>
    <row r="154" spans="2:46" ht="12.75" customHeight="1" x14ac:dyDescent="0.15">
      <c r="B154" s="318">
        <v>5045</v>
      </c>
      <c r="C154" s="313" t="s">
        <v>256</v>
      </c>
      <c r="D154" s="313" t="s">
        <v>101</v>
      </c>
      <c r="E154" s="319" t="s">
        <v>1831</v>
      </c>
      <c r="F154" s="319" t="s">
        <v>1305</v>
      </c>
      <c r="G154" s="315" t="str">
        <f>_xlfn.XLOOKUP(B154,'WFP Details - 2026'!A:A,'WFP Details - 2026'!Z:Z)</f>
        <v>x</v>
      </c>
      <c r="H154" s="314">
        <v>46188</v>
      </c>
      <c r="I154" s="315">
        <v>6</v>
      </c>
      <c r="J154" s="315">
        <v>2026</v>
      </c>
      <c r="K154" s="316">
        <v>0</v>
      </c>
      <c r="L154" s="316">
        <v>0</v>
      </c>
      <c r="M154" s="316">
        <v>0</v>
      </c>
      <c r="N154" s="316">
        <v>0</v>
      </c>
      <c r="O154" s="316">
        <v>0</v>
      </c>
      <c r="P154" s="316">
        <v>1</v>
      </c>
      <c r="Q154" s="316">
        <v>1</v>
      </c>
      <c r="R154" s="316">
        <v>1</v>
      </c>
      <c r="S154" s="316">
        <v>1</v>
      </c>
      <c r="T154" s="316">
        <v>1</v>
      </c>
      <c r="U154" s="316">
        <v>1</v>
      </c>
      <c r="V154" s="316">
        <v>1</v>
      </c>
      <c r="W154" s="316">
        <v>1</v>
      </c>
      <c r="X154" s="316">
        <v>1</v>
      </c>
      <c r="Y154" s="316">
        <v>1</v>
      </c>
      <c r="Z154" s="316">
        <v>1</v>
      </c>
      <c r="AA154" s="316">
        <v>1</v>
      </c>
      <c r="AB154" s="316">
        <v>1</v>
      </c>
      <c r="AC154" s="316">
        <v>1</v>
      </c>
      <c r="AD154" s="316">
        <v>1</v>
      </c>
      <c r="AE154" s="316">
        <v>1</v>
      </c>
      <c r="AF154" s="316">
        <v>1</v>
      </c>
      <c r="AG154" s="316">
        <v>1</v>
      </c>
      <c r="AH154" s="316">
        <v>1</v>
      </c>
      <c r="AI154" s="316">
        <v>1</v>
      </c>
      <c r="AJ154" s="316">
        <v>1</v>
      </c>
      <c r="AK154" s="316">
        <v>1</v>
      </c>
      <c r="AL154" s="316">
        <v>1</v>
      </c>
      <c r="AM154" s="316">
        <v>1</v>
      </c>
      <c r="AN154" s="316">
        <v>1</v>
      </c>
      <c r="AO154" s="316">
        <v>1</v>
      </c>
      <c r="AP154" s="316">
        <v>1</v>
      </c>
      <c r="AQ154" s="316">
        <v>1</v>
      </c>
      <c r="AR154" s="316">
        <v>1</v>
      </c>
      <c r="AS154" s="316">
        <v>1</v>
      </c>
      <c r="AT154" s="316">
        <v>1</v>
      </c>
    </row>
    <row r="155" spans="2:46" ht="12.75" customHeight="1" x14ac:dyDescent="0.15">
      <c r="B155" s="312">
        <v>5036</v>
      </c>
      <c r="C155" s="313" t="s">
        <v>256</v>
      </c>
      <c r="D155" s="313" t="s">
        <v>101</v>
      </c>
      <c r="E155" s="319" t="s">
        <v>1795</v>
      </c>
      <c r="F155" s="319" t="s">
        <v>273</v>
      </c>
      <c r="G155" s="315" t="str">
        <f>_xlfn.XLOOKUP(B155,'WFP Details - 2026'!A:A,'WFP Details - 2026'!Z:Z)</f>
        <v>x</v>
      </c>
      <c r="H155" s="314">
        <v>46280</v>
      </c>
      <c r="I155" s="315">
        <v>9</v>
      </c>
      <c r="J155" s="315">
        <v>2026</v>
      </c>
      <c r="K155" s="316">
        <v>0</v>
      </c>
      <c r="L155" s="316">
        <v>0</v>
      </c>
      <c r="M155" s="316">
        <v>0</v>
      </c>
      <c r="N155" s="316">
        <v>0</v>
      </c>
      <c r="O155" s="316">
        <v>0</v>
      </c>
      <c r="P155" s="316">
        <v>0</v>
      </c>
      <c r="Q155" s="316">
        <v>0</v>
      </c>
      <c r="R155" s="316">
        <v>0</v>
      </c>
      <c r="S155" s="316">
        <v>1</v>
      </c>
      <c r="T155" s="316">
        <v>1</v>
      </c>
      <c r="U155" s="316">
        <v>1</v>
      </c>
      <c r="V155" s="316">
        <v>1</v>
      </c>
      <c r="W155" s="316">
        <v>1</v>
      </c>
      <c r="X155" s="316">
        <v>1</v>
      </c>
      <c r="Y155" s="316">
        <v>1</v>
      </c>
      <c r="Z155" s="316">
        <v>1</v>
      </c>
      <c r="AA155" s="316">
        <v>1</v>
      </c>
      <c r="AB155" s="316">
        <v>1</v>
      </c>
      <c r="AC155" s="316">
        <v>1</v>
      </c>
      <c r="AD155" s="316">
        <v>1</v>
      </c>
      <c r="AE155" s="316">
        <v>1</v>
      </c>
      <c r="AF155" s="316">
        <v>1</v>
      </c>
      <c r="AG155" s="316">
        <v>1</v>
      </c>
      <c r="AH155" s="316">
        <v>1</v>
      </c>
      <c r="AI155" s="316">
        <v>1</v>
      </c>
      <c r="AJ155" s="316">
        <v>1</v>
      </c>
      <c r="AK155" s="316">
        <v>1</v>
      </c>
      <c r="AL155" s="316">
        <v>1</v>
      </c>
      <c r="AM155" s="316">
        <v>1</v>
      </c>
      <c r="AN155" s="316">
        <v>1</v>
      </c>
      <c r="AO155" s="316">
        <v>1</v>
      </c>
      <c r="AP155" s="316">
        <v>1</v>
      </c>
      <c r="AQ155" s="316">
        <v>1</v>
      </c>
      <c r="AR155" s="316">
        <v>1</v>
      </c>
      <c r="AS155" s="316">
        <v>1</v>
      </c>
      <c r="AT155" s="316">
        <v>1</v>
      </c>
    </row>
    <row r="156" spans="2:46" ht="12.75" hidden="1" customHeight="1" x14ac:dyDescent="0.15">
      <c r="B156" s="312">
        <v>5044</v>
      </c>
      <c r="C156" s="313" t="s">
        <v>256</v>
      </c>
      <c r="D156" s="313" t="s">
        <v>101</v>
      </c>
      <c r="E156" s="313" t="s">
        <v>1831</v>
      </c>
      <c r="F156" s="313" t="s">
        <v>1305</v>
      </c>
      <c r="G156" s="315" t="e">
        <f>_xlfn.XLOOKUP(B156,'WFP Details - 2026'!A:A,'WFP Details - 2026'!Z:Z)</f>
        <v>#N/A</v>
      </c>
      <c r="H156" s="314">
        <v>46461</v>
      </c>
      <c r="I156" s="315">
        <v>3</v>
      </c>
      <c r="J156" s="315">
        <v>2027</v>
      </c>
      <c r="K156" s="316">
        <v>0</v>
      </c>
      <c r="L156" s="316">
        <v>0</v>
      </c>
      <c r="M156" s="316">
        <v>0</v>
      </c>
      <c r="N156" s="316">
        <v>0</v>
      </c>
      <c r="O156" s="316">
        <v>0</v>
      </c>
      <c r="P156" s="316">
        <v>0</v>
      </c>
      <c r="Q156" s="316">
        <v>0</v>
      </c>
      <c r="R156" s="316">
        <v>0</v>
      </c>
      <c r="S156" s="316">
        <v>0</v>
      </c>
      <c r="T156" s="316">
        <v>0</v>
      </c>
      <c r="U156" s="316">
        <v>0</v>
      </c>
      <c r="V156" s="316">
        <v>0</v>
      </c>
      <c r="W156" s="316">
        <v>0</v>
      </c>
      <c r="X156" s="316">
        <v>0</v>
      </c>
      <c r="Y156" s="316">
        <v>1</v>
      </c>
      <c r="Z156" s="316">
        <v>1</v>
      </c>
      <c r="AA156" s="316">
        <v>1</v>
      </c>
      <c r="AB156" s="316">
        <v>1</v>
      </c>
      <c r="AC156" s="316">
        <v>1</v>
      </c>
      <c r="AD156" s="316">
        <v>1</v>
      </c>
      <c r="AE156" s="316">
        <v>1</v>
      </c>
      <c r="AF156" s="316">
        <v>1</v>
      </c>
      <c r="AG156" s="316">
        <v>1</v>
      </c>
      <c r="AH156" s="316">
        <v>1</v>
      </c>
      <c r="AI156" s="316">
        <v>1</v>
      </c>
      <c r="AJ156" s="316">
        <v>1</v>
      </c>
      <c r="AK156" s="316">
        <v>1</v>
      </c>
      <c r="AL156" s="316">
        <v>1</v>
      </c>
      <c r="AM156" s="316">
        <v>1</v>
      </c>
      <c r="AN156" s="316">
        <v>1</v>
      </c>
      <c r="AO156" s="316">
        <v>1</v>
      </c>
      <c r="AP156" s="316">
        <v>1</v>
      </c>
      <c r="AQ156" s="316">
        <v>1</v>
      </c>
      <c r="AR156" s="316">
        <v>1</v>
      </c>
      <c r="AS156" s="316">
        <v>1</v>
      </c>
      <c r="AT156" s="316">
        <v>1</v>
      </c>
    </row>
    <row r="157" spans="2:46" ht="12.75" hidden="1" customHeight="1" x14ac:dyDescent="0.15">
      <c r="B157" s="315">
        <v>5038</v>
      </c>
      <c r="C157" s="319" t="s">
        <v>256</v>
      </c>
      <c r="D157" s="313" t="s">
        <v>101</v>
      </c>
      <c r="E157" s="313" t="s">
        <v>1805</v>
      </c>
      <c r="F157" s="319" t="s">
        <v>1462</v>
      </c>
      <c r="G157" s="315" t="e">
        <f>_xlfn.XLOOKUP(B157,'WFP Details - 2026'!A:A,'WFP Details - 2026'!Z:Z)</f>
        <v>#N/A</v>
      </c>
      <c r="H157" s="314">
        <v>46553</v>
      </c>
      <c r="I157" s="315">
        <v>6</v>
      </c>
      <c r="J157" s="315">
        <v>2027</v>
      </c>
      <c r="K157" s="316">
        <v>0</v>
      </c>
      <c r="L157" s="316">
        <v>0</v>
      </c>
      <c r="M157" s="316">
        <v>0</v>
      </c>
      <c r="N157" s="316">
        <v>0</v>
      </c>
      <c r="O157" s="316">
        <v>0</v>
      </c>
      <c r="P157" s="316">
        <v>0</v>
      </c>
      <c r="Q157" s="316">
        <v>0</v>
      </c>
      <c r="R157" s="316">
        <v>0</v>
      </c>
      <c r="S157" s="316">
        <v>0</v>
      </c>
      <c r="T157" s="316">
        <v>0</v>
      </c>
      <c r="U157" s="316">
        <v>0</v>
      </c>
      <c r="V157" s="316">
        <v>0</v>
      </c>
      <c r="W157" s="316">
        <v>0</v>
      </c>
      <c r="X157" s="316">
        <v>0</v>
      </c>
      <c r="Y157" s="316">
        <v>0</v>
      </c>
      <c r="Z157" s="316">
        <v>0</v>
      </c>
      <c r="AA157" s="316">
        <v>0</v>
      </c>
      <c r="AB157" s="316">
        <v>1</v>
      </c>
      <c r="AC157" s="316">
        <v>1</v>
      </c>
      <c r="AD157" s="316">
        <v>1</v>
      </c>
      <c r="AE157" s="316">
        <v>1</v>
      </c>
      <c r="AF157" s="316">
        <v>1</v>
      </c>
      <c r="AG157" s="316">
        <v>1</v>
      </c>
      <c r="AH157" s="316">
        <v>1</v>
      </c>
      <c r="AI157" s="316">
        <v>1</v>
      </c>
      <c r="AJ157" s="316">
        <v>1</v>
      </c>
      <c r="AK157" s="316">
        <v>1</v>
      </c>
      <c r="AL157" s="316">
        <v>1</v>
      </c>
      <c r="AM157" s="316">
        <v>1</v>
      </c>
      <c r="AN157" s="316">
        <v>1</v>
      </c>
      <c r="AO157" s="316">
        <v>1</v>
      </c>
      <c r="AP157" s="316">
        <v>1</v>
      </c>
      <c r="AQ157" s="316">
        <v>1</v>
      </c>
      <c r="AR157" s="316">
        <v>1</v>
      </c>
      <c r="AS157" s="316">
        <v>1</v>
      </c>
      <c r="AT157" s="316">
        <v>1</v>
      </c>
    </row>
    <row r="158" spans="2:46" ht="12.75" hidden="1" customHeight="1" x14ac:dyDescent="0.15">
      <c r="B158" s="315">
        <v>5035</v>
      </c>
      <c r="C158" s="319" t="s">
        <v>256</v>
      </c>
      <c r="D158" s="313" t="s">
        <v>101</v>
      </c>
      <c r="E158" s="313" t="s">
        <v>1795</v>
      </c>
      <c r="F158" s="319" t="s">
        <v>273</v>
      </c>
      <c r="G158" s="315" t="e">
        <f>_xlfn.XLOOKUP(B158,'WFP Details - 2026'!A:A,'WFP Details - 2026'!Z:Z)</f>
        <v>#N/A</v>
      </c>
      <c r="H158" s="314">
        <v>46645</v>
      </c>
      <c r="I158" s="315">
        <v>9</v>
      </c>
      <c r="J158" s="315">
        <v>2027</v>
      </c>
      <c r="K158" s="316">
        <v>0</v>
      </c>
      <c r="L158" s="316">
        <v>0</v>
      </c>
      <c r="M158" s="316">
        <v>0</v>
      </c>
      <c r="N158" s="316">
        <v>0</v>
      </c>
      <c r="O158" s="316">
        <v>0</v>
      </c>
      <c r="P158" s="316">
        <v>0</v>
      </c>
      <c r="Q158" s="316">
        <v>0</v>
      </c>
      <c r="R158" s="316">
        <v>0</v>
      </c>
      <c r="S158" s="316">
        <v>0</v>
      </c>
      <c r="T158" s="316">
        <v>0</v>
      </c>
      <c r="U158" s="316">
        <v>0</v>
      </c>
      <c r="V158" s="316">
        <v>0</v>
      </c>
      <c r="W158" s="316">
        <v>0</v>
      </c>
      <c r="X158" s="316">
        <v>0</v>
      </c>
      <c r="Y158" s="316">
        <v>0</v>
      </c>
      <c r="Z158" s="316">
        <v>0</v>
      </c>
      <c r="AA158" s="316">
        <v>0</v>
      </c>
      <c r="AB158" s="316">
        <v>0</v>
      </c>
      <c r="AC158" s="316">
        <v>0</v>
      </c>
      <c r="AD158" s="316">
        <v>0</v>
      </c>
      <c r="AE158" s="316">
        <v>1</v>
      </c>
      <c r="AF158" s="316">
        <v>1</v>
      </c>
      <c r="AG158" s="316">
        <v>1</v>
      </c>
      <c r="AH158" s="316">
        <v>1</v>
      </c>
      <c r="AI158" s="316">
        <v>1</v>
      </c>
      <c r="AJ158" s="316">
        <v>1</v>
      </c>
      <c r="AK158" s="316">
        <v>1</v>
      </c>
      <c r="AL158" s="316">
        <v>1</v>
      </c>
      <c r="AM158" s="316">
        <v>1</v>
      </c>
      <c r="AN158" s="316">
        <v>1</v>
      </c>
      <c r="AO158" s="316">
        <v>1</v>
      </c>
      <c r="AP158" s="316">
        <v>1</v>
      </c>
      <c r="AQ158" s="316">
        <v>1</v>
      </c>
      <c r="AR158" s="316">
        <v>1</v>
      </c>
      <c r="AS158" s="316">
        <v>1</v>
      </c>
      <c r="AT158" s="316">
        <v>1</v>
      </c>
    </row>
    <row r="159" spans="2:46" ht="12.75" hidden="1" customHeight="1" x14ac:dyDescent="0.15">
      <c r="B159" s="315">
        <v>5037</v>
      </c>
      <c r="C159" s="319" t="s">
        <v>256</v>
      </c>
      <c r="D159" s="313" t="s">
        <v>101</v>
      </c>
      <c r="E159" s="313" t="s">
        <v>1805</v>
      </c>
      <c r="F159" s="319" t="s">
        <v>1462</v>
      </c>
      <c r="G159" s="315" t="e">
        <f>_xlfn.XLOOKUP(B159,'WFP Details - 2026'!A:A,'WFP Details - 2026'!Z:Z)</f>
        <v>#N/A</v>
      </c>
      <c r="H159" s="314">
        <v>46645</v>
      </c>
      <c r="I159" s="315">
        <v>9</v>
      </c>
      <c r="J159" s="315">
        <v>2027</v>
      </c>
      <c r="K159" s="316">
        <v>0</v>
      </c>
      <c r="L159" s="316">
        <v>0</v>
      </c>
      <c r="M159" s="316">
        <v>0</v>
      </c>
      <c r="N159" s="316">
        <v>0</v>
      </c>
      <c r="O159" s="316">
        <v>0</v>
      </c>
      <c r="P159" s="316">
        <v>0</v>
      </c>
      <c r="Q159" s="316">
        <v>0</v>
      </c>
      <c r="R159" s="316">
        <v>0</v>
      </c>
      <c r="S159" s="316">
        <v>0</v>
      </c>
      <c r="T159" s="316">
        <v>0</v>
      </c>
      <c r="U159" s="316">
        <v>0</v>
      </c>
      <c r="V159" s="316">
        <v>0</v>
      </c>
      <c r="W159" s="316">
        <v>0</v>
      </c>
      <c r="X159" s="316">
        <v>0</v>
      </c>
      <c r="Y159" s="316">
        <v>0</v>
      </c>
      <c r="Z159" s="316">
        <v>0</v>
      </c>
      <c r="AA159" s="316">
        <v>0</v>
      </c>
      <c r="AB159" s="316">
        <v>0</v>
      </c>
      <c r="AC159" s="316">
        <v>0</v>
      </c>
      <c r="AD159" s="316">
        <v>0</v>
      </c>
      <c r="AE159" s="316">
        <v>1</v>
      </c>
      <c r="AF159" s="316">
        <v>1</v>
      </c>
      <c r="AG159" s="316">
        <v>1</v>
      </c>
      <c r="AH159" s="316">
        <v>1</v>
      </c>
      <c r="AI159" s="316">
        <v>1</v>
      </c>
      <c r="AJ159" s="316">
        <v>1</v>
      </c>
      <c r="AK159" s="316">
        <v>1</v>
      </c>
      <c r="AL159" s="316">
        <v>1</v>
      </c>
      <c r="AM159" s="316">
        <v>1</v>
      </c>
      <c r="AN159" s="316">
        <v>1</v>
      </c>
      <c r="AO159" s="316">
        <v>1</v>
      </c>
      <c r="AP159" s="316">
        <v>1</v>
      </c>
      <c r="AQ159" s="316">
        <v>1</v>
      </c>
      <c r="AR159" s="316">
        <v>1</v>
      </c>
      <c r="AS159" s="316">
        <v>1</v>
      </c>
      <c r="AT159" s="316">
        <v>1</v>
      </c>
    </row>
    <row r="160" spans="2:46" ht="12.75" hidden="1" customHeight="1" x14ac:dyDescent="0.15">
      <c r="B160" s="315">
        <v>5039</v>
      </c>
      <c r="C160" s="319" t="s">
        <v>256</v>
      </c>
      <c r="D160" s="313" t="s">
        <v>101</v>
      </c>
      <c r="E160" s="313" t="s">
        <v>1805</v>
      </c>
      <c r="F160" s="319" t="s">
        <v>1462</v>
      </c>
      <c r="G160" s="315" t="e">
        <f>_xlfn.XLOOKUP(B160,'WFP Details - 2026'!A:A,'WFP Details - 2026'!Z:Z)</f>
        <v>#N/A</v>
      </c>
      <c r="H160" s="314">
        <v>46645</v>
      </c>
      <c r="I160" s="315">
        <v>9</v>
      </c>
      <c r="J160" s="315">
        <v>2027</v>
      </c>
      <c r="K160" s="316">
        <v>0</v>
      </c>
      <c r="L160" s="316">
        <v>0</v>
      </c>
      <c r="M160" s="316">
        <v>0</v>
      </c>
      <c r="N160" s="316">
        <v>0</v>
      </c>
      <c r="O160" s="316">
        <v>0</v>
      </c>
      <c r="P160" s="316">
        <v>0</v>
      </c>
      <c r="Q160" s="316">
        <v>0</v>
      </c>
      <c r="R160" s="316">
        <v>0</v>
      </c>
      <c r="S160" s="316">
        <v>0</v>
      </c>
      <c r="T160" s="316">
        <v>0</v>
      </c>
      <c r="U160" s="316">
        <v>0</v>
      </c>
      <c r="V160" s="316">
        <v>0</v>
      </c>
      <c r="W160" s="316">
        <v>0</v>
      </c>
      <c r="X160" s="316">
        <v>0</v>
      </c>
      <c r="Y160" s="316">
        <v>0</v>
      </c>
      <c r="Z160" s="316">
        <v>0</v>
      </c>
      <c r="AA160" s="316">
        <v>0</v>
      </c>
      <c r="AB160" s="316">
        <v>0</v>
      </c>
      <c r="AC160" s="316">
        <v>0</v>
      </c>
      <c r="AD160" s="316">
        <v>0</v>
      </c>
      <c r="AE160" s="316">
        <v>1</v>
      </c>
      <c r="AF160" s="316">
        <v>1</v>
      </c>
      <c r="AG160" s="316">
        <v>1</v>
      </c>
      <c r="AH160" s="316">
        <v>1</v>
      </c>
      <c r="AI160" s="316">
        <v>1</v>
      </c>
      <c r="AJ160" s="316">
        <v>1</v>
      </c>
      <c r="AK160" s="316">
        <v>1</v>
      </c>
      <c r="AL160" s="316">
        <v>1</v>
      </c>
      <c r="AM160" s="316">
        <v>1</v>
      </c>
      <c r="AN160" s="316">
        <v>1</v>
      </c>
      <c r="AO160" s="316">
        <v>1</v>
      </c>
      <c r="AP160" s="316">
        <v>1</v>
      </c>
      <c r="AQ160" s="316">
        <v>1</v>
      </c>
      <c r="AR160" s="316">
        <v>1</v>
      </c>
      <c r="AS160" s="316">
        <v>1</v>
      </c>
      <c r="AT160" s="316">
        <v>1</v>
      </c>
    </row>
    <row r="161" spans="2:46" ht="12.75" hidden="1" customHeight="1" x14ac:dyDescent="0.15">
      <c r="B161" s="315">
        <v>5040</v>
      </c>
      <c r="C161" s="319" t="s">
        <v>256</v>
      </c>
      <c r="D161" s="313" t="s">
        <v>101</v>
      </c>
      <c r="E161" s="313" t="s">
        <v>1805</v>
      </c>
      <c r="F161" s="319" t="s">
        <v>1498</v>
      </c>
      <c r="G161" s="315" t="e">
        <f>_xlfn.XLOOKUP(B161,'WFP Details - 2026'!A:A,'WFP Details - 2026'!Z:Z)</f>
        <v>#N/A</v>
      </c>
      <c r="H161" s="314">
        <v>46645</v>
      </c>
      <c r="I161" s="315">
        <v>9</v>
      </c>
      <c r="J161" s="315">
        <v>2027</v>
      </c>
      <c r="K161" s="316">
        <v>0</v>
      </c>
      <c r="L161" s="316">
        <v>0</v>
      </c>
      <c r="M161" s="316">
        <v>0</v>
      </c>
      <c r="N161" s="316">
        <v>0</v>
      </c>
      <c r="O161" s="316">
        <v>0</v>
      </c>
      <c r="P161" s="316">
        <v>0</v>
      </c>
      <c r="Q161" s="316">
        <v>0</v>
      </c>
      <c r="R161" s="316">
        <v>0</v>
      </c>
      <c r="S161" s="316">
        <v>0</v>
      </c>
      <c r="T161" s="316">
        <v>0</v>
      </c>
      <c r="U161" s="316">
        <v>0</v>
      </c>
      <c r="V161" s="316">
        <v>0</v>
      </c>
      <c r="W161" s="316">
        <v>0</v>
      </c>
      <c r="X161" s="316">
        <v>0</v>
      </c>
      <c r="Y161" s="316">
        <v>0</v>
      </c>
      <c r="Z161" s="316">
        <v>0</v>
      </c>
      <c r="AA161" s="316">
        <v>0</v>
      </c>
      <c r="AB161" s="316">
        <v>0</v>
      </c>
      <c r="AC161" s="316">
        <v>0</v>
      </c>
      <c r="AD161" s="316">
        <v>0</v>
      </c>
      <c r="AE161" s="316">
        <v>1</v>
      </c>
      <c r="AF161" s="316">
        <v>1</v>
      </c>
      <c r="AG161" s="316">
        <v>1</v>
      </c>
      <c r="AH161" s="316">
        <v>1</v>
      </c>
      <c r="AI161" s="316">
        <v>1</v>
      </c>
      <c r="AJ161" s="316">
        <v>1</v>
      </c>
      <c r="AK161" s="316">
        <v>1</v>
      </c>
      <c r="AL161" s="316">
        <v>1</v>
      </c>
      <c r="AM161" s="316">
        <v>1</v>
      </c>
      <c r="AN161" s="316">
        <v>1</v>
      </c>
      <c r="AO161" s="316">
        <v>1</v>
      </c>
      <c r="AP161" s="316">
        <v>1</v>
      </c>
      <c r="AQ161" s="316">
        <v>1</v>
      </c>
      <c r="AR161" s="316">
        <v>1</v>
      </c>
      <c r="AS161" s="316">
        <v>1</v>
      </c>
      <c r="AT161" s="316">
        <v>1</v>
      </c>
    </row>
    <row r="162" spans="2:46" ht="12.75" hidden="1" customHeight="1" x14ac:dyDescent="0.15">
      <c r="B162" s="315">
        <v>5041</v>
      </c>
      <c r="C162" s="319" t="s">
        <v>256</v>
      </c>
      <c r="D162" s="313" t="s">
        <v>101</v>
      </c>
      <c r="E162" s="313" t="s">
        <v>1805</v>
      </c>
      <c r="F162" s="319" t="s">
        <v>1498</v>
      </c>
      <c r="G162" s="315" t="e">
        <f>_xlfn.XLOOKUP(B162,'WFP Details - 2026'!A:A,'WFP Details - 2026'!Z:Z)</f>
        <v>#N/A</v>
      </c>
      <c r="H162" s="314">
        <v>46645</v>
      </c>
      <c r="I162" s="315">
        <v>9</v>
      </c>
      <c r="J162" s="315">
        <v>2027</v>
      </c>
      <c r="K162" s="316">
        <v>0</v>
      </c>
      <c r="L162" s="316">
        <v>0</v>
      </c>
      <c r="M162" s="316">
        <v>0</v>
      </c>
      <c r="N162" s="316">
        <v>0</v>
      </c>
      <c r="O162" s="316">
        <v>0</v>
      </c>
      <c r="P162" s="316">
        <v>0</v>
      </c>
      <c r="Q162" s="316">
        <v>0</v>
      </c>
      <c r="R162" s="316">
        <v>0</v>
      </c>
      <c r="S162" s="316">
        <v>0</v>
      </c>
      <c r="T162" s="316">
        <v>0</v>
      </c>
      <c r="U162" s="316">
        <v>0</v>
      </c>
      <c r="V162" s="316">
        <v>0</v>
      </c>
      <c r="W162" s="316">
        <v>0</v>
      </c>
      <c r="X162" s="316">
        <v>0</v>
      </c>
      <c r="Y162" s="316">
        <v>0</v>
      </c>
      <c r="Z162" s="316">
        <v>0</v>
      </c>
      <c r="AA162" s="316">
        <v>0</v>
      </c>
      <c r="AB162" s="316">
        <v>0</v>
      </c>
      <c r="AC162" s="316">
        <v>0</v>
      </c>
      <c r="AD162" s="316">
        <v>0</v>
      </c>
      <c r="AE162" s="316">
        <v>1</v>
      </c>
      <c r="AF162" s="316">
        <v>1</v>
      </c>
      <c r="AG162" s="316">
        <v>1</v>
      </c>
      <c r="AH162" s="316">
        <v>1</v>
      </c>
      <c r="AI162" s="316">
        <v>1</v>
      </c>
      <c r="AJ162" s="316">
        <v>1</v>
      </c>
      <c r="AK162" s="316">
        <v>1</v>
      </c>
      <c r="AL162" s="316">
        <v>1</v>
      </c>
      <c r="AM162" s="316">
        <v>1</v>
      </c>
      <c r="AN162" s="316">
        <v>1</v>
      </c>
      <c r="AO162" s="316">
        <v>1</v>
      </c>
      <c r="AP162" s="316">
        <v>1</v>
      </c>
      <c r="AQ162" s="316">
        <v>1</v>
      </c>
      <c r="AR162" s="316">
        <v>1</v>
      </c>
      <c r="AS162" s="316">
        <v>1</v>
      </c>
      <c r="AT162" s="316">
        <v>1</v>
      </c>
    </row>
    <row r="163" spans="2:46" ht="12.75" hidden="1" customHeight="1" x14ac:dyDescent="0.15">
      <c r="B163" s="318">
        <v>5042</v>
      </c>
      <c r="C163" s="313" t="s">
        <v>256</v>
      </c>
      <c r="D163" s="313" t="s">
        <v>101</v>
      </c>
      <c r="E163" s="313" t="s">
        <v>1831</v>
      </c>
      <c r="F163" s="313" t="s">
        <v>1506</v>
      </c>
      <c r="G163" s="315" t="e">
        <f>_xlfn.XLOOKUP(B163,'WFP Details - 2026'!A:A,'WFP Details - 2026'!Z:Z)</f>
        <v>#N/A</v>
      </c>
      <c r="H163" s="314">
        <v>46645</v>
      </c>
      <c r="I163" s="315">
        <v>9</v>
      </c>
      <c r="J163" s="315">
        <v>2027</v>
      </c>
      <c r="K163" s="316">
        <v>0</v>
      </c>
      <c r="L163" s="316">
        <v>0</v>
      </c>
      <c r="M163" s="316">
        <v>0</v>
      </c>
      <c r="N163" s="316">
        <v>0</v>
      </c>
      <c r="O163" s="316">
        <v>0</v>
      </c>
      <c r="P163" s="316">
        <v>0</v>
      </c>
      <c r="Q163" s="316">
        <v>0</v>
      </c>
      <c r="R163" s="316">
        <v>0</v>
      </c>
      <c r="S163" s="316">
        <v>0</v>
      </c>
      <c r="T163" s="316">
        <v>0</v>
      </c>
      <c r="U163" s="316">
        <v>0</v>
      </c>
      <c r="V163" s="316">
        <v>0</v>
      </c>
      <c r="W163" s="316">
        <v>0</v>
      </c>
      <c r="X163" s="316">
        <v>0</v>
      </c>
      <c r="Y163" s="316">
        <v>0</v>
      </c>
      <c r="Z163" s="316">
        <v>0</v>
      </c>
      <c r="AA163" s="316">
        <v>0</v>
      </c>
      <c r="AB163" s="316">
        <v>0</v>
      </c>
      <c r="AC163" s="316">
        <v>0</v>
      </c>
      <c r="AD163" s="316">
        <v>0</v>
      </c>
      <c r="AE163" s="316">
        <v>1</v>
      </c>
      <c r="AF163" s="316">
        <v>1</v>
      </c>
      <c r="AG163" s="316">
        <v>1</v>
      </c>
      <c r="AH163" s="316">
        <v>1</v>
      </c>
      <c r="AI163" s="316">
        <v>1</v>
      </c>
      <c r="AJ163" s="316">
        <v>1</v>
      </c>
      <c r="AK163" s="316">
        <v>1</v>
      </c>
      <c r="AL163" s="316">
        <v>1</v>
      </c>
      <c r="AM163" s="316">
        <v>1</v>
      </c>
      <c r="AN163" s="316">
        <v>1</v>
      </c>
      <c r="AO163" s="316">
        <v>1</v>
      </c>
      <c r="AP163" s="316">
        <v>1</v>
      </c>
      <c r="AQ163" s="316">
        <v>1</v>
      </c>
      <c r="AR163" s="316">
        <v>1</v>
      </c>
      <c r="AS163" s="316">
        <v>1</v>
      </c>
      <c r="AT163" s="316">
        <v>1</v>
      </c>
    </row>
    <row r="164" spans="2:46" ht="12.75" hidden="1" customHeight="1" x14ac:dyDescent="0.15">
      <c r="B164" s="318">
        <v>5043</v>
      </c>
      <c r="C164" s="313" t="s">
        <v>256</v>
      </c>
      <c r="D164" s="313" t="s">
        <v>101</v>
      </c>
      <c r="E164" s="313" t="s">
        <v>1805</v>
      </c>
      <c r="F164" s="313" t="s">
        <v>1510</v>
      </c>
      <c r="G164" s="315" t="e">
        <f>_xlfn.XLOOKUP(B164,'WFP Details - 2026'!A:A,'WFP Details - 2026'!Z:Z)</f>
        <v>#N/A</v>
      </c>
      <c r="H164" s="314">
        <v>46645</v>
      </c>
      <c r="I164" s="315">
        <v>9</v>
      </c>
      <c r="J164" s="315">
        <v>2027</v>
      </c>
      <c r="K164" s="316">
        <v>0</v>
      </c>
      <c r="L164" s="316">
        <v>0</v>
      </c>
      <c r="M164" s="316">
        <v>0</v>
      </c>
      <c r="N164" s="316">
        <v>0</v>
      </c>
      <c r="O164" s="316">
        <v>0</v>
      </c>
      <c r="P164" s="316">
        <v>0</v>
      </c>
      <c r="Q164" s="316">
        <v>0</v>
      </c>
      <c r="R164" s="316">
        <v>0</v>
      </c>
      <c r="S164" s="316">
        <v>0</v>
      </c>
      <c r="T164" s="316">
        <v>0</v>
      </c>
      <c r="U164" s="316">
        <v>0</v>
      </c>
      <c r="V164" s="316">
        <v>0</v>
      </c>
      <c r="W164" s="316">
        <v>0</v>
      </c>
      <c r="X164" s="316">
        <v>0</v>
      </c>
      <c r="Y164" s="316">
        <v>0</v>
      </c>
      <c r="Z164" s="316">
        <v>0</v>
      </c>
      <c r="AA164" s="316">
        <v>0</v>
      </c>
      <c r="AB164" s="316">
        <v>0</v>
      </c>
      <c r="AC164" s="316">
        <v>0</v>
      </c>
      <c r="AD164" s="316">
        <v>0</v>
      </c>
      <c r="AE164" s="316">
        <v>1</v>
      </c>
      <c r="AF164" s="316">
        <v>1</v>
      </c>
      <c r="AG164" s="316">
        <v>1</v>
      </c>
      <c r="AH164" s="316">
        <v>1</v>
      </c>
      <c r="AI164" s="316">
        <v>1</v>
      </c>
      <c r="AJ164" s="316">
        <v>1</v>
      </c>
      <c r="AK164" s="316">
        <v>1</v>
      </c>
      <c r="AL164" s="316">
        <v>1</v>
      </c>
      <c r="AM164" s="316">
        <v>1</v>
      </c>
      <c r="AN164" s="316">
        <v>1</v>
      </c>
      <c r="AO164" s="316">
        <v>1</v>
      </c>
      <c r="AP164" s="316">
        <v>1</v>
      </c>
      <c r="AQ164" s="316">
        <v>1</v>
      </c>
      <c r="AR164" s="316">
        <v>1</v>
      </c>
      <c r="AS164" s="316">
        <v>1</v>
      </c>
      <c r="AT164" s="316">
        <v>1</v>
      </c>
    </row>
    <row r="165" spans="2:46" ht="12.75" customHeight="1" x14ac:dyDescent="0.15">
      <c r="B165" s="312">
        <v>1233</v>
      </c>
      <c r="C165" s="313" t="s">
        <v>291</v>
      </c>
      <c r="D165" s="313" t="s">
        <v>676</v>
      </c>
      <c r="E165" s="319" t="s">
        <v>1792</v>
      </c>
      <c r="F165" s="319" t="s">
        <v>1838</v>
      </c>
      <c r="G165" s="315" t="str">
        <f>_xlfn.XLOOKUP(B165,'WFP Details - 2026'!A:A,'WFP Details - 2026'!Z:Z)</f>
        <v>x</v>
      </c>
      <c r="H165" s="314">
        <v>45678</v>
      </c>
      <c r="I165" s="315">
        <v>1</v>
      </c>
      <c r="J165" s="315">
        <v>2025</v>
      </c>
      <c r="K165" s="316">
        <v>1</v>
      </c>
      <c r="L165" s="316">
        <v>1</v>
      </c>
      <c r="M165" s="316">
        <v>1</v>
      </c>
      <c r="N165" s="316">
        <v>1</v>
      </c>
      <c r="O165" s="316">
        <v>1</v>
      </c>
      <c r="P165" s="316">
        <v>1</v>
      </c>
      <c r="Q165" s="316">
        <v>1</v>
      </c>
      <c r="R165" s="316">
        <v>1</v>
      </c>
      <c r="S165" s="316">
        <v>1</v>
      </c>
      <c r="T165" s="316">
        <v>1</v>
      </c>
      <c r="U165" s="316">
        <v>1</v>
      </c>
      <c r="V165" s="316">
        <v>1</v>
      </c>
      <c r="W165" s="316">
        <v>1</v>
      </c>
      <c r="X165" s="316">
        <v>1</v>
      </c>
      <c r="Y165" s="316">
        <v>1</v>
      </c>
      <c r="Z165" s="316">
        <v>1</v>
      </c>
      <c r="AA165" s="316">
        <v>1</v>
      </c>
      <c r="AB165" s="316">
        <v>1</v>
      </c>
      <c r="AC165" s="316">
        <v>1</v>
      </c>
      <c r="AD165" s="316">
        <v>1</v>
      </c>
      <c r="AE165" s="316">
        <v>1</v>
      </c>
      <c r="AF165" s="316">
        <v>1</v>
      </c>
      <c r="AG165" s="316">
        <v>1</v>
      </c>
      <c r="AH165" s="316">
        <v>1</v>
      </c>
      <c r="AI165" s="316">
        <v>1</v>
      </c>
      <c r="AJ165" s="316">
        <v>1</v>
      </c>
      <c r="AK165" s="316">
        <v>1</v>
      </c>
      <c r="AL165" s="316">
        <v>1</v>
      </c>
      <c r="AM165" s="316">
        <v>1</v>
      </c>
      <c r="AN165" s="316">
        <v>1</v>
      </c>
      <c r="AO165" s="316">
        <v>1</v>
      </c>
      <c r="AP165" s="316">
        <v>1</v>
      </c>
      <c r="AQ165" s="316">
        <v>1</v>
      </c>
      <c r="AR165" s="316">
        <v>1</v>
      </c>
      <c r="AS165" s="316">
        <v>1</v>
      </c>
      <c r="AT165" s="316">
        <v>1</v>
      </c>
    </row>
    <row r="166" spans="2:46" ht="12.75" customHeight="1" x14ac:dyDescent="0.15">
      <c r="B166" s="317">
        <v>1049</v>
      </c>
      <c r="C166" s="313" t="s">
        <v>291</v>
      </c>
      <c r="D166" s="313" t="s">
        <v>144</v>
      </c>
      <c r="E166" s="319" t="s">
        <v>1792</v>
      </c>
      <c r="F166" s="319" t="s">
        <v>1838</v>
      </c>
      <c r="G166" s="315" t="str">
        <f>_xlfn.XLOOKUP(B166,'WFP Details - 2026'!A:A,'WFP Details - 2026'!Z:Z)</f>
        <v>x</v>
      </c>
      <c r="H166" s="314">
        <v>45698</v>
      </c>
      <c r="I166" s="315">
        <v>2</v>
      </c>
      <c r="J166" s="315">
        <v>2025</v>
      </c>
      <c r="K166" s="316">
        <v>1</v>
      </c>
      <c r="L166" s="316">
        <v>1</v>
      </c>
      <c r="M166" s="316">
        <v>1</v>
      </c>
      <c r="N166" s="316">
        <v>1</v>
      </c>
      <c r="O166" s="316">
        <v>1</v>
      </c>
      <c r="P166" s="316">
        <v>1</v>
      </c>
      <c r="Q166" s="316">
        <v>1</v>
      </c>
      <c r="R166" s="316">
        <v>1</v>
      </c>
      <c r="S166" s="316">
        <v>1</v>
      </c>
      <c r="T166" s="316">
        <v>1</v>
      </c>
      <c r="U166" s="316">
        <v>1</v>
      </c>
      <c r="V166" s="316">
        <v>1</v>
      </c>
      <c r="W166" s="316">
        <v>1</v>
      </c>
      <c r="X166" s="316">
        <v>1</v>
      </c>
      <c r="Y166" s="316">
        <v>1</v>
      </c>
      <c r="Z166" s="316">
        <v>1</v>
      </c>
      <c r="AA166" s="316">
        <v>1</v>
      </c>
      <c r="AB166" s="316">
        <v>1</v>
      </c>
      <c r="AC166" s="316">
        <v>1</v>
      </c>
      <c r="AD166" s="316">
        <v>1</v>
      </c>
      <c r="AE166" s="316">
        <v>1</v>
      </c>
      <c r="AF166" s="316">
        <v>1</v>
      </c>
      <c r="AG166" s="316">
        <v>1</v>
      </c>
      <c r="AH166" s="316">
        <v>1</v>
      </c>
      <c r="AI166" s="316">
        <v>1</v>
      </c>
      <c r="AJ166" s="316">
        <v>1</v>
      </c>
      <c r="AK166" s="316">
        <v>1</v>
      </c>
      <c r="AL166" s="316">
        <v>1</v>
      </c>
      <c r="AM166" s="316">
        <v>1</v>
      </c>
      <c r="AN166" s="316">
        <v>1</v>
      </c>
      <c r="AO166" s="316">
        <v>1</v>
      </c>
      <c r="AP166" s="316">
        <v>1</v>
      </c>
      <c r="AQ166" s="316">
        <v>1</v>
      </c>
      <c r="AR166" s="316">
        <v>1</v>
      </c>
      <c r="AS166" s="316">
        <v>1</v>
      </c>
      <c r="AT166" s="316">
        <v>1</v>
      </c>
    </row>
    <row r="167" spans="2:46" ht="12.75" customHeight="1" x14ac:dyDescent="0.15">
      <c r="B167" s="318">
        <v>1047</v>
      </c>
      <c r="C167" s="313" t="s">
        <v>303</v>
      </c>
      <c r="D167" s="313" t="s">
        <v>307</v>
      </c>
      <c r="E167" s="319" t="s">
        <v>1817</v>
      </c>
      <c r="F167" s="319" t="s">
        <v>304</v>
      </c>
      <c r="G167" s="315" t="str">
        <f>_xlfn.XLOOKUP(B167,'WFP Details - 2026'!A:A,'WFP Details - 2026'!Z:Z)</f>
        <v>x</v>
      </c>
      <c r="H167" s="314">
        <v>45425</v>
      </c>
      <c r="I167" s="315">
        <v>5</v>
      </c>
      <c r="J167" s="315">
        <v>2024</v>
      </c>
      <c r="K167" s="316">
        <v>1</v>
      </c>
      <c r="L167" s="316">
        <v>1</v>
      </c>
      <c r="M167" s="316">
        <v>1</v>
      </c>
      <c r="N167" s="316">
        <v>1</v>
      </c>
      <c r="O167" s="316">
        <v>1</v>
      </c>
      <c r="P167" s="316">
        <v>1</v>
      </c>
      <c r="Q167" s="316">
        <v>1</v>
      </c>
      <c r="R167" s="316">
        <v>1</v>
      </c>
      <c r="S167" s="316">
        <v>1</v>
      </c>
      <c r="T167" s="316">
        <v>1</v>
      </c>
      <c r="U167" s="316">
        <v>1</v>
      </c>
      <c r="V167" s="316">
        <v>1</v>
      </c>
      <c r="W167" s="316">
        <v>1</v>
      </c>
      <c r="X167" s="316">
        <v>1</v>
      </c>
      <c r="Y167" s="316">
        <v>1</v>
      </c>
      <c r="Z167" s="316">
        <v>1</v>
      </c>
      <c r="AA167" s="316">
        <v>1</v>
      </c>
      <c r="AB167" s="316">
        <v>1</v>
      </c>
      <c r="AC167" s="316">
        <v>1</v>
      </c>
      <c r="AD167" s="316">
        <v>1</v>
      </c>
      <c r="AE167" s="316">
        <v>1</v>
      </c>
      <c r="AF167" s="316">
        <v>1</v>
      </c>
      <c r="AG167" s="316">
        <v>1</v>
      </c>
      <c r="AH167" s="316">
        <v>1</v>
      </c>
      <c r="AI167" s="316">
        <v>1</v>
      </c>
      <c r="AJ167" s="316">
        <v>1</v>
      </c>
      <c r="AK167" s="316">
        <v>1</v>
      </c>
      <c r="AL167" s="316">
        <v>1</v>
      </c>
      <c r="AM167" s="316">
        <v>1</v>
      </c>
      <c r="AN167" s="316">
        <v>1</v>
      </c>
      <c r="AO167" s="316">
        <v>1</v>
      </c>
      <c r="AP167" s="316">
        <v>1</v>
      </c>
      <c r="AQ167" s="316">
        <v>1</v>
      </c>
      <c r="AR167" s="316">
        <v>1</v>
      </c>
      <c r="AS167" s="316">
        <v>1</v>
      </c>
      <c r="AT167" s="316">
        <v>1</v>
      </c>
    </row>
    <row r="168" spans="2:46" ht="12.75" customHeight="1" x14ac:dyDescent="0.15">
      <c r="B168" s="318">
        <v>1021</v>
      </c>
      <c r="C168" s="313" t="s">
        <v>303</v>
      </c>
      <c r="D168" s="313" t="s">
        <v>325</v>
      </c>
      <c r="E168" s="319" t="s">
        <v>1805</v>
      </c>
      <c r="F168" s="319" t="s">
        <v>1839</v>
      </c>
      <c r="G168" s="315" t="str">
        <f>_xlfn.XLOOKUP(B168,'WFP Details - 2026'!A:A,'WFP Details - 2026'!Z:Z)</f>
        <v>x</v>
      </c>
      <c r="H168" s="314">
        <v>45551</v>
      </c>
      <c r="I168" s="315">
        <v>9</v>
      </c>
      <c r="J168" s="315">
        <v>2024</v>
      </c>
      <c r="K168" s="316">
        <v>1</v>
      </c>
      <c r="L168" s="316">
        <v>1</v>
      </c>
      <c r="M168" s="316">
        <v>1</v>
      </c>
      <c r="N168" s="316">
        <v>1</v>
      </c>
      <c r="O168" s="316">
        <v>1</v>
      </c>
      <c r="P168" s="316">
        <v>1</v>
      </c>
      <c r="Q168" s="316">
        <v>1</v>
      </c>
      <c r="R168" s="316">
        <v>1</v>
      </c>
      <c r="S168" s="316">
        <v>1</v>
      </c>
      <c r="T168" s="316">
        <v>1</v>
      </c>
      <c r="U168" s="316">
        <v>1</v>
      </c>
      <c r="V168" s="316">
        <v>1</v>
      </c>
      <c r="W168" s="316">
        <v>1</v>
      </c>
      <c r="X168" s="316">
        <v>1</v>
      </c>
      <c r="Y168" s="316">
        <v>1</v>
      </c>
      <c r="Z168" s="316">
        <v>1</v>
      </c>
      <c r="AA168" s="316">
        <v>1</v>
      </c>
      <c r="AB168" s="316">
        <v>1</v>
      </c>
      <c r="AC168" s="316">
        <v>1</v>
      </c>
      <c r="AD168" s="316">
        <v>1</v>
      </c>
      <c r="AE168" s="316">
        <v>1</v>
      </c>
      <c r="AF168" s="316">
        <v>1</v>
      </c>
      <c r="AG168" s="316">
        <v>1</v>
      </c>
      <c r="AH168" s="316">
        <v>1</v>
      </c>
      <c r="AI168" s="316">
        <v>1</v>
      </c>
      <c r="AJ168" s="316">
        <v>1</v>
      </c>
      <c r="AK168" s="316">
        <v>1</v>
      </c>
      <c r="AL168" s="316">
        <v>1</v>
      </c>
      <c r="AM168" s="316">
        <v>1</v>
      </c>
      <c r="AN168" s="316">
        <v>1</v>
      </c>
      <c r="AO168" s="316">
        <v>1</v>
      </c>
      <c r="AP168" s="316">
        <v>1</v>
      </c>
      <c r="AQ168" s="316">
        <v>1</v>
      </c>
      <c r="AR168" s="316">
        <v>1</v>
      </c>
      <c r="AS168" s="316">
        <v>1</v>
      </c>
      <c r="AT168" s="316">
        <v>1</v>
      </c>
    </row>
    <row r="169" spans="2:46" ht="12.75" customHeight="1" x14ac:dyDescent="0.15">
      <c r="B169" s="312">
        <v>1010</v>
      </c>
      <c r="C169" s="313" t="s">
        <v>303</v>
      </c>
      <c r="D169" s="313" t="s">
        <v>1840</v>
      </c>
      <c r="E169" s="319" t="s">
        <v>1805</v>
      </c>
      <c r="F169" s="319" t="s">
        <v>1841</v>
      </c>
      <c r="G169" s="315" t="str">
        <f>_xlfn.XLOOKUP(B169,'WFP Details - 2026'!A:A,'WFP Details - 2026'!Z:Z)</f>
        <v>x</v>
      </c>
      <c r="H169" s="314">
        <v>45642</v>
      </c>
      <c r="I169" s="315">
        <v>12</v>
      </c>
      <c r="J169" s="315">
        <v>2024</v>
      </c>
      <c r="K169" s="316">
        <v>1</v>
      </c>
      <c r="L169" s="316">
        <v>1</v>
      </c>
      <c r="M169" s="316">
        <v>1</v>
      </c>
      <c r="N169" s="316">
        <v>1</v>
      </c>
      <c r="O169" s="316">
        <v>1</v>
      </c>
      <c r="P169" s="316">
        <v>1</v>
      </c>
      <c r="Q169" s="316">
        <v>1</v>
      </c>
      <c r="R169" s="316">
        <v>1</v>
      </c>
      <c r="S169" s="316">
        <v>1</v>
      </c>
      <c r="T169" s="316">
        <v>1</v>
      </c>
      <c r="U169" s="316">
        <v>1</v>
      </c>
      <c r="V169" s="316">
        <v>1</v>
      </c>
      <c r="W169" s="316">
        <v>1</v>
      </c>
      <c r="X169" s="316">
        <v>1</v>
      </c>
      <c r="Y169" s="316">
        <v>1</v>
      </c>
      <c r="Z169" s="316">
        <v>1</v>
      </c>
      <c r="AA169" s="316">
        <v>1</v>
      </c>
      <c r="AB169" s="316">
        <v>1</v>
      </c>
      <c r="AC169" s="316">
        <v>1</v>
      </c>
      <c r="AD169" s="316">
        <v>1</v>
      </c>
      <c r="AE169" s="316">
        <v>1</v>
      </c>
      <c r="AF169" s="316">
        <v>1</v>
      </c>
      <c r="AG169" s="316">
        <v>1</v>
      </c>
      <c r="AH169" s="316">
        <v>1</v>
      </c>
      <c r="AI169" s="316">
        <v>1</v>
      </c>
      <c r="AJ169" s="316">
        <v>1</v>
      </c>
      <c r="AK169" s="316">
        <v>1</v>
      </c>
      <c r="AL169" s="316">
        <v>1</v>
      </c>
      <c r="AM169" s="316">
        <v>1</v>
      </c>
      <c r="AN169" s="316">
        <v>1</v>
      </c>
      <c r="AO169" s="316">
        <v>1</v>
      </c>
      <c r="AP169" s="316">
        <v>1</v>
      </c>
      <c r="AQ169" s="316">
        <v>1</v>
      </c>
      <c r="AR169" s="316">
        <v>1</v>
      </c>
      <c r="AS169" s="316">
        <v>1</v>
      </c>
      <c r="AT169" s="316">
        <v>1</v>
      </c>
    </row>
    <row r="170" spans="2:46" ht="12.75" customHeight="1" x14ac:dyDescent="0.15">
      <c r="B170" s="312">
        <v>1331</v>
      </c>
      <c r="C170" s="313" t="s">
        <v>303</v>
      </c>
      <c r="D170" s="313" t="s">
        <v>1842</v>
      </c>
      <c r="E170" s="319" t="s">
        <v>1793</v>
      </c>
      <c r="F170" s="319" t="s">
        <v>1843</v>
      </c>
      <c r="G170" s="315" t="str">
        <f>_xlfn.XLOOKUP(B170,'WFP Details - 2026'!A:A,'WFP Details - 2026'!Z:Z)</f>
        <v>x</v>
      </c>
      <c r="H170" s="314">
        <v>45719</v>
      </c>
      <c r="I170" s="315">
        <v>3</v>
      </c>
      <c r="J170" s="315">
        <v>2025</v>
      </c>
      <c r="K170" s="316">
        <v>1</v>
      </c>
      <c r="L170" s="316">
        <v>1</v>
      </c>
      <c r="M170" s="316">
        <v>1</v>
      </c>
      <c r="N170" s="316">
        <v>1</v>
      </c>
      <c r="O170" s="316">
        <v>1</v>
      </c>
      <c r="P170" s="316">
        <v>1</v>
      </c>
      <c r="Q170" s="316">
        <v>1</v>
      </c>
      <c r="R170" s="316">
        <v>1</v>
      </c>
      <c r="S170" s="316">
        <v>1</v>
      </c>
      <c r="T170" s="316">
        <v>1</v>
      </c>
      <c r="U170" s="316">
        <v>1</v>
      </c>
      <c r="V170" s="316">
        <v>1</v>
      </c>
      <c r="W170" s="316">
        <v>1</v>
      </c>
      <c r="X170" s="316">
        <v>1</v>
      </c>
      <c r="Y170" s="316">
        <v>1</v>
      </c>
      <c r="Z170" s="316">
        <v>1</v>
      </c>
      <c r="AA170" s="316">
        <v>1</v>
      </c>
      <c r="AB170" s="316">
        <v>1</v>
      </c>
      <c r="AC170" s="316">
        <v>1</v>
      </c>
      <c r="AD170" s="316">
        <v>1</v>
      </c>
      <c r="AE170" s="316">
        <v>1</v>
      </c>
      <c r="AF170" s="316">
        <v>1</v>
      </c>
      <c r="AG170" s="316">
        <v>1</v>
      </c>
      <c r="AH170" s="316">
        <v>1</v>
      </c>
      <c r="AI170" s="316">
        <v>1</v>
      </c>
      <c r="AJ170" s="316">
        <v>1</v>
      </c>
      <c r="AK170" s="316">
        <v>1</v>
      </c>
      <c r="AL170" s="316">
        <v>1</v>
      </c>
      <c r="AM170" s="316">
        <v>1</v>
      </c>
      <c r="AN170" s="316">
        <v>1</v>
      </c>
      <c r="AO170" s="316">
        <v>1</v>
      </c>
      <c r="AP170" s="316">
        <v>1</v>
      </c>
      <c r="AQ170" s="316">
        <v>1</v>
      </c>
      <c r="AR170" s="316">
        <v>1</v>
      </c>
      <c r="AS170" s="316">
        <v>1</v>
      </c>
      <c r="AT170" s="316">
        <v>1</v>
      </c>
    </row>
    <row r="171" spans="2:46" ht="12.75" customHeight="1" x14ac:dyDescent="0.15">
      <c r="B171" s="312">
        <v>1011</v>
      </c>
      <c r="C171" s="313" t="s">
        <v>303</v>
      </c>
      <c r="D171" s="313" t="s">
        <v>362</v>
      </c>
      <c r="E171" s="319" t="s">
        <v>1805</v>
      </c>
      <c r="F171" s="319" t="s">
        <v>1844</v>
      </c>
      <c r="G171" s="315" t="str">
        <f>_xlfn.XLOOKUP(B171,'WFP Details - 2026'!A:A,'WFP Details - 2026'!Z:Z)</f>
        <v>x</v>
      </c>
      <c r="H171" s="314">
        <v>45804</v>
      </c>
      <c r="I171" s="315">
        <v>5</v>
      </c>
      <c r="J171" s="315">
        <v>2025</v>
      </c>
      <c r="K171" s="316">
        <v>1</v>
      </c>
      <c r="L171" s="316">
        <v>1</v>
      </c>
      <c r="M171" s="316">
        <v>1</v>
      </c>
      <c r="N171" s="316">
        <v>1</v>
      </c>
      <c r="O171" s="316">
        <v>1</v>
      </c>
      <c r="P171" s="316">
        <v>1</v>
      </c>
      <c r="Q171" s="316">
        <v>1</v>
      </c>
      <c r="R171" s="316">
        <v>1</v>
      </c>
      <c r="S171" s="316">
        <v>1</v>
      </c>
      <c r="T171" s="316">
        <v>1</v>
      </c>
      <c r="U171" s="316">
        <v>1</v>
      </c>
      <c r="V171" s="316">
        <v>1</v>
      </c>
      <c r="W171" s="316">
        <v>1</v>
      </c>
      <c r="X171" s="316">
        <v>1</v>
      </c>
      <c r="Y171" s="316">
        <v>1</v>
      </c>
      <c r="Z171" s="316">
        <v>1</v>
      </c>
      <c r="AA171" s="316">
        <v>1</v>
      </c>
      <c r="AB171" s="316">
        <v>1</v>
      </c>
      <c r="AC171" s="316">
        <v>1</v>
      </c>
      <c r="AD171" s="316">
        <v>1</v>
      </c>
      <c r="AE171" s="316">
        <v>1</v>
      </c>
      <c r="AF171" s="316">
        <v>1</v>
      </c>
      <c r="AG171" s="316">
        <v>1</v>
      </c>
      <c r="AH171" s="316">
        <v>1</v>
      </c>
      <c r="AI171" s="316">
        <v>1</v>
      </c>
      <c r="AJ171" s="316">
        <v>1</v>
      </c>
      <c r="AK171" s="316">
        <v>1</v>
      </c>
      <c r="AL171" s="316">
        <v>1</v>
      </c>
      <c r="AM171" s="316">
        <v>1</v>
      </c>
      <c r="AN171" s="316">
        <v>1</v>
      </c>
      <c r="AO171" s="316">
        <v>1</v>
      </c>
      <c r="AP171" s="316">
        <v>1</v>
      </c>
      <c r="AQ171" s="316">
        <v>1</v>
      </c>
      <c r="AR171" s="316">
        <v>1</v>
      </c>
      <c r="AS171" s="316">
        <v>1</v>
      </c>
      <c r="AT171" s="316">
        <v>1</v>
      </c>
    </row>
    <row r="172" spans="2:46" ht="12.75" customHeight="1" x14ac:dyDescent="0.15">
      <c r="B172" s="312">
        <v>1022</v>
      </c>
      <c r="C172" s="313" t="s">
        <v>303</v>
      </c>
      <c r="D172" s="313" t="s">
        <v>1845</v>
      </c>
      <c r="E172" s="319" t="s">
        <v>1795</v>
      </c>
      <c r="F172" s="319" t="s">
        <v>1846</v>
      </c>
      <c r="G172" s="315" t="str">
        <f>_xlfn.XLOOKUP(B172,'WFP Details - 2026'!A:A,'WFP Details - 2026'!Z:Z)</f>
        <v>x</v>
      </c>
      <c r="H172" s="314">
        <v>45789</v>
      </c>
      <c r="I172" s="315">
        <v>5</v>
      </c>
      <c r="J172" s="315">
        <v>2025</v>
      </c>
      <c r="K172" s="316">
        <v>1</v>
      </c>
      <c r="L172" s="316">
        <v>1</v>
      </c>
      <c r="M172" s="316">
        <v>1</v>
      </c>
      <c r="N172" s="316">
        <v>1</v>
      </c>
      <c r="O172" s="316">
        <v>1</v>
      </c>
      <c r="P172" s="316">
        <v>1</v>
      </c>
      <c r="Q172" s="316">
        <v>1</v>
      </c>
      <c r="R172" s="316">
        <v>1</v>
      </c>
      <c r="S172" s="316">
        <v>1</v>
      </c>
      <c r="T172" s="316">
        <v>1</v>
      </c>
      <c r="U172" s="316">
        <v>1</v>
      </c>
      <c r="V172" s="316">
        <v>1</v>
      </c>
      <c r="W172" s="316">
        <v>1</v>
      </c>
      <c r="X172" s="316">
        <v>1</v>
      </c>
      <c r="Y172" s="316">
        <v>1</v>
      </c>
      <c r="Z172" s="316">
        <v>1</v>
      </c>
      <c r="AA172" s="316">
        <v>1</v>
      </c>
      <c r="AB172" s="316">
        <v>1</v>
      </c>
      <c r="AC172" s="316">
        <v>1</v>
      </c>
      <c r="AD172" s="316">
        <v>1</v>
      </c>
      <c r="AE172" s="316">
        <v>1</v>
      </c>
      <c r="AF172" s="316">
        <v>1</v>
      </c>
      <c r="AG172" s="316">
        <v>1</v>
      </c>
      <c r="AH172" s="316">
        <v>1</v>
      </c>
      <c r="AI172" s="316">
        <v>1</v>
      </c>
      <c r="AJ172" s="316">
        <v>1</v>
      </c>
      <c r="AK172" s="316">
        <v>1</v>
      </c>
      <c r="AL172" s="316">
        <v>1</v>
      </c>
      <c r="AM172" s="316">
        <v>1</v>
      </c>
      <c r="AN172" s="316">
        <v>1</v>
      </c>
      <c r="AO172" s="316">
        <v>1</v>
      </c>
      <c r="AP172" s="316">
        <v>1</v>
      </c>
      <c r="AQ172" s="316">
        <v>1</v>
      </c>
      <c r="AR172" s="316">
        <v>1</v>
      </c>
      <c r="AS172" s="316">
        <v>1</v>
      </c>
      <c r="AT172" s="316">
        <v>1</v>
      </c>
    </row>
    <row r="173" spans="2:46" ht="12.75" customHeight="1" x14ac:dyDescent="0.15">
      <c r="B173" s="312">
        <v>1024</v>
      </c>
      <c r="C173" s="313" t="s">
        <v>303</v>
      </c>
      <c r="D173" s="313" t="s">
        <v>1847</v>
      </c>
      <c r="E173" s="319" t="s">
        <v>1793</v>
      </c>
      <c r="F173" s="319" t="s">
        <v>1848</v>
      </c>
      <c r="G173" s="315" t="str">
        <f>_xlfn.XLOOKUP(B173,'WFP Details - 2026'!A:A,'WFP Details - 2026'!Z:Z)</f>
        <v>x</v>
      </c>
      <c r="H173" s="314">
        <v>45852</v>
      </c>
      <c r="I173" s="315">
        <v>7</v>
      </c>
      <c r="J173" s="315">
        <v>2025</v>
      </c>
      <c r="K173" s="316">
        <v>1</v>
      </c>
      <c r="L173" s="316">
        <v>1</v>
      </c>
      <c r="M173" s="316">
        <v>1</v>
      </c>
      <c r="N173" s="316">
        <v>1</v>
      </c>
      <c r="O173" s="316">
        <v>1</v>
      </c>
      <c r="P173" s="316">
        <v>1</v>
      </c>
      <c r="Q173" s="316">
        <v>1</v>
      </c>
      <c r="R173" s="316">
        <v>1</v>
      </c>
      <c r="S173" s="316">
        <v>1</v>
      </c>
      <c r="T173" s="316">
        <v>1</v>
      </c>
      <c r="U173" s="316">
        <v>1</v>
      </c>
      <c r="V173" s="316">
        <v>1</v>
      </c>
      <c r="W173" s="316">
        <v>1</v>
      </c>
      <c r="X173" s="316">
        <v>1</v>
      </c>
      <c r="Y173" s="316">
        <v>1</v>
      </c>
      <c r="Z173" s="316">
        <v>1</v>
      </c>
      <c r="AA173" s="316">
        <v>1</v>
      </c>
      <c r="AB173" s="316">
        <v>1</v>
      </c>
      <c r="AC173" s="316">
        <v>1</v>
      </c>
      <c r="AD173" s="316">
        <v>1</v>
      </c>
      <c r="AE173" s="316">
        <v>1</v>
      </c>
      <c r="AF173" s="316">
        <v>1</v>
      </c>
      <c r="AG173" s="316">
        <v>1</v>
      </c>
      <c r="AH173" s="316">
        <v>1</v>
      </c>
      <c r="AI173" s="316">
        <v>1</v>
      </c>
      <c r="AJ173" s="316">
        <v>1</v>
      </c>
      <c r="AK173" s="316">
        <v>1</v>
      </c>
      <c r="AL173" s="316">
        <v>1</v>
      </c>
      <c r="AM173" s="316">
        <v>1</v>
      </c>
      <c r="AN173" s="316">
        <v>1</v>
      </c>
      <c r="AO173" s="316">
        <v>1</v>
      </c>
      <c r="AP173" s="316">
        <v>1</v>
      </c>
      <c r="AQ173" s="316">
        <v>1</v>
      </c>
      <c r="AR173" s="316">
        <v>1</v>
      </c>
      <c r="AS173" s="316">
        <v>1</v>
      </c>
      <c r="AT173" s="316">
        <v>1</v>
      </c>
    </row>
    <row r="174" spans="2:46" ht="12.75" customHeight="1" x14ac:dyDescent="0.15">
      <c r="B174" s="312">
        <v>1012</v>
      </c>
      <c r="C174" s="313" t="s">
        <v>303</v>
      </c>
      <c r="D174" s="313" t="s">
        <v>1849</v>
      </c>
      <c r="E174" s="319" t="s">
        <v>1805</v>
      </c>
      <c r="F174" s="319" t="s">
        <v>1850</v>
      </c>
      <c r="G174" s="315" t="str">
        <f>_xlfn.XLOOKUP(B174,'WFP Details - 2026'!A:A,'WFP Details - 2026'!Z:Z)</f>
        <v>x</v>
      </c>
      <c r="H174" s="314">
        <v>46006</v>
      </c>
      <c r="I174" s="315">
        <v>12</v>
      </c>
      <c r="J174" s="315">
        <v>2025</v>
      </c>
      <c r="K174" s="316">
        <v>1</v>
      </c>
      <c r="L174" s="316">
        <v>1</v>
      </c>
      <c r="M174" s="316">
        <v>1</v>
      </c>
      <c r="N174" s="316">
        <v>1</v>
      </c>
      <c r="O174" s="316">
        <v>1</v>
      </c>
      <c r="P174" s="316">
        <v>1</v>
      </c>
      <c r="Q174" s="316">
        <v>1</v>
      </c>
      <c r="R174" s="316">
        <v>1</v>
      </c>
      <c r="S174" s="316">
        <v>1</v>
      </c>
      <c r="T174" s="316">
        <v>1</v>
      </c>
      <c r="U174" s="316">
        <v>1</v>
      </c>
      <c r="V174" s="316">
        <v>1</v>
      </c>
      <c r="W174" s="316">
        <v>1</v>
      </c>
      <c r="X174" s="316">
        <v>1</v>
      </c>
      <c r="Y174" s="316">
        <v>1</v>
      </c>
      <c r="Z174" s="316">
        <v>1</v>
      </c>
      <c r="AA174" s="316">
        <v>1</v>
      </c>
      <c r="AB174" s="316">
        <v>1</v>
      </c>
      <c r="AC174" s="316">
        <v>1</v>
      </c>
      <c r="AD174" s="316">
        <v>1</v>
      </c>
      <c r="AE174" s="316">
        <v>1</v>
      </c>
      <c r="AF174" s="316">
        <v>1</v>
      </c>
      <c r="AG174" s="316">
        <v>1</v>
      </c>
      <c r="AH174" s="316">
        <v>1</v>
      </c>
      <c r="AI174" s="316">
        <v>1</v>
      </c>
      <c r="AJ174" s="316">
        <v>1</v>
      </c>
      <c r="AK174" s="316">
        <v>1</v>
      </c>
      <c r="AL174" s="316">
        <v>1</v>
      </c>
      <c r="AM174" s="316">
        <v>1</v>
      </c>
      <c r="AN174" s="316">
        <v>1</v>
      </c>
      <c r="AO174" s="316">
        <v>1</v>
      </c>
      <c r="AP174" s="316">
        <v>1</v>
      </c>
      <c r="AQ174" s="316">
        <v>1</v>
      </c>
      <c r="AR174" s="316">
        <v>1</v>
      </c>
      <c r="AS174" s="316">
        <v>1</v>
      </c>
      <c r="AT174" s="316">
        <v>1</v>
      </c>
    </row>
    <row r="175" spans="2:46" ht="12.75" customHeight="1" x14ac:dyDescent="0.15">
      <c r="B175" s="317">
        <v>1023</v>
      </c>
      <c r="C175" s="313" t="s">
        <v>303</v>
      </c>
      <c r="D175" s="313" t="s">
        <v>101</v>
      </c>
      <c r="E175" s="319" t="s">
        <v>1795</v>
      </c>
      <c r="F175" s="319" t="s">
        <v>356</v>
      </c>
      <c r="G175" s="315" t="str">
        <f>_xlfn.XLOOKUP(B175,'WFP Details - 2026'!A:A,'WFP Details - 2026'!Z:Z)</f>
        <v>x</v>
      </c>
      <c r="H175" s="314">
        <v>46096</v>
      </c>
      <c r="I175" s="315">
        <v>3</v>
      </c>
      <c r="J175" s="315">
        <v>2026</v>
      </c>
      <c r="K175" s="316">
        <v>0</v>
      </c>
      <c r="L175" s="316">
        <v>0</v>
      </c>
      <c r="M175" s="316">
        <v>1</v>
      </c>
      <c r="N175" s="316">
        <v>1</v>
      </c>
      <c r="O175" s="316">
        <v>1</v>
      </c>
      <c r="P175" s="316">
        <v>1</v>
      </c>
      <c r="Q175" s="316">
        <v>1</v>
      </c>
      <c r="R175" s="316">
        <v>1</v>
      </c>
      <c r="S175" s="316">
        <v>1</v>
      </c>
      <c r="T175" s="316">
        <v>1</v>
      </c>
      <c r="U175" s="316">
        <v>1</v>
      </c>
      <c r="V175" s="316">
        <v>1</v>
      </c>
      <c r="W175" s="316">
        <v>1</v>
      </c>
      <c r="X175" s="316">
        <v>1</v>
      </c>
      <c r="Y175" s="316">
        <v>1</v>
      </c>
      <c r="Z175" s="316">
        <v>1</v>
      </c>
      <c r="AA175" s="316">
        <v>1</v>
      </c>
      <c r="AB175" s="316">
        <v>1</v>
      </c>
      <c r="AC175" s="316">
        <v>1</v>
      </c>
      <c r="AD175" s="316">
        <v>1</v>
      </c>
      <c r="AE175" s="316">
        <v>1</v>
      </c>
      <c r="AF175" s="316">
        <v>1</v>
      </c>
      <c r="AG175" s="316">
        <v>1</v>
      </c>
      <c r="AH175" s="316">
        <v>1</v>
      </c>
      <c r="AI175" s="316">
        <v>1</v>
      </c>
      <c r="AJ175" s="316">
        <v>1</v>
      </c>
      <c r="AK175" s="316">
        <v>1</v>
      </c>
      <c r="AL175" s="316">
        <v>1</v>
      </c>
      <c r="AM175" s="316">
        <v>1</v>
      </c>
      <c r="AN175" s="316">
        <v>1</v>
      </c>
      <c r="AO175" s="316">
        <v>1</v>
      </c>
      <c r="AP175" s="316">
        <v>1</v>
      </c>
      <c r="AQ175" s="316">
        <v>1</v>
      </c>
      <c r="AR175" s="316">
        <v>1</v>
      </c>
      <c r="AS175" s="316">
        <v>1</v>
      </c>
      <c r="AT175" s="316">
        <v>1</v>
      </c>
    </row>
    <row r="176" spans="2:46" ht="12.75" customHeight="1" x14ac:dyDescent="0.15">
      <c r="B176" s="315">
        <v>1333</v>
      </c>
      <c r="C176" s="313" t="s">
        <v>303</v>
      </c>
      <c r="D176" s="313" t="s">
        <v>101</v>
      </c>
      <c r="E176" s="319" t="s">
        <v>1795</v>
      </c>
      <c r="F176" s="319" t="s">
        <v>1851</v>
      </c>
      <c r="G176" s="315" t="str">
        <f>_xlfn.XLOOKUP(B176,'WFP Details - 2026'!A:A,'WFP Details - 2026'!Z:Z)</f>
        <v>x</v>
      </c>
      <c r="H176" s="314">
        <v>46096</v>
      </c>
      <c r="I176" s="315">
        <v>3</v>
      </c>
      <c r="J176" s="315">
        <v>2026</v>
      </c>
      <c r="K176" s="316">
        <v>0</v>
      </c>
      <c r="L176" s="316">
        <v>0</v>
      </c>
      <c r="M176" s="316">
        <v>1</v>
      </c>
      <c r="N176" s="316">
        <v>1</v>
      </c>
      <c r="O176" s="316">
        <v>1</v>
      </c>
      <c r="P176" s="316">
        <v>1</v>
      </c>
      <c r="Q176" s="316">
        <v>1</v>
      </c>
      <c r="R176" s="316">
        <v>1</v>
      </c>
      <c r="S176" s="316">
        <v>1</v>
      </c>
      <c r="T176" s="316">
        <v>1</v>
      </c>
      <c r="U176" s="316">
        <v>1</v>
      </c>
      <c r="V176" s="316">
        <v>1</v>
      </c>
      <c r="W176" s="316">
        <v>1</v>
      </c>
      <c r="X176" s="316">
        <v>1</v>
      </c>
      <c r="Y176" s="316">
        <v>1</v>
      </c>
      <c r="Z176" s="316">
        <v>1</v>
      </c>
      <c r="AA176" s="316">
        <v>1</v>
      </c>
      <c r="AB176" s="316">
        <v>1</v>
      </c>
      <c r="AC176" s="316">
        <v>1</v>
      </c>
      <c r="AD176" s="316">
        <v>1</v>
      </c>
      <c r="AE176" s="316">
        <v>1</v>
      </c>
      <c r="AF176" s="316">
        <v>1</v>
      </c>
      <c r="AG176" s="316">
        <v>1</v>
      </c>
      <c r="AH176" s="316">
        <v>1</v>
      </c>
      <c r="AI176" s="316">
        <v>1</v>
      </c>
      <c r="AJ176" s="316">
        <v>1</v>
      </c>
      <c r="AK176" s="316">
        <v>1</v>
      </c>
      <c r="AL176" s="316">
        <v>1</v>
      </c>
      <c r="AM176" s="316">
        <v>1</v>
      </c>
      <c r="AN176" s="316">
        <v>1</v>
      </c>
      <c r="AO176" s="316">
        <v>1</v>
      </c>
      <c r="AP176" s="316">
        <v>1</v>
      </c>
      <c r="AQ176" s="316">
        <v>1</v>
      </c>
      <c r="AR176" s="316">
        <v>1</v>
      </c>
      <c r="AS176" s="316">
        <v>1</v>
      </c>
      <c r="AT176" s="316">
        <v>1</v>
      </c>
    </row>
    <row r="177" spans="2:46" ht="12.75" customHeight="1" x14ac:dyDescent="0.15">
      <c r="B177" s="312">
        <v>5006</v>
      </c>
      <c r="C177" s="313" t="s">
        <v>303</v>
      </c>
      <c r="D177" s="313" t="s">
        <v>101</v>
      </c>
      <c r="E177" s="319" t="s">
        <v>1817</v>
      </c>
      <c r="F177" s="319" t="s">
        <v>1852</v>
      </c>
      <c r="G177" s="315" t="str">
        <f>_xlfn.XLOOKUP(B177,'WFP Details - 2026'!A:A,'WFP Details - 2026'!Z:Z)</f>
        <v>x</v>
      </c>
      <c r="H177" s="314">
        <v>46096</v>
      </c>
      <c r="I177" s="315">
        <v>3</v>
      </c>
      <c r="J177" s="315">
        <v>2026</v>
      </c>
      <c r="K177" s="316">
        <v>0</v>
      </c>
      <c r="L177" s="316">
        <v>0</v>
      </c>
      <c r="M177" s="316">
        <v>1</v>
      </c>
      <c r="N177" s="316">
        <v>1</v>
      </c>
      <c r="O177" s="316">
        <v>1</v>
      </c>
      <c r="P177" s="316">
        <v>1</v>
      </c>
      <c r="Q177" s="316">
        <v>1</v>
      </c>
      <c r="R177" s="316">
        <v>1</v>
      </c>
      <c r="S177" s="316">
        <v>1</v>
      </c>
      <c r="T177" s="316">
        <v>1</v>
      </c>
      <c r="U177" s="316">
        <v>1</v>
      </c>
      <c r="V177" s="316">
        <v>1</v>
      </c>
      <c r="W177" s="316">
        <v>1</v>
      </c>
      <c r="X177" s="316">
        <v>1</v>
      </c>
      <c r="Y177" s="316">
        <v>1</v>
      </c>
      <c r="Z177" s="316">
        <v>1</v>
      </c>
      <c r="AA177" s="316">
        <v>1</v>
      </c>
      <c r="AB177" s="316">
        <v>1</v>
      </c>
      <c r="AC177" s="316">
        <v>1</v>
      </c>
      <c r="AD177" s="316">
        <v>1</v>
      </c>
      <c r="AE177" s="316">
        <v>1</v>
      </c>
      <c r="AF177" s="316">
        <v>1</v>
      </c>
      <c r="AG177" s="316">
        <v>1</v>
      </c>
      <c r="AH177" s="316">
        <v>1</v>
      </c>
      <c r="AI177" s="316">
        <v>1</v>
      </c>
      <c r="AJ177" s="316">
        <v>1</v>
      </c>
      <c r="AK177" s="316">
        <v>1</v>
      </c>
      <c r="AL177" s="316">
        <v>1</v>
      </c>
      <c r="AM177" s="316">
        <v>1</v>
      </c>
      <c r="AN177" s="316">
        <v>1</v>
      </c>
      <c r="AO177" s="316">
        <v>1</v>
      </c>
      <c r="AP177" s="316">
        <v>1</v>
      </c>
      <c r="AQ177" s="316">
        <v>1</v>
      </c>
      <c r="AR177" s="316">
        <v>1</v>
      </c>
      <c r="AS177" s="316">
        <v>1</v>
      </c>
      <c r="AT177" s="316">
        <v>1</v>
      </c>
    </row>
    <row r="178" spans="2:46" ht="12.75" customHeight="1" x14ac:dyDescent="0.15">
      <c r="B178" s="315">
        <v>5026</v>
      </c>
      <c r="C178" s="313" t="s">
        <v>303</v>
      </c>
      <c r="D178" s="313" t="s">
        <v>101</v>
      </c>
      <c r="E178" s="319" t="s">
        <v>1795</v>
      </c>
      <c r="F178" s="319" t="s">
        <v>511</v>
      </c>
      <c r="G178" s="315" t="str">
        <f>_xlfn.XLOOKUP(B178,'WFP Details - 2026'!A:A,'WFP Details - 2026'!Z:Z)</f>
        <v>x</v>
      </c>
      <c r="H178" s="314">
        <v>46096</v>
      </c>
      <c r="I178" s="315">
        <v>3</v>
      </c>
      <c r="J178" s="315">
        <v>2026</v>
      </c>
      <c r="K178" s="316">
        <v>0</v>
      </c>
      <c r="L178" s="316">
        <v>0</v>
      </c>
      <c r="M178" s="316">
        <v>1</v>
      </c>
      <c r="N178" s="316">
        <v>1</v>
      </c>
      <c r="O178" s="316">
        <v>1</v>
      </c>
      <c r="P178" s="316">
        <v>1</v>
      </c>
      <c r="Q178" s="316">
        <v>1</v>
      </c>
      <c r="R178" s="316">
        <v>1</v>
      </c>
      <c r="S178" s="316">
        <v>1</v>
      </c>
      <c r="T178" s="316">
        <v>1</v>
      </c>
      <c r="U178" s="316">
        <v>1</v>
      </c>
      <c r="V178" s="316">
        <v>1</v>
      </c>
      <c r="W178" s="316">
        <v>1</v>
      </c>
      <c r="X178" s="316">
        <v>1</v>
      </c>
      <c r="Y178" s="316">
        <v>1</v>
      </c>
      <c r="Z178" s="316">
        <v>1</v>
      </c>
      <c r="AA178" s="316">
        <v>1</v>
      </c>
      <c r="AB178" s="316">
        <v>1</v>
      </c>
      <c r="AC178" s="316">
        <v>1</v>
      </c>
      <c r="AD178" s="316">
        <v>1</v>
      </c>
      <c r="AE178" s="316">
        <v>1</v>
      </c>
      <c r="AF178" s="316">
        <v>1</v>
      </c>
      <c r="AG178" s="316">
        <v>1</v>
      </c>
      <c r="AH178" s="316">
        <v>1</v>
      </c>
      <c r="AI178" s="316">
        <v>1</v>
      </c>
      <c r="AJ178" s="316">
        <v>1</v>
      </c>
      <c r="AK178" s="316">
        <v>1</v>
      </c>
      <c r="AL178" s="316">
        <v>1</v>
      </c>
      <c r="AM178" s="316">
        <v>1</v>
      </c>
      <c r="AN178" s="316">
        <v>1</v>
      </c>
      <c r="AO178" s="316">
        <v>1</v>
      </c>
      <c r="AP178" s="316">
        <v>1</v>
      </c>
      <c r="AQ178" s="316">
        <v>1</v>
      </c>
      <c r="AR178" s="316">
        <v>1</v>
      </c>
      <c r="AS178" s="316">
        <v>1</v>
      </c>
      <c r="AT178" s="316">
        <v>1</v>
      </c>
    </row>
    <row r="179" spans="2:46" ht="12.75" customHeight="1" x14ac:dyDescent="0.15">
      <c r="B179" s="315">
        <v>5029</v>
      </c>
      <c r="C179" s="313" t="s">
        <v>303</v>
      </c>
      <c r="D179" s="313" t="s">
        <v>101</v>
      </c>
      <c r="E179" s="319" t="s">
        <v>1805</v>
      </c>
      <c r="F179" s="319" t="s">
        <v>390</v>
      </c>
      <c r="G179" s="315" t="str">
        <f>_xlfn.XLOOKUP(B179,'WFP Details - 2026'!A:A,'WFP Details - 2026'!Z:Z)</f>
        <v>x</v>
      </c>
      <c r="H179" s="314">
        <v>46096</v>
      </c>
      <c r="I179" s="315">
        <v>3</v>
      </c>
      <c r="J179" s="315">
        <v>2026</v>
      </c>
      <c r="K179" s="316">
        <v>0</v>
      </c>
      <c r="L179" s="316">
        <v>0</v>
      </c>
      <c r="M179" s="316">
        <v>1</v>
      </c>
      <c r="N179" s="316">
        <v>1</v>
      </c>
      <c r="O179" s="316">
        <v>1</v>
      </c>
      <c r="P179" s="316">
        <v>1</v>
      </c>
      <c r="Q179" s="316">
        <v>1</v>
      </c>
      <c r="R179" s="316">
        <v>1</v>
      </c>
      <c r="S179" s="316">
        <v>1</v>
      </c>
      <c r="T179" s="316">
        <v>1</v>
      </c>
      <c r="U179" s="316">
        <v>1</v>
      </c>
      <c r="V179" s="316">
        <v>1</v>
      </c>
      <c r="W179" s="316">
        <v>1</v>
      </c>
      <c r="X179" s="316">
        <v>1</v>
      </c>
      <c r="Y179" s="316">
        <v>1</v>
      </c>
      <c r="Z179" s="316">
        <v>1</v>
      </c>
      <c r="AA179" s="316">
        <v>1</v>
      </c>
      <c r="AB179" s="316">
        <v>1</v>
      </c>
      <c r="AC179" s="316">
        <v>1</v>
      </c>
      <c r="AD179" s="316">
        <v>1</v>
      </c>
      <c r="AE179" s="316">
        <v>1</v>
      </c>
      <c r="AF179" s="316">
        <v>1</v>
      </c>
      <c r="AG179" s="316">
        <v>1</v>
      </c>
      <c r="AH179" s="316">
        <v>1</v>
      </c>
      <c r="AI179" s="316">
        <v>1</v>
      </c>
      <c r="AJ179" s="316">
        <v>1</v>
      </c>
      <c r="AK179" s="316">
        <v>1</v>
      </c>
      <c r="AL179" s="316">
        <v>1</v>
      </c>
      <c r="AM179" s="316">
        <v>1</v>
      </c>
      <c r="AN179" s="316">
        <v>1</v>
      </c>
      <c r="AO179" s="316">
        <v>1</v>
      </c>
      <c r="AP179" s="316">
        <v>1</v>
      </c>
      <c r="AQ179" s="316">
        <v>1</v>
      </c>
      <c r="AR179" s="316">
        <v>1</v>
      </c>
      <c r="AS179" s="316">
        <v>1</v>
      </c>
      <c r="AT179" s="316">
        <v>1</v>
      </c>
    </row>
    <row r="180" spans="2:46" ht="12.75" customHeight="1" x14ac:dyDescent="0.15">
      <c r="B180" s="315">
        <v>5050</v>
      </c>
      <c r="C180" s="313" t="s">
        <v>303</v>
      </c>
      <c r="D180" s="313" t="s">
        <v>101</v>
      </c>
      <c r="E180" s="319" t="s">
        <v>1793</v>
      </c>
      <c r="F180" s="319" t="s">
        <v>367</v>
      </c>
      <c r="G180" s="315" t="str">
        <f>_xlfn.XLOOKUP(B180,'WFP Details - 2026'!A:A,'WFP Details - 2026'!Z:Z)</f>
        <v>x</v>
      </c>
      <c r="H180" s="314">
        <v>46188</v>
      </c>
      <c r="I180" s="315">
        <v>6</v>
      </c>
      <c r="J180" s="315">
        <v>2026</v>
      </c>
      <c r="K180" s="316">
        <v>0</v>
      </c>
      <c r="L180" s="316">
        <v>0</v>
      </c>
      <c r="M180" s="316">
        <v>0</v>
      </c>
      <c r="N180" s="316">
        <v>0</v>
      </c>
      <c r="O180" s="316">
        <v>0</v>
      </c>
      <c r="P180" s="316">
        <v>1</v>
      </c>
      <c r="Q180" s="316">
        <v>1</v>
      </c>
      <c r="R180" s="316">
        <v>1</v>
      </c>
      <c r="S180" s="316">
        <v>1</v>
      </c>
      <c r="T180" s="316">
        <v>1</v>
      </c>
      <c r="U180" s="316">
        <v>1</v>
      </c>
      <c r="V180" s="316">
        <v>1</v>
      </c>
      <c r="W180" s="316">
        <v>1</v>
      </c>
      <c r="X180" s="316">
        <v>1</v>
      </c>
      <c r="Y180" s="316">
        <v>1</v>
      </c>
      <c r="Z180" s="316">
        <v>1</v>
      </c>
      <c r="AA180" s="316">
        <v>1</v>
      </c>
      <c r="AB180" s="316">
        <v>1</v>
      </c>
      <c r="AC180" s="316">
        <v>1</v>
      </c>
      <c r="AD180" s="316">
        <v>1</v>
      </c>
      <c r="AE180" s="316">
        <v>1</v>
      </c>
      <c r="AF180" s="316">
        <v>1</v>
      </c>
      <c r="AG180" s="316">
        <v>1</v>
      </c>
      <c r="AH180" s="316">
        <v>1</v>
      </c>
      <c r="AI180" s="316">
        <v>1</v>
      </c>
      <c r="AJ180" s="316">
        <v>1</v>
      </c>
      <c r="AK180" s="316">
        <v>1</v>
      </c>
      <c r="AL180" s="316">
        <v>1</v>
      </c>
      <c r="AM180" s="316">
        <v>1</v>
      </c>
      <c r="AN180" s="316">
        <v>1</v>
      </c>
      <c r="AO180" s="316">
        <v>1</v>
      </c>
      <c r="AP180" s="316">
        <v>1</v>
      </c>
      <c r="AQ180" s="316">
        <v>1</v>
      </c>
      <c r="AR180" s="316">
        <v>1</v>
      </c>
      <c r="AS180" s="316">
        <v>1</v>
      </c>
      <c r="AT180" s="316">
        <v>1</v>
      </c>
    </row>
    <row r="181" spans="2:46" ht="12.75" hidden="1" customHeight="1" x14ac:dyDescent="0.15">
      <c r="B181" s="312">
        <v>5366</v>
      </c>
      <c r="C181" s="313" t="s">
        <v>303</v>
      </c>
      <c r="D181" s="313" t="s">
        <v>101</v>
      </c>
      <c r="E181" s="313" t="s">
        <v>1793</v>
      </c>
      <c r="F181" s="313" t="s">
        <v>1279</v>
      </c>
      <c r="G181" s="315" t="e">
        <f>_xlfn.XLOOKUP(B181,'WFP Details - 2026'!A:A,'WFP Details - 2026'!Z:Z)</f>
        <v>#N/A</v>
      </c>
      <c r="H181" s="314">
        <v>46461</v>
      </c>
      <c r="I181" s="315">
        <v>3</v>
      </c>
      <c r="J181" s="315">
        <v>2027</v>
      </c>
      <c r="K181" s="316">
        <v>0</v>
      </c>
      <c r="L181" s="316">
        <v>0</v>
      </c>
      <c r="M181" s="316">
        <v>0</v>
      </c>
      <c r="N181" s="316">
        <v>0</v>
      </c>
      <c r="O181" s="316">
        <v>0</v>
      </c>
      <c r="P181" s="316">
        <v>0</v>
      </c>
      <c r="Q181" s="316">
        <v>0</v>
      </c>
      <c r="R181" s="316">
        <v>0</v>
      </c>
      <c r="S181" s="316">
        <v>0</v>
      </c>
      <c r="T181" s="316">
        <v>0</v>
      </c>
      <c r="U181" s="316">
        <v>0</v>
      </c>
      <c r="V181" s="316">
        <v>0</v>
      </c>
      <c r="W181" s="316">
        <v>0</v>
      </c>
      <c r="X181" s="316">
        <v>0</v>
      </c>
      <c r="Y181" s="316">
        <v>1</v>
      </c>
      <c r="Z181" s="316">
        <v>1</v>
      </c>
      <c r="AA181" s="316">
        <v>1</v>
      </c>
      <c r="AB181" s="316">
        <v>1</v>
      </c>
      <c r="AC181" s="316">
        <v>1</v>
      </c>
      <c r="AD181" s="316">
        <v>1</v>
      </c>
      <c r="AE181" s="316">
        <v>1</v>
      </c>
      <c r="AF181" s="316">
        <v>1</v>
      </c>
      <c r="AG181" s="316">
        <v>1</v>
      </c>
      <c r="AH181" s="316">
        <v>1</v>
      </c>
      <c r="AI181" s="316">
        <v>1</v>
      </c>
      <c r="AJ181" s="316">
        <v>1</v>
      </c>
      <c r="AK181" s="316">
        <v>1</v>
      </c>
      <c r="AL181" s="316">
        <v>1</v>
      </c>
      <c r="AM181" s="316">
        <v>1</v>
      </c>
      <c r="AN181" s="316">
        <v>1</v>
      </c>
      <c r="AO181" s="316">
        <v>1</v>
      </c>
      <c r="AP181" s="316">
        <v>1</v>
      </c>
      <c r="AQ181" s="316">
        <v>1</v>
      </c>
      <c r="AR181" s="316">
        <v>1</v>
      </c>
      <c r="AS181" s="316">
        <v>1</v>
      </c>
      <c r="AT181" s="316">
        <v>1</v>
      </c>
    </row>
    <row r="182" spans="2:46" ht="12.75" hidden="1" customHeight="1" x14ac:dyDescent="0.15">
      <c r="B182" s="318">
        <v>5373</v>
      </c>
      <c r="C182" s="313" t="s">
        <v>303</v>
      </c>
      <c r="D182" s="313" t="s">
        <v>101</v>
      </c>
      <c r="E182" s="313" t="s">
        <v>1793</v>
      </c>
      <c r="F182" s="313" t="s">
        <v>1279</v>
      </c>
      <c r="G182" s="315" t="e">
        <f>_xlfn.XLOOKUP(B182,'WFP Details - 2026'!A:A,'WFP Details - 2026'!Z:Z)</f>
        <v>#N/A</v>
      </c>
      <c r="H182" s="314">
        <v>46461</v>
      </c>
      <c r="I182" s="315">
        <v>3</v>
      </c>
      <c r="J182" s="315">
        <v>2027</v>
      </c>
      <c r="K182" s="316">
        <v>0</v>
      </c>
      <c r="L182" s="316">
        <v>0</v>
      </c>
      <c r="M182" s="316">
        <v>0</v>
      </c>
      <c r="N182" s="316">
        <v>0</v>
      </c>
      <c r="O182" s="316">
        <v>0</v>
      </c>
      <c r="P182" s="316">
        <v>0</v>
      </c>
      <c r="Q182" s="316">
        <v>0</v>
      </c>
      <c r="R182" s="316">
        <v>0</v>
      </c>
      <c r="S182" s="316">
        <v>0</v>
      </c>
      <c r="T182" s="316">
        <v>0</v>
      </c>
      <c r="U182" s="316">
        <v>0</v>
      </c>
      <c r="V182" s="316">
        <v>0</v>
      </c>
      <c r="W182" s="316">
        <v>0</v>
      </c>
      <c r="X182" s="316">
        <v>0</v>
      </c>
      <c r="Y182" s="316">
        <v>1</v>
      </c>
      <c r="Z182" s="316">
        <v>1</v>
      </c>
      <c r="AA182" s="316">
        <v>1</v>
      </c>
      <c r="AB182" s="316">
        <v>1</v>
      </c>
      <c r="AC182" s="316">
        <v>1</v>
      </c>
      <c r="AD182" s="316">
        <v>1</v>
      </c>
      <c r="AE182" s="316">
        <v>1</v>
      </c>
      <c r="AF182" s="316">
        <v>1</v>
      </c>
      <c r="AG182" s="316">
        <v>1</v>
      </c>
      <c r="AH182" s="316">
        <v>1</v>
      </c>
      <c r="AI182" s="316">
        <v>1</v>
      </c>
      <c r="AJ182" s="316">
        <v>1</v>
      </c>
      <c r="AK182" s="316">
        <v>1</v>
      </c>
      <c r="AL182" s="316">
        <v>1</v>
      </c>
      <c r="AM182" s="316">
        <v>1</v>
      </c>
      <c r="AN182" s="316">
        <v>1</v>
      </c>
      <c r="AO182" s="316">
        <v>1</v>
      </c>
      <c r="AP182" s="316">
        <v>1</v>
      </c>
      <c r="AQ182" s="316">
        <v>1</v>
      </c>
      <c r="AR182" s="316">
        <v>1</v>
      </c>
      <c r="AS182" s="316">
        <v>1</v>
      </c>
      <c r="AT182" s="316">
        <v>1</v>
      </c>
    </row>
    <row r="183" spans="2:46" ht="12.75" hidden="1" customHeight="1" x14ac:dyDescent="0.15">
      <c r="B183" s="315">
        <v>1018</v>
      </c>
      <c r="C183" s="319" t="s">
        <v>303</v>
      </c>
      <c r="D183" s="313" t="s">
        <v>101</v>
      </c>
      <c r="E183" s="313" t="s">
        <v>1805</v>
      </c>
      <c r="F183" s="319" t="s">
        <v>313</v>
      </c>
      <c r="G183" s="315" t="e">
        <f>_xlfn.XLOOKUP(B183,'WFP Details - 2026'!A:A,'WFP Details - 2026'!Z:Z)</f>
        <v>#N/A</v>
      </c>
      <c r="H183" s="314">
        <v>46461</v>
      </c>
      <c r="I183" s="315">
        <v>3</v>
      </c>
      <c r="J183" s="315">
        <v>2027</v>
      </c>
      <c r="K183" s="316">
        <v>0</v>
      </c>
      <c r="L183" s="316">
        <v>0</v>
      </c>
      <c r="M183" s="316">
        <v>0</v>
      </c>
      <c r="N183" s="316">
        <v>0</v>
      </c>
      <c r="O183" s="316">
        <v>0</v>
      </c>
      <c r="P183" s="316">
        <v>0</v>
      </c>
      <c r="Q183" s="316">
        <v>0</v>
      </c>
      <c r="R183" s="316">
        <v>0</v>
      </c>
      <c r="S183" s="316">
        <v>0</v>
      </c>
      <c r="T183" s="316">
        <v>0</v>
      </c>
      <c r="U183" s="316">
        <v>0</v>
      </c>
      <c r="V183" s="316">
        <v>0</v>
      </c>
      <c r="W183" s="316">
        <v>0</v>
      </c>
      <c r="X183" s="316">
        <v>0</v>
      </c>
      <c r="Y183" s="316">
        <v>1</v>
      </c>
      <c r="Z183" s="316">
        <v>1</v>
      </c>
      <c r="AA183" s="316">
        <v>1</v>
      </c>
      <c r="AB183" s="316">
        <v>1</v>
      </c>
      <c r="AC183" s="316">
        <v>1</v>
      </c>
      <c r="AD183" s="316">
        <v>1</v>
      </c>
      <c r="AE183" s="316">
        <v>1</v>
      </c>
      <c r="AF183" s="316">
        <v>1</v>
      </c>
      <c r="AG183" s="316">
        <v>1</v>
      </c>
      <c r="AH183" s="316">
        <v>1</v>
      </c>
      <c r="AI183" s="316">
        <v>1</v>
      </c>
      <c r="AJ183" s="316">
        <v>1</v>
      </c>
      <c r="AK183" s="316">
        <v>1</v>
      </c>
      <c r="AL183" s="316">
        <v>1</v>
      </c>
      <c r="AM183" s="316">
        <v>1</v>
      </c>
      <c r="AN183" s="316">
        <v>1</v>
      </c>
      <c r="AO183" s="316">
        <v>1</v>
      </c>
      <c r="AP183" s="316">
        <v>1</v>
      </c>
      <c r="AQ183" s="316">
        <v>1</v>
      </c>
      <c r="AR183" s="316">
        <v>1</v>
      </c>
      <c r="AS183" s="316">
        <v>1</v>
      </c>
      <c r="AT183" s="316">
        <v>1</v>
      </c>
    </row>
    <row r="184" spans="2:46" ht="12.75" hidden="1" customHeight="1" x14ac:dyDescent="0.15">
      <c r="B184" s="315">
        <v>5005</v>
      </c>
      <c r="C184" s="319" t="s">
        <v>303</v>
      </c>
      <c r="D184" s="313" t="s">
        <v>101</v>
      </c>
      <c r="E184" s="313" t="s">
        <v>1817</v>
      </c>
      <c r="F184" s="319" t="s">
        <v>1323</v>
      </c>
      <c r="G184" s="315" t="e">
        <f>_xlfn.XLOOKUP(B184,'WFP Details - 2026'!A:A,'WFP Details - 2026'!Z:Z)</f>
        <v>#N/A</v>
      </c>
      <c r="H184" s="314">
        <v>46461</v>
      </c>
      <c r="I184" s="315">
        <v>3</v>
      </c>
      <c r="J184" s="315">
        <v>2027</v>
      </c>
      <c r="K184" s="316">
        <v>0</v>
      </c>
      <c r="L184" s="316">
        <v>0</v>
      </c>
      <c r="M184" s="316">
        <v>0</v>
      </c>
      <c r="N184" s="316">
        <v>0</v>
      </c>
      <c r="O184" s="316">
        <v>0</v>
      </c>
      <c r="P184" s="316">
        <v>0</v>
      </c>
      <c r="Q184" s="316">
        <v>0</v>
      </c>
      <c r="R184" s="316">
        <v>0</v>
      </c>
      <c r="S184" s="316">
        <v>0</v>
      </c>
      <c r="T184" s="316">
        <v>0</v>
      </c>
      <c r="U184" s="316">
        <v>0</v>
      </c>
      <c r="V184" s="316">
        <v>0</v>
      </c>
      <c r="W184" s="316">
        <v>0</v>
      </c>
      <c r="X184" s="316">
        <v>0</v>
      </c>
      <c r="Y184" s="316">
        <v>1</v>
      </c>
      <c r="Z184" s="316">
        <v>1</v>
      </c>
      <c r="AA184" s="316">
        <v>1</v>
      </c>
      <c r="AB184" s="316">
        <v>1</v>
      </c>
      <c r="AC184" s="316">
        <v>1</v>
      </c>
      <c r="AD184" s="316">
        <v>1</v>
      </c>
      <c r="AE184" s="316">
        <v>1</v>
      </c>
      <c r="AF184" s="316">
        <v>1</v>
      </c>
      <c r="AG184" s="316">
        <v>1</v>
      </c>
      <c r="AH184" s="316">
        <v>1</v>
      </c>
      <c r="AI184" s="316">
        <v>1</v>
      </c>
      <c r="AJ184" s="316">
        <v>1</v>
      </c>
      <c r="AK184" s="316">
        <v>1</v>
      </c>
      <c r="AL184" s="316">
        <v>1</v>
      </c>
      <c r="AM184" s="316">
        <v>1</v>
      </c>
      <c r="AN184" s="316">
        <v>1</v>
      </c>
      <c r="AO184" s="316">
        <v>1</v>
      </c>
      <c r="AP184" s="316">
        <v>1</v>
      </c>
      <c r="AQ184" s="316">
        <v>1</v>
      </c>
      <c r="AR184" s="316">
        <v>1</v>
      </c>
      <c r="AS184" s="316">
        <v>1</v>
      </c>
      <c r="AT184" s="316">
        <v>1</v>
      </c>
    </row>
    <row r="185" spans="2:46" ht="12.75" hidden="1" customHeight="1" x14ac:dyDescent="0.15">
      <c r="B185" s="315">
        <v>5007</v>
      </c>
      <c r="C185" s="319" t="s">
        <v>303</v>
      </c>
      <c r="D185" s="313" t="s">
        <v>101</v>
      </c>
      <c r="E185" s="313" t="s">
        <v>1795</v>
      </c>
      <c r="F185" s="319" t="s">
        <v>1325</v>
      </c>
      <c r="G185" s="315" t="e">
        <f>_xlfn.XLOOKUP(B185,'WFP Details - 2026'!A:A,'WFP Details - 2026'!Z:Z)</f>
        <v>#N/A</v>
      </c>
      <c r="H185" s="314">
        <v>46461</v>
      </c>
      <c r="I185" s="315">
        <v>3</v>
      </c>
      <c r="J185" s="315">
        <v>2027</v>
      </c>
      <c r="K185" s="316">
        <v>0</v>
      </c>
      <c r="L185" s="316">
        <v>0</v>
      </c>
      <c r="M185" s="316">
        <v>0</v>
      </c>
      <c r="N185" s="316">
        <v>0</v>
      </c>
      <c r="O185" s="316">
        <v>0</v>
      </c>
      <c r="P185" s="316">
        <v>0</v>
      </c>
      <c r="Q185" s="316">
        <v>0</v>
      </c>
      <c r="R185" s="316">
        <v>0</v>
      </c>
      <c r="S185" s="316">
        <v>0</v>
      </c>
      <c r="T185" s="316">
        <v>0</v>
      </c>
      <c r="U185" s="316">
        <v>0</v>
      </c>
      <c r="V185" s="316">
        <v>0</v>
      </c>
      <c r="W185" s="316">
        <v>0</v>
      </c>
      <c r="X185" s="316">
        <v>0</v>
      </c>
      <c r="Y185" s="316">
        <v>1</v>
      </c>
      <c r="Z185" s="316">
        <v>1</v>
      </c>
      <c r="AA185" s="316">
        <v>1</v>
      </c>
      <c r="AB185" s="316">
        <v>1</v>
      </c>
      <c r="AC185" s="316">
        <v>1</v>
      </c>
      <c r="AD185" s="316">
        <v>1</v>
      </c>
      <c r="AE185" s="316">
        <v>1</v>
      </c>
      <c r="AF185" s="316">
        <v>1</v>
      </c>
      <c r="AG185" s="316">
        <v>1</v>
      </c>
      <c r="AH185" s="316">
        <v>1</v>
      </c>
      <c r="AI185" s="316">
        <v>1</v>
      </c>
      <c r="AJ185" s="316">
        <v>1</v>
      </c>
      <c r="AK185" s="316">
        <v>1</v>
      </c>
      <c r="AL185" s="316">
        <v>1</v>
      </c>
      <c r="AM185" s="316">
        <v>1</v>
      </c>
      <c r="AN185" s="316">
        <v>1</v>
      </c>
      <c r="AO185" s="316">
        <v>1</v>
      </c>
      <c r="AP185" s="316">
        <v>1</v>
      </c>
      <c r="AQ185" s="316">
        <v>1</v>
      </c>
      <c r="AR185" s="316">
        <v>1</v>
      </c>
      <c r="AS185" s="316">
        <v>1</v>
      </c>
      <c r="AT185" s="316">
        <v>1</v>
      </c>
    </row>
    <row r="186" spans="2:46" ht="12.75" hidden="1" customHeight="1" x14ac:dyDescent="0.15">
      <c r="B186" s="315">
        <v>5008</v>
      </c>
      <c r="C186" s="319" t="s">
        <v>303</v>
      </c>
      <c r="D186" s="313" t="s">
        <v>101</v>
      </c>
      <c r="E186" s="313" t="s">
        <v>1793</v>
      </c>
      <c r="F186" s="319" t="s">
        <v>1279</v>
      </c>
      <c r="G186" s="315" t="e">
        <f>_xlfn.XLOOKUP(B186,'WFP Details - 2026'!A:A,'WFP Details - 2026'!Z:Z)</f>
        <v>#N/A</v>
      </c>
      <c r="H186" s="314">
        <v>46461</v>
      </c>
      <c r="I186" s="315">
        <v>3</v>
      </c>
      <c r="J186" s="315">
        <v>2027</v>
      </c>
      <c r="K186" s="316">
        <v>0</v>
      </c>
      <c r="L186" s="316">
        <v>0</v>
      </c>
      <c r="M186" s="316">
        <v>0</v>
      </c>
      <c r="N186" s="316">
        <v>0</v>
      </c>
      <c r="O186" s="316">
        <v>0</v>
      </c>
      <c r="P186" s="316">
        <v>0</v>
      </c>
      <c r="Q186" s="316">
        <v>0</v>
      </c>
      <c r="R186" s="316">
        <v>0</v>
      </c>
      <c r="S186" s="316">
        <v>0</v>
      </c>
      <c r="T186" s="316">
        <v>0</v>
      </c>
      <c r="U186" s="316">
        <v>0</v>
      </c>
      <c r="V186" s="316">
        <v>0</v>
      </c>
      <c r="W186" s="316">
        <v>0</v>
      </c>
      <c r="X186" s="316">
        <v>0</v>
      </c>
      <c r="Y186" s="316">
        <v>1</v>
      </c>
      <c r="Z186" s="316">
        <v>1</v>
      </c>
      <c r="AA186" s="316">
        <v>1</v>
      </c>
      <c r="AB186" s="316">
        <v>1</v>
      </c>
      <c r="AC186" s="316">
        <v>1</v>
      </c>
      <c r="AD186" s="316">
        <v>1</v>
      </c>
      <c r="AE186" s="316">
        <v>1</v>
      </c>
      <c r="AF186" s="316">
        <v>1</v>
      </c>
      <c r="AG186" s="316">
        <v>1</v>
      </c>
      <c r="AH186" s="316">
        <v>1</v>
      </c>
      <c r="AI186" s="316">
        <v>1</v>
      </c>
      <c r="AJ186" s="316">
        <v>1</v>
      </c>
      <c r="AK186" s="316">
        <v>1</v>
      </c>
      <c r="AL186" s="316">
        <v>1</v>
      </c>
      <c r="AM186" s="316">
        <v>1</v>
      </c>
      <c r="AN186" s="316">
        <v>1</v>
      </c>
      <c r="AO186" s="316">
        <v>1</v>
      </c>
      <c r="AP186" s="316">
        <v>1</v>
      </c>
      <c r="AQ186" s="316">
        <v>1</v>
      </c>
      <c r="AR186" s="316">
        <v>1</v>
      </c>
      <c r="AS186" s="316">
        <v>1</v>
      </c>
      <c r="AT186" s="316">
        <v>1</v>
      </c>
    </row>
    <row r="187" spans="2:46" ht="12.75" hidden="1" customHeight="1" x14ac:dyDescent="0.15">
      <c r="B187" s="318">
        <v>5010</v>
      </c>
      <c r="C187" s="313" t="s">
        <v>303</v>
      </c>
      <c r="D187" s="313" t="s">
        <v>101</v>
      </c>
      <c r="E187" s="313" t="s">
        <v>1793</v>
      </c>
      <c r="F187" s="313" t="s">
        <v>1279</v>
      </c>
      <c r="G187" s="315" t="e">
        <f>_xlfn.XLOOKUP(B187,'WFP Details - 2026'!A:A,'WFP Details - 2026'!Z:Z)</f>
        <v>#N/A</v>
      </c>
      <c r="H187" s="314">
        <v>46461</v>
      </c>
      <c r="I187" s="315">
        <v>3</v>
      </c>
      <c r="J187" s="315">
        <v>2027</v>
      </c>
      <c r="K187" s="316">
        <v>0</v>
      </c>
      <c r="L187" s="316">
        <v>0</v>
      </c>
      <c r="M187" s="316">
        <v>0</v>
      </c>
      <c r="N187" s="316">
        <v>0</v>
      </c>
      <c r="O187" s="316">
        <v>0</v>
      </c>
      <c r="P187" s="316">
        <v>0</v>
      </c>
      <c r="Q187" s="316">
        <v>0</v>
      </c>
      <c r="R187" s="316">
        <v>0</v>
      </c>
      <c r="S187" s="316">
        <v>0</v>
      </c>
      <c r="T187" s="316">
        <v>0</v>
      </c>
      <c r="U187" s="316">
        <v>0</v>
      </c>
      <c r="V187" s="316">
        <v>0</v>
      </c>
      <c r="W187" s="316">
        <v>0</v>
      </c>
      <c r="X187" s="316">
        <v>0</v>
      </c>
      <c r="Y187" s="316">
        <v>1</v>
      </c>
      <c r="Z187" s="316">
        <v>1</v>
      </c>
      <c r="AA187" s="316">
        <v>1</v>
      </c>
      <c r="AB187" s="316">
        <v>1</v>
      </c>
      <c r="AC187" s="316">
        <v>1</v>
      </c>
      <c r="AD187" s="316">
        <v>1</v>
      </c>
      <c r="AE187" s="316">
        <v>1</v>
      </c>
      <c r="AF187" s="316">
        <v>1</v>
      </c>
      <c r="AG187" s="316">
        <v>1</v>
      </c>
      <c r="AH187" s="316">
        <v>1</v>
      </c>
      <c r="AI187" s="316">
        <v>1</v>
      </c>
      <c r="AJ187" s="316">
        <v>1</v>
      </c>
      <c r="AK187" s="316">
        <v>1</v>
      </c>
      <c r="AL187" s="316">
        <v>1</v>
      </c>
      <c r="AM187" s="316">
        <v>1</v>
      </c>
      <c r="AN187" s="316">
        <v>1</v>
      </c>
      <c r="AO187" s="316">
        <v>1</v>
      </c>
      <c r="AP187" s="316">
        <v>1</v>
      </c>
      <c r="AQ187" s="316">
        <v>1</v>
      </c>
      <c r="AR187" s="316">
        <v>1</v>
      </c>
      <c r="AS187" s="316">
        <v>1</v>
      </c>
      <c r="AT187" s="316">
        <v>1</v>
      </c>
    </row>
    <row r="188" spans="2:46" ht="12.75" hidden="1" customHeight="1" x14ac:dyDescent="0.15">
      <c r="B188" s="318">
        <v>5012</v>
      </c>
      <c r="C188" s="313" t="s">
        <v>303</v>
      </c>
      <c r="D188" s="313" t="s">
        <v>101</v>
      </c>
      <c r="E188" s="313" t="s">
        <v>1795</v>
      </c>
      <c r="F188" s="313" t="s">
        <v>352</v>
      </c>
      <c r="G188" s="315" t="e">
        <f>_xlfn.XLOOKUP(B188,'WFP Details - 2026'!A:A,'WFP Details - 2026'!Z:Z)</f>
        <v>#N/A</v>
      </c>
      <c r="H188" s="314">
        <v>46461</v>
      </c>
      <c r="I188" s="315">
        <v>3</v>
      </c>
      <c r="J188" s="315">
        <v>2027</v>
      </c>
      <c r="K188" s="316">
        <v>0</v>
      </c>
      <c r="L188" s="316">
        <v>0</v>
      </c>
      <c r="M188" s="316">
        <v>0</v>
      </c>
      <c r="N188" s="316">
        <v>0</v>
      </c>
      <c r="O188" s="316">
        <v>0</v>
      </c>
      <c r="P188" s="316">
        <v>0</v>
      </c>
      <c r="Q188" s="316">
        <v>0</v>
      </c>
      <c r="R188" s="316">
        <v>0</v>
      </c>
      <c r="S188" s="316">
        <v>0</v>
      </c>
      <c r="T188" s="316">
        <v>0</v>
      </c>
      <c r="U188" s="316">
        <v>0</v>
      </c>
      <c r="V188" s="316">
        <v>0</v>
      </c>
      <c r="W188" s="316">
        <v>0</v>
      </c>
      <c r="X188" s="316">
        <v>0</v>
      </c>
      <c r="Y188" s="316">
        <v>1</v>
      </c>
      <c r="Z188" s="316">
        <v>1</v>
      </c>
      <c r="AA188" s="316">
        <v>1</v>
      </c>
      <c r="AB188" s="316">
        <v>1</v>
      </c>
      <c r="AC188" s="316">
        <v>1</v>
      </c>
      <c r="AD188" s="316">
        <v>1</v>
      </c>
      <c r="AE188" s="316">
        <v>1</v>
      </c>
      <c r="AF188" s="316">
        <v>1</v>
      </c>
      <c r="AG188" s="316">
        <v>1</v>
      </c>
      <c r="AH188" s="316">
        <v>1</v>
      </c>
      <c r="AI188" s="316">
        <v>1</v>
      </c>
      <c r="AJ188" s="316">
        <v>1</v>
      </c>
      <c r="AK188" s="316">
        <v>1</v>
      </c>
      <c r="AL188" s="316">
        <v>1</v>
      </c>
      <c r="AM188" s="316">
        <v>1</v>
      </c>
      <c r="AN188" s="316">
        <v>1</v>
      </c>
      <c r="AO188" s="316">
        <v>1</v>
      </c>
      <c r="AP188" s="316">
        <v>1</v>
      </c>
      <c r="AQ188" s="316">
        <v>1</v>
      </c>
      <c r="AR188" s="316">
        <v>1</v>
      </c>
      <c r="AS188" s="316">
        <v>1</v>
      </c>
      <c r="AT188" s="316">
        <v>1</v>
      </c>
    </row>
    <row r="189" spans="2:46" ht="12.75" hidden="1" customHeight="1" x14ac:dyDescent="0.15">
      <c r="B189" s="318">
        <v>5014</v>
      </c>
      <c r="C189" s="313" t="s">
        <v>303</v>
      </c>
      <c r="D189" s="313" t="s">
        <v>101</v>
      </c>
      <c r="E189" s="313" t="s">
        <v>1795</v>
      </c>
      <c r="F189" s="313" t="s">
        <v>1331</v>
      </c>
      <c r="G189" s="315" t="e">
        <f>_xlfn.XLOOKUP(B189,'WFP Details - 2026'!A:A,'WFP Details - 2026'!Z:Z)</f>
        <v>#N/A</v>
      </c>
      <c r="H189" s="314">
        <v>46461</v>
      </c>
      <c r="I189" s="315">
        <v>3</v>
      </c>
      <c r="J189" s="315">
        <v>2027</v>
      </c>
      <c r="K189" s="316">
        <v>0</v>
      </c>
      <c r="L189" s="316">
        <v>0</v>
      </c>
      <c r="M189" s="316">
        <v>0</v>
      </c>
      <c r="N189" s="316">
        <v>0</v>
      </c>
      <c r="O189" s="316">
        <v>0</v>
      </c>
      <c r="P189" s="316">
        <v>0</v>
      </c>
      <c r="Q189" s="316">
        <v>0</v>
      </c>
      <c r="R189" s="316">
        <v>0</v>
      </c>
      <c r="S189" s="316">
        <v>0</v>
      </c>
      <c r="T189" s="316">
        <v>0</v>
      </c>
      <c r="U189" s="316">
        <v>0</v>
      </c>
      <c r="V189" s="316">
        <v>0</v>
      </c>
      <c r="W189" s="316">
        <v>0</v>
      </c>
      <c r="X189" s="316">
        <v>0</v>
      </c>
      <c r="Y189" s="316">
        <v>1</v>
      </c>
      <c r="Z189" s="316">
        <v>1</v>
      </c>
      <c r="AA189" s="316">
        <v>1</v>
      </c>
      <c r="AB189" s="316">
        <v>1</v>
      </c>
      <c r="AC189" s="316">
        <v>1</v>
      </c>
      <c r="AD189" s="316">
        <v>1</v>
      </c>
      <c r="AE189" s="316">
        <v>1</v>
      </c>
      <c r="AF189" s="316">
        <v>1</v>
      </c>
      <c r="AG189" s="316">
        <v>1</v>
      </c>
      <c r="AH189" s="316">
        <v>1</v>
      </c>
      <c r="AI189" s="316">
        <v>1</v>
      </c>
      <c r="AJ189" s="316">
        <v>1</v>
      </c>
      <c r="AK189" s="316">
        <v>1</v>
      </c>
      <c r="AL189" s="316">
        <v>1</v>
      </c>
      <c r="AM189" s="316">
        <v>1</v>
      </c>
      <c r="AN189" s="316">
        <v>1</v>
      </c>
      <c r="AO189" s="316">
        <v>1</v>
      </c>
      <c r="AP189" s="316">
        <v>1</v>
      </c>
      <c r="AQ189" s="316">
        <v>1</v>
      </c>
      <c r="AR189" s="316">
        <v>1</v>
      </c>
      <c r="AS189" s="316">
        <v>1</v>
      </c>
      <c r="AT189" s="316">
        <v>1</v>
      </c>
    </row>
    <row r="190" spans="2:46" ht="12.75" hidden="1" customHeight="1" x14ac:dyDescent="0.15">
      <c r="B190" s="318">
        <v>5017</v>
      </c>
      <c r="C190" s="313" t="s">
        <v>303</v>
      </c>
      <c r="D190" s="313" t="s">
        <v>101</v>
      </c>
      <c r="E190" s="313" t="s">
        <v>1805</v>
      </c>
      <c r="F190" s="313" t="s">
        <v>317</v>
      </c>
      <c r="G190" s="315" t="e">
        <f>_xlfn.XLOOKUP(B190,'WFP Details - 2026'!A:A,'WFP Details - 2026'!Z:Z)</f>
        <v>#N/A</v>
      </c>
      <c r="H190" s="314">
        <v>46461</v>
      </c>
      <c r="I190" s="315">
        <v>3</v>
      </c>
      <c r="J190" s="315">
        <v>2027</v>
      </c>
      <c r="K190" s="316">
        <v>0</v>
      </c>
      <c r="L190" s="316">
        <v>0</v>
      </c>
      <c r="M190" s="316">
        <v>0</v>
      </c>
      <c r="N190" s="316">
        <v>0</v>
      </c>
      <c r="O190" s="316">
        <v>0</v>
      </c>
      <c r="P190" s="316">
        <v>0</v>
      </c>
      <c r="Q190" s="316">
        <v>0</v>
      </c>
      <c r="R190" s="316">
        <v>0</v>
      </c>
      <c r="S190" s="316">
        <v>0</v>
      </c>
      <c r="T190" s="316">
        <v>0</v>
      </c>
      <c r="U190" s="316">
        <v>0</v>
      </c>
      <c r="V190" s="316">
        <v>0</v>
      </c>
      <c r="W190" s="316">
        <v>0</v>
      </c>
      <c r="X190" s="316">
        <v>0</v>
      </c>
      <c r="Y190" s="316">
        <v>1</v>
      </c>
      <c r="Z190" s="316">
        <v>1</v>
      </c>
      <c r="AA190" s="316">
        <v>1</v>
      </c>
      <c r="AB190" s="316">
        <v>1</v>
      </c>
      <c r="AC190" s="316">
        <v>1</v>
      </c>
      <c r="AD190" s="316">
        <v>1</v>
      </c>
      <c r="AE190" s="316">
        <v>1</v>
      </c>
      <c r="AF190" s="316">
        <v>1</v>
      </c>
      <c r="AG190" s="316">
        <v>1</v>
      </c>
      <c r="AH190" s="316">
        <v>1</v>
      </c>
      <c r="AI190" s="316">
        <v>1</v>
      </c>
      <c r="AJ190" s="316">
        <v>1</v>
      </c>
      <c r="AK190" s="316">
        <v>1</v>
      </c>
      <c r="AL190" s="316">
        <v>1</v>
      </c>
      <c r="AM190" s="316">
        <v>1</v>
      </c>
      <c r="AN190" s="316">
        <v>1</v>
      </c>
      <c r="AO190" s="316">
        <v>1</v>
      </c>
      <c r="AP190" s="316">
        <v>1</v>
      </c>
      <c r="AQ190" s="316">
        <v>1</v>
      </c>
      <c r="AR190" s="316">
        <v>1</v>
      </c>
      <c r="AS190" s="316">
        <v>1</v>
      </c>
      <c r="AT190" s="316">
        <v>1</v>
      </c>
    </row>
    <row r="191" spans="2:46" ht="12.75" hidden="1" customHeight="1" x14ac:dyDescent="0.15">
      <c r="B191" s="312">
        <v>5018</v>
      </c>
      <c r="C191" s="313" t="s">
        <v>303</v>
      </c>
      <c r="D191" s="313" t="s">
        <v>101</v>
      </c>
      <c r="E191" s="313" t="s">
        <v>1793</v>
      </c>
      <c r="F191" s="313" t="s">
        <v>1334</v>
      </c>
      <c r="G191" s="315" t="e">
        <f>_xlfn.XLOOKUP(B191,'WFP Details - 2026'!A:A,'WFP Details - 2026'!Z:Z)</f>
        <v>#N/A</v>
      </c>
      <c r="H191" s="314">
        <v>46461</v>
      </c>
      <c r="I191" s="315">
        <v>3</v>
      </c>
      <c r="J191" s="315">
        <v>2027</v>
      </c>
      <c r="K191" s="316">
        <v>0</v>
      </c>
      <c r="L191" s="316">
        <v>0</v>
      </c>
      <c r="M191" s="316">
        <v>0</v>
      </c>
      <c r="N191" s="316">
        <v>0</v>
      </c>
      <c r="O191" s="316">
        <v>0</v>
      </c>
      <c r="P191" s="316">
        <v>0</v>
      </c>
      <c r="Q191" s="316">
        <v>0</v>
      </c>
      <c r="R191" s="316">
        <v>0</v>
      </c>
      <c r="S191" s="316">
        <v>0</v>
      </c>
      <c r="T191" s="316">
        <v>0</v>
      </c>
      <c r="U191" s="316">
        <v>0</v>
      </c>
      <c r="V191" s="316">
        <v>0</v>
      </c>
      <c r="W191" s="316">
        <v>0</v>
      </c>
      <c r="X191" s="316">
        <v>0</v>
      </c>
      <c r="Y191" s="316">
        <v>1</v>
      </c>
      <c r="Z191" s="316">
        <v>1</v>
      </c>
      <c r="AA191" s="316">
        <v>1</v>
      </c>
      <c r="AB191" s="316">
        <v>1</v>
      </c>
      <c r="AC191" s="316">
        <v>1</v>
      </c>
      <c r="AD191" s="316">
        <v>1</v>
      </c>
      <c r="AE191" s="316">
        <v>1</v>
      </c>
      <c r="AF191" s="316">
        <v>1</v>
      </c>
      <c r="AG191" s="316">
        <v>1</v>
      </c>
      <c r="AH191" s="316">
        <v>1</v>
      </c>
      <c r="AI191" s="316">
        <v>1</v>
      </c>
      <c r="AJ191" s="316">
        <v>1</v>
      </c>
      <c r="AK191" s="316">
        <v>1</v>
      </c>
      <c r="AL191" s="316">
        <v>1</v>
      </c>
      <c r="AM191" s="316">
        <v>1</v>
      </c>
      <c r="AN191" s="316">
        <v>1</v>
      </c>
      <c r="AO191" s="316">
        <v>1</v>
      </c>
      <c r="AP191" s="316">
        <v>1</v>
      </c>
      <c r="AQ191" s="316">
        <v>1</v>
      </c>
      <c r="AR191" s="316">
        <v>1</v>
      </c>
      <c r="AS191" s="316">
        <v>1</v>
      </c>
      <c r="AT191" s="316">
        <v>1</v>
      </c>
    </row>
    <row r="192" spans="2:46" ht="12.75" hidden="1" customHeight="1" x14ac:dyDescent="0.15">
      <c r="B192" s="315">
        <v>5019</v>
      </c>
      <c r="C192" s="319" t="s">
        <v>303</v>
      </c>
      <c r="D192" s="313" t="s">
        <v>101</v>
      </c>
      <c r="E192" s="313" t="s">
        <v>1795</v>
      </c>
      <c r="F192" s="319" t="s">
        <v>352</v>
      </c>
      <c r="G192" s="315" t="e">
        <f>_xlfn.XLOOKUP(B192,'WFP Details - 2026'!A:A,'WFP Details - 2026'!Z:Z)</f>
        <v>#N/A</v>
      </c>
      <c r="H192" s="314">
        <v>46461</v>
      </c>
      <c r="I192" s="315">
        <v>3</v>
      </c>
      <c r="J192" s="315">
        <v>2027</v>
      </c>
      <c r="K192" s="316">
        <v>0</v>
      </c>
      <c r="L192" s="316">
        <v>0</v>
      </c>
      <c r="M192" s="316">
        <v>0</v>
      </c>
      <c r="N192" s="316">
        <v>0</v>
      </c>
      <c r="O192" s="316">
        <v>0</v>
      </c>
      <c r="P192" s="316">
        <v>0</v>
      </c>
      <c r="Q192" s="316">
        <v>0</v>
      </c>
      <c r="R192" s="316">
        <v>0</v>
      </c>
      <c r="S192" s="316">
        <v>0</v>
      </c>
      <c r="T192" s="316">
        <v>0</v>
      </c>
      <c r="U192" s="316">
        <v>0</v>
      </c>
      <c r="V192" s="316">
        <v>0</v>
      </c>
      <c r="W192" s="316">
        <v>0</v>
      </c>
      <c r="X192" s="316">
        <v>0</v>
      </c>
      <c r="Y192" s="316">
        <v>1</v>
      </c>
      <c r="Z192" s="316">
        <v>1</v>
      </c>
      <c r="AA192" s="316">
        <v>1</v>
      </c>
      <c r="AB192" s="316">
        <v>1</v>
      </c>
      <c r="AC192" s="316">
        <v>1</v>
      </c>
      <c r="AD192" s="316">
        <v>1</v>
      </c>
      <c r="AE192" s="316">
        <v>1</v>
      </c>
      <c r="AF192" s="316">
        <v>1</v>
      </c>
      <c r="AG192" s="316">
        <v>1</v>
      </c>
      <c r="AH192" s="316">
        <v>1</v>
      </c>
      <c r="AI192" s="316">
        <v>1</v>
      </c>
      <c r="AJ192" s="316">
        <v>1</v>
      </c>
      <c r="AK192" s="316">
        <v>1</v>
      </c>
      <c r="AL192" s="316">
        <v>1</v>
      </c>
      <c r="AM192" s="316">
        <v>1</v>
      </c>
      <c r="AN192" s="316">
        <v>1</v>
      </c>
      <c r="AO192" s="316">
        <v>1</v>
      </c>
      <c r="AP192" s="316">
        <v>1</v>
      </c>
      <c r="AQ192" s="316">
        <v>1</v>
      </c>
      <c r="AR192" s="316">
        <v>1</v>
      </c>
      <c r="AS192" s="316">
        <v>1</v>
      </c>
      <c r="AT192" s="316">
        <v>1</v>
      </c>
    </row>
    <row r="193" spans="2:46" ht="12.75" hidden="1" customHeight="1" x14ac:dyDescent="0.15">
      <c r="B193" s="315">
        <v>5020</v>
      </c>
      <c r="C193" s="319" t="s">
        <v>303</v>
      </c>
      <c r="D193" s="313" t="s">
        <v>101</v>
      </c>
      <c r="E193" s="313" t="s">
        <v>1793</v>
      </c>
      <c r="F193" s="319" t="s">
        <v>1337</v>
      </c>
      <c r="G193" s="315" t="e">
        <f>_xlfn.XLOOKUP(B193,'WFP Details - 2026'!A:A,'WFP Details - 2026'!Z:Z)</f>
        <v>#N/A</v>
      </c>
      <c r="H193" s="314">
        <v>46461</v>
      </c>
      <c r="I193" s="315">
        <v>3</v>
      </c>
      <c r="J193" s="315">
        <v>2027</v>
      </c>
      <c r="K193" s="316">
        <v>0</v>
      </c>
      <c r="L193" s="316">
        <v>0</v>
      </c>
      <c r="M193" s="316">
        <v>0</v>
      </c>
      <c r="N193" s="316">
        <v>0</v>
      </c>
      <c r="O193" s="316">
        <v>0</v>
      </c>
      <c r="P193" s="316">
        <v>0</v>
      </c>
      <c r="Q193" s="316">
        <v>0</v>
      </c>
      <c r="R193" s="316">
        <v>0</v>
      </c>
      <c r="S193" s="316">
        <v>0</v>
      </c>
      <c r="T193" s="316">
        <v>0</v>
      </c>
      <c r="U193" s="316">
        <v>0</v>
      </c>
      <c r="V193" s="316">
        <v>0</v>
      </c>
      <c r="W193" s="316">
        <v>0</v>
      </c>
      <c r="X193" s="316">
        <v>0</v>
      </c>
      <c r="Y193" s="316">
        <v>1</v>
      </c>
      <c r="Z193" s="316">
        <v>1</v>
      </c>
      <c r="AA193" s="316">
        <v>1</v>
      </c>
      <c r="AB193" s="316">
        <v>1</v>
      </c>
      <c r="AC193" s="316">
        <v>1</v>
      </c>
      <c r="AD193" s="316">
        <v>1</v>
      </c>
      <c r="AE193" s="316">
        <v>1</v>
      </c>
      <c r="AF193" s="316">
        <v>1</v>
      </c>
      <c r="AG193" s="316">
        <v>1</v>
      </c>
      <c r="AH193" s="316">
        <v>1</v>
      </c>
      <c r="AI193" s="316">
        <v>1</v>
      </c>
      <c r="AJ193" s="316">
        <v>1</v>
      </c>
      <c r="AK193" s="316">
        <v>1</v>
      </c>
      <c r="AL193" s="316">
        <v>1</v>
      </c>
      <c r="AM193" s="316">
        <v>1</v>
      </c>
      <c r="AN193" s="316">
        <v>1</v>
      </c>
      <c r="AO193" s="316">
        <v>1</v>
      </c>
      <c r="AP193" s="316">
        <v>1</v>
      </c>
      <c r="AQ193" s="316">
        <v>1</v>
      </c>
      <c r="AR193" s="316">
        <v>1</v>
      </c>
      <c r="AS193" s="316">
        <v>1</v>
      </c>
      <c r="AT193" s="316">
        <v>1</v>
      </c>
    </row>
    <row r="194" spans="2:46" ht="12.75" hidden="1" customHeight="1" x14ac:dyDescent="0.15">
      <c r="B194" s="328" t="s">
        <v>1853</v>
      </c>
      <c r="C194" s="319" t="s">
        <v>303</v>
      </c>
      <c r="D194" s="313" t="s">
        <v>101</v>
      </c>
      <c r="E194" s="313" t="s">
        <v>1795</v>
      </c>
      <c r="F194" s="319" t="s">
        <v>1338</v>
      </c>
      <c r="G194" s="315" t="e">
        <f>_xlfn.XLOOKUP(B194,'WFP Details - 2026'!A:A,'WFP Details - 2026'!Z:Z)</f>
        <v>#N/A</v>
      </c>
      <c r="H194" s="314">
        <v>46461</v>
      </c>
      <c r="I194" s="315">
        <v>3</v>
      </c>
      <c r="J194" s="315">
        <v>2027</v>
      </c>
      <c r="K194" s="316">
        <v>0</v>
      </c>
      <c r="L194" s="316">
        <v>0</v>
      </c>
      <c r="M194" s="316">
        <v>0</v>
      </c>
      <c r="N194" s="316">
        <v>0</v>
      </c>
      <c r="O194" s="316">
        <v>0</v>
      </c>
      <c r="P194" s="316">
        <v>0</v>
      </c>
      <c r="Q194" s="316">
        <v>0</v>
      </c>
      <c r="R194" s="316">
        <v>0</v>
      </c>
      <c r="S194" s="316">
        <v>0</v>
      </c>
      <c r="T194" s="316">
        <v>0</v>
      </c>
      <c r="U194" s="316">
        <v>0</v>
      </c>
      <c r="V194" s="316">
        <v>0</v>
      </c>
      <c r="W194" s="316">
        <v>0</v>
      </c>
      <c r="X194" s="316">
        <v>0</v>
      </c>
      <c r="Y194" s="316">
        <v>1</v>
      </c>
      <c r="Z194" s="316">
        <v>1</v>
      </c>
      <c r="AA194" s="316">
        <v>1</v>
      </c>
      <c r="AB194" s="316">
        <v>1</v>
      </c>
      <c r="AC194" s="316">
        <v>1</v>
      </c>
      <c r="AD194" s="316">
        <v>1</v>
      </c>
      <c r="AE194" s="316">
        <v>1</v>
      </c>
      <c r="AF194" s="316">
        <v>1</v>
      </c>
      <c r="AG194" s="316">
        <v>1</v>
      </c>
      <c r="AH194" s="316">
        <v>1</v>
      </c>
      <c r="AI194" s="316">
        <v>1</v>
      </c>
      <c r="AJ194" s="316">
        <v>1</v>
      </c>
      <c r="AK194" s="316">
        <v>1</v>
      </c>
      <c r="AL194" s="316">
        <v>1</v>
      </c>
      <c r="AM194" s="316">
        <v>1</v>
      </c>
      <c r="AN194" s="316">
        <v>1</v>
      </c>
      <c r="AO194" s="316">
        <v>1</v>
      </c>
      <c r="AP194" s="316">
        <v>1</v>
      </c>
      <c r="AQ194" s="316">
        <v>1</v>
      </c>
      <c r="AR194" s="316">
        <v>1</v>
      </c>
      <c r="AS194" s="316">
        <v>1</v>
      </c>
      <c r="AT194" s="316">
        <v>1</v>
      </c>
    </row>
    <row r="195" spans="2:46" ht="12.75" hidden="1" customHeight="1" x14ac:dyDescent="0.15">
      <c r="B195" s="328" t="s">
        <v>1854</v>
      </c>
      <c r="C195" s="319" t="s">
        <v>303</v>
      </c>
      <c r="D195" s="313" t="s">
        <v>101</v>
      </c>
      <c r="E195" s="313" t="s">
        <v>1793</v>
      </c>
      <c r="F195" s="319" t="s">
        <v>1340</v>
      </c>
      <c r="G195" s="315" t="e">
        <f>_xlfn.XLOOKUP(B195,'WFP Details - 2026'!A:A,'WFP Details - 2026'!Z:Z)</f>
        <v>#N/A</v>
      </c>
      <c r="H195" s="314">
        <v>46461</v>
      </c>
      <c r="I195" s="315">
        <v>3</v>
      </c>
      <c r="J195" s="315">
        <v>2027</v>
      </c>
      <c r="K195" s="316">
        <v>0</v>
      </c>
      <c r="L195" s="316">
        <v>0</v>
      </c>
      <c r="M195" s="316">
        <v>0</v>
      </c>
      <c r="N195" s="316">
        <v>0</v>
      </c>
      <c r="O195" s="316">
        <v>0</v>
      </c>
      <c r="P195" s="316">
        <v>0</v>
      </c>
      <c r="Q195" s="316">
        <v>0</v>
      </c>
      <c r="R195" s="316">
        <v>0</v>
      </c>
      <c r="S195" s="316">
        <v>0</v>
      </c>
      <c r="T195" s="316">
        <v>0</v>
      </c>
      <c r="U195" s="316">
        <v>0</v>
      </c>
      <c r="V195" s="316">
        <v>0</v>
      </c>
      <c r="W195" s="316">
        <v>0</v>
      </c>
      <c r="X195" s="316">
        <v>0</v>
      </c>
      <c r="Y195" s="316">
        <v>1</v>
      </c>
      <c r="Z195" s="316">
        <v>1</v>
      </c>
      <c r="AA195" s="316">
        <v>1</v>
      </c>
      <c r="AB195" s="316">
        <v>1</v>
      </c>
      <c r="AC195" s="316">
        <v>1</v>
      </c>
      <c r="AD195" s="316">
        <v>1</v>
      </c>
      <c r="AE195" s="316">
        <v>1</v>
      </c>
      <c r="AF195" s="316">
        <v>1</v>
      </c>
      <c r="AG195" s="316">
        <v>1</v>
      </c>
      <c r="AH195" s="316">
        <v>1</v>
      </c>
      <c r="AI195" s="316">
        <v>1</v>
      </c>
      <c r="AJ195" s="316">
        <v>1</v>
      </c>
      <c r="AK195" s="316">
        <v>1</v>
      </c>
      <c r="AL195" s="316">
        <v>1</v>
      </c>
      <c r="AM195" s="316">
        <v>1</v>
      </c>
      <c r="AN195" s="316">
        <v>1</v>
      </c>
      <c r="AO195" s="316">
        <v>1</v>
      </c>
      <c r="AP195" s="316">
        <v>1</v>
      </c>
      <c r="AQ195" s="316">
        <v>1</v>
      </c>
      <c r="AR195" s="316">
        <v>1</v>
      </c>
      <c r="AS195" s="316">
        <v>1</v>
      </c>
      <c r="AT195" s="316">
        <v>1</v>
      </c>
    </row>
    <row r="196" spans="2:46" ht="12.75" hidden="1" customHeight="1" x14ac:dyDescent="0.15">
      <c r="B196" s="315">
        <v>5364</v>
      </c>
      <c r="C196" s="319" t="s">
        <v>303</v>
      </c>
      <c r="D196" s="313" t="s">
        <v>101</v>
      </c>
      <c r="E196" s="313" t="s">
        <v>1793</v>
      </c>
      <c r="F196" s="319" t="s">
        <v>1279</v>
      </c>
      <c r="G196" s="315" t="e">
        <f>_xlfn.XLOOKUP(B196,'WFP Details - 2026'!A:A,'WFP Details - 2026'!Z:Z)</f>
        <v>#N/A</v>
      </c>
      <c r="H196" s="314">
        <v>46461</v>
      </c>
      <c r="I196" s="315">
        <v>3</v>
      </c>
      <c r="J196" s="315">
        <v>2027</v>
      </c>
      <c r="K196" s="316">
        <v>0</v>
      </c>
      <c r="L196" s="316">
        <v>0</v>
      </c>
      <c r="M196" s="316">
        <v>0</v>
      </c>
      <c r="N196" s="316">
        <v>0</v>
      </c>
      <c r="O196" s="316">
        <v>0</v>
      </c>
      <c r="P196" s="316">
        <v>0</v>
      </c>
      <c r="Q196" s="316">
        <v>0</v>
      </c>
      <c r="R196" s="316">
        <v>0</v>
      </c>
      <c r="S196" s="316">
        <v>0</v>
      </c>
      <c r="T196" s="316">
        <v>0</v>
      </c>
      <c r="U196" s="316">
        <v>0</v>
      </c>
      <c r="V196" s="316">
        <v>0</v>
      </c>
      <c r="W196" s="316">
        <v>0</v>
      </c>
      <c r="X196" s="316">
        <v>0</v>
      </c>
      <c r="Y196" s="316">
        <v>1</v>
      </c>
      <c r="Z196" s="316">
        <v>1</v>
      </c>
      <c r="AA196" s="316">
        <v>1</v>
      </c>
      <c r="AB196" s="316">
        <v>1</v>
      </c>
      <c r="AC196" s="316">
        <v>1</v>
      </c>
      <c r="AD196" s="316">
        <v>1</v>
      </c>
      <c r="AE196" s="316">
        <v>1</v>
      </c>
      <c r="AF196" s="316">
        <v>1</v>
      </c>
      <c r="AG196" s="316">
        <v>1</v>
      </c>
      <c r="AH196" s="316">
        <v>1</v>
      </c>
      <c r="AI196" s="316">
        <v>1</v>
      </c>
      <c r="AJ196" s="316">
        <v>1</v>
      </c>
      <c r="AK196" s="316">
        <v>1</v>
      </c>
      <c r="AL196" s="316">
        <v>1</v>
      </c>
      <c r="AM196" s="316">
        <v>1</v>
      </c>
      <c r="AN196" s="316">
        <v>1</v>
      </c>
      <c r="AO196" s="316">
        <v>1</v>
      </c>
      <c r="AP196" s="316">
        <v>1</v>
      </c>
      <c r="AQ196" s="316">
        <v>1</v>
      </c>
      <c r="AR196" s="316">
        <v>1</v>
      </c>
      <c r="AS196" s="316">
        <v>1</v>
      </c>
      <c r="AT196" s="316">
        <v>1</v>
      </c>
    </row>
    <row r="197" spans="2:46" ht="12.75" hidden="1" customHeight="1" x14ac:dyDescent="0.15">
      <c r="B197" s="315">
        <v>5370</v>
      </c>
      <c r="C197" s="319" t="s">
        <v>303</v>
      </c>
      <c r="D197" s="313" t="s">
        <v>101</v>
      </c>
      <c r="E197" s="313" t="s">
        <v>1795</v>
      </c>
      <c r="F197" s="319" t="s">
        <v>1338</v>
      </c>
      <c r="G197" s="315" t="e">
        <f>_xlfn.XLOOKUP(B197,'WFP Details - 2026'!A:A,'WFP Details - 2026'!Z:Z)</f>
        <v>#N/A</v>
      </c>
      <c r="H197" s="314">
        <v>46461</v>
      </c>
      <c r="I197" s="315">
        <v>3</v>
      </c>
      <c r="J197" s="315">
        <v>2027</v>
      </c>
      <c r="K197" s="316">
        <v>0</v>
      </c>
      <c r="L197" s="316">
        <v>0</v>
      </c>
      <c r="M197" s="316">
        <v>0</v>
      </c>
      <c r="N197" s="316">
        <v>0</v>
      </c>
      <c r="O197" s="316">
        <v>0</v>
      </c>
      <c r="P197" s="316">
        <v>0</v>
      </c>
      <c r="Q197" s="316">
        <v>0</v>
      </c>
      <c r="R197" s="316">
        <v>0</v>
      </c>
      <c r="S197" s="316">
        <v>0</v>
      </c>
      <c r="T197" s="316">
        <v>0</v>
      </c>
      <c r="U197" s="316">
        <v>0</v>
      </c>
      <c r="V197" s="316">
        <v>0</v>
      </c>
      <c r="W197" s="316">
        <v>0</v>
      </c>
      <c r="X197" s="316">
        <v>0</v>
      </c>
      <c r="Y197" s="316">
        <v>1</v>
      </c>
      <c r="Z197" s="316">
        <v>1</v>
      </c>
      <c r="AA197" s="316">
        <v>1</v>
      </c>
      <c r="AB197" s="316">
        <v>1</v>
      </c>
      <c r="AC197" s="316">
        <v>1</v>
      </c>
      <c r="AD197" s="316">
        <v>1</v>
      </c>
      <c r="AE197" s="316">
        <v>1</v>
      </c>
      <c r="AF197" s="316">
        <v>1</v>
      </c>
      <c r="AG197" s="316">
        <v>1</v>
      </c>
      <c r="AH197" s="316">
        <v>1</v>
      </c>
      <c r="AI197" s="316">
        <v>1</v>
      </c>
      <c r="AJ197" s="316">
        <v>1</v>
      </c>
      <c r="AK197" s="316">
        <v>1</v>
      </c>
      <c r="AL197" s="316">
        <v>1</v>
      </c>
      <c r="AM197" s="316">
        <v>1</v>
      </c>
      <c r="AN197" s="316">
        <v>1</v>
      </c>
      <c r="AO197" s="316">
        <v>1</v>
      </c>
      <c r="AP197" s="316">
        <v>1</v>
      </c>
      <c r="AQ197" s="316">
        <v>1</v>
      </c>
      <c r="AR197" s="316">
        <v>1</v>
      </c>
      <c r="AS197" s="316">
        <v>1</v>
      </c>
      <c r="AT197" s="316">
        <v>1</v>
      </c>
    </row>
    <row r="198" spans="2:46" ht="12.75" customHeight="1" x14ac:dyDescent="0.15">
      <c r="B198" s="312">
        <v>1020</v>
      </c>
      <c r="C198" s="313" t="s">
        <v>368</v>
      </c>
      <c r="D198" s="313" t="s">
        <v>373</v>
      </c>
      <c r="E198" s="319" t="s">
        <v>1817</v>
      </c>
      <c r="F198" s="319" t="s">
        <v>1855</v>
      </c>
      <c r="G198" s="315" t="str">
        <f>_xlfn.XLOOKUP(B198,'WFP Details - 2026'!A:A,'WFP Details - 2026'!Z:Z)</f>
        <v>x</v>
      </c>
      <c r="H198" s="314">
        <v>45572</v>
      </c>
      <c r="I198" s="315">
        <v>10</v>
      </c>
      <c r="J198" s="315">
        <v>2024</v>
      </c>
      <c r="K198" s="316">
        <v>1</v>
      </c>
      <c r="L198" s="316">
        <v>1</v>
      </c>
      <c r="M198" s="316">
        <v>1</v>
      </c>
      <c r="N198" s="316">
        <v>1</v>
      </c>
      <c r="O198" s="316">
        <v>1</v>
      </c>
      <c r="P198" s="316">
        <v>1</v>
      </c>
      <c r="Q198" s="316">
        <v>1</v>
      </c>
      <c r="R198" s="316">
        <v>1</v>
      </c>
      <c r="S198" s="316">
        <v>1</v>
      </c>
      <c r="T198" s="316">
        <v>1</v>
      </c>
      <c r="U198" s="316">
        <v>1</v>
      </c>
      <c r="V198" s="316">
        <v>1</v>
      </c>
      <c r="W198" s="316">
        <v>1</v>
      </c>
      <c r="X198" s="316">
        <v>1</v>
      </c>
      <c r="Y198" s="316">
        <v>1</v>
      </c>
      <c r="Z198" s="316">
        <v>1</v>
      </c>
      <c r="AA198" s="316">
        <v>1</v>
      </c>
      <c r="AB198" s="316">
        <v>1</v>
      </c>
      <c r="AC198" s="316">
        <v>1</v>
      </c>
      <c r="AD198" s="316">
        <v>1</v>
      </c>
      <c r="AE198" s="316">
        <v>1</v>
      </c>
      <c r="AF198" s="316">
        <v>1</v>
      </c>
      <c r="AG198" s="316">
        <v>1</v>
      </c>
      <c r="AH198" s="316">
        <v>1</v>
      </c>
      <c r="AI198" s="316">
        <v>1</v>
      </c>
      <c r="AJ198" s="316">
        <v>1</v>
      </c>
      <c r="AK198" s="316">
        <v>1</v>
      </c>
      <c r="AL198" s="316">
        <v>1</v>
      </c>
      <c r="AM198" s="316">
        <v>1</v>
      </c>
      <c r="AN198" s="316">
        <v>1</v>
      </c>
      <c r="AO198" s="316">
        <v>1</v>
      </c>
      <c r="AP198" s="316">
        <v>1</v>
      </c>
      <c r="AQ198" s="316">
        <v>1</v>
      </c>
      <c r="AR198" s="316">
        <v>1</v>
      </c>
      <c r="AS198" s="316">
        <v>1</v>
      </c>
      <c r="AT198" s="316">
        <v>1</v>
      </c>
    </row>
    <row r="199" spans="2:46" ht="12.75" customHeight="1" x14ac:dyDescent="0.15">
      <c r="B199" s="312">
        <v>1013</v>
      </c>
      <c r="C199" s="313" t="s">
        <v>368</v>
      </c>
      <c r="D199" s="313" t="s">
        <v>1856</v>
      </c>
      <c r="E199" s="319" t="s">
        <v>1793</v>
      </c>
      <c r="F199" s="319" t="s">
        <v>1857</v>
      </c>
      <c r="G199" s="315" t="str">
        <f>_xlfn.XLOOKUP(B199,'WFP Details - 2026'!A:A,'WFP Details - 2026'!Z:Z)</f>
        <v>x</v>
      </c>
      <c r="H199" s="314">
        <v>45642</v>
      </c>
      <c r="I199" s="315">
        <v>12</v>
      </c>
      <c r="J199" s="315">
        <v>2024</v>
      </c>
      <c r="K199" s="316">
        <v>1</v>
      </c>
      <c r="L199" s="316">
        <v>1</v>
      </c>
      <c r="M199" s="316">
        <v>1</v>
      </c>
      <c r="N199" s="316">
        <v>1</v>
      </c>
      <c r="O199" s="316">
        <v>1</v>
      </c>
      <c r="P199" s="316">
        <v>1</v>
      </c>
      <c r="Q199" s="316">
        <v>1</v>
      </c>
      <c r="R199" s="316">
        <v>1</v>
      </c>
      <c r="S199" s="316">
        <v>1</v>
      </c>
      <c r="T199" s="316">
        <v>1</v>
      </c>
      <c r="U199" s="316">
        <v>1</v>
      </c>
      <c r="V199" s="316">
        <v>1</v>
      </c>
      <c r="W199" s="316">
        <v>1</v>
      </c>
      <c r="X199" s="316">
        <v>1</v>
      </c>
      <c r="Y199" s="316">
        <v>1</v>
      </c>
      <c r="Z199" s="316">
        <v>1</v>
      </c>
      <c r="AA199" s="316">
        <v>1</v>
      </c>
      <c r="AB199" s="316">
        <v>1</v>
      </c>
      <c r="AC199" s="316">
        <v>1</v>
      </c>
      <c r="AD199" s="316">
        <v>1</v>
      </c>
      <c r="AE199" s="316">
        <v>1</v>
      </c>
      <c r="AF199" s="316">
        <v>1</v>
      </c>
      <c r="AG199" s="316">
        <v>1</v>
      </c>
      <c r="AH199" s="316">
        <v>1</v>
      </c>
      <c r="AI199" s="316">
        <v>1</v>
      </c>
      <c r="AJ199" s="316">
        <v>1</v>
      </c>
      <c r="AK199" s="316">
        <v>1</v>
      </c>
      <c r="AL199" s="316">
        <v>1</v>
      </c>
      <c r="AM199" s="316">
        <v>1</v>
      </c>
      <c r="AN199" s="316">
        <v>1</v>
      </c>
      <c r="AO199" s="316">
        <v>1</v>
      </c>
      <c r="AP199" s="316">
        <v>1</v>
      </c>
      <c r="AQ199" s="316">
        <v>1</v>
      </c>
      <c r="AR199" s="316">
        <v>1</v>
      </c>
      <c r="AS199" s="316">
        <v>1</v>
      </c>
      <c r="AT199" s="316">
        <v>1</v>
      </c>
    </row>
    <row r="200" spans="2:46" ht="12.75" customHeight="1" x14ac:dyDescent="0.15">
      <c r="B200" s="312">
        <v>1015</v>
      </c>
      <c r="C200" s="313" t="s">
        <v>368</v>
      </c>
      <c r="D200" s="313" t="s">
        <v>400</v>
      </c>
      <c r="E200" s="319" t="s">
        <v>1795</v>
      </c>
      <c r="F200" s="319" t="s">
        <v>1858</v>
      </c>
      <c r="G200" s="315" t="str">
        <f>_xlfn.XLOOKUP(B200,'WFP Details - 2026'!A:A,'WFP Details - 2026'!Z:Z)</f>
        <v>x</v>
      </c>
      <c r="H200" s="314">
        <v>45824</v>
      </c>
      <c r="I200" s="315">
        <v>6</v>
      </c>
      <c r="J200" s="315">
        <v>2025</v>
      </c>
      <c r="K200" s="316">
        <v>1</v>
      </c>
      <c r="L200" s="316">
        <v>1</v>
      </c>
      <c r="M200" s="316">
        <v>1</v>
      </c>
      <c r="N200" s="316">
        <v>1</v>
      </c>
      <c r="O200" s="316">
        <v>1</v>
      </c>
      <c r="P200" s="316">
        <v>1</v>
      </c>
      <c r="Q200" s="316">
        <v>1</v>
      </c>
      <c r="R200" s="316">
        <v>1</v>
      </c>
      <c r="S200" s="316">
        <v>1</v>
      </c>
      <c r="T200" s="316">
        <v>1</v>
      </c>
      <c r="U200" s="316">
        <v>1</v>
      </c>
      <c r="V200" s="316">
        <v>1</v>
      </c>
      <c r="W200" s="316">
        <v>1</v>
      </c>
      <c r="X200" s="316">
        <v>1</v>
      </c>
      <c r="Y200" s="316">
        <v>1</v>
      </c>
      <c r="Z200" s="316">
        <v>1</v>
      </c>
      <c r="AA200" s="316">
        <v>1</v>
      </c>
      <c r="AB200" s="316">
        <v>1</v>
      </c>
      <c r="AC200" s="316">
        <v>1</v>
      </c>
      <c r="AD200" s="316">
        <v>1</v>
      </c>
      <c r="AE200" s="316">
        <v>1</v>
      </c>
      <c r="AF200" s="316">
        <v>1</v>
      </c>
      <c r="AG200" s="316">
        <v>1</v>
      </c>
      <c r="AH200" s="316">
        <v>1</v>
      </c>
      <c r="AI200" s="316">
        <v>1</v>
      </c>
      <c r="AJ200" s="316">
        <v>1</v>
      </c>
      <c r="AK200" s="316">
        <v>1</v>
      </c>
      <c r="AL200" s="316">
        <v>1</v>
      </c>
      <c r="AM200" s="316">
        <v>1</v>
      </c>
      <c r="AN200" s="316">
        <v>1</v>
      </c>
      <c r="AO200" s="316">
        <v>1</v>
      </c>
      <c r="AP200" s="316">
        <v>1</v>
      </c>
      <c r="AQ200" s="316">
        <v>1</v>
      </c>
      <c r="AR200" s="316">
        <v>1</v>
      </c>
      <c r="AS200" s="316">
        <v>1</v>
      </c>
      <c r="AT200" s="316">
        <v>1</v>
      </c>
    </row>
    <row r="201" spans="2:46" ht="12.75" customHeight="1" x14ac:dyDescent="0.15">
      <c r="B201" s="318">
        <v>1014</v>
      </c>
      <c r="C201" s="313" t="s">
        <v>368</v>
      </c>
      <c r="D201" s="313" t="s">
        <v>1859</v>
      </c>
      <c r="E201" s="319" t="s">
        <v>1805</v>
      </c>
      <c r="F201" s="319" t="s">
        <v>1860</v>
      </c>
      <c r="G201" s="315" t="str">
        <f>_xlfn.XLOOKUP(B201,'WFP Details - 2026'!A:A,'WFP Details - 2026'!Z:Z)</f>
        <v>x</v>
      </c>
      <c r="H201" s="314">
        <v>45929</v>
      </c>
      <c r="I201" s="315">
        <v>9</v>
      </c>
      <c r="J201" s="315">
        <v>2025</v>
      </c>
      <c r="K201" s="316">
        <v>1</v>
      </c>
      <c r="L201" s="316">
        <v>1</v>
      </c>
      <c r="M201" s="316">
        <v>1</v>
      </c>
      <c r="N201" s="316">
        <v>1</v>
      </c>
      <c r="O201" s="316">
        <v>1</v>
      </c>
      <c r="P201" s="316">
        <v>1</v>
      </c>
      <c r="Q201" s="316">
        <v>1</v>
      </c>
      <c r="R201" s="316">
        <v>1</v>
      </c>
      <c r="S201" s="316">
        <v>1</v>
      </c>
      <c r="T201" s="316">
        <v>1</v>
      </c>
      <c r="U201" s="316">
        <v>1</v>
      </c>
      <c r="V201" s="316">
        <v>1</v>
      </c>
      <c r="W201" s="316">
        <v>1</v>
      </c>
      <c r="X201" s="316">
        <v>1</v>
      </c>
      <c r="Y201" s="316">
        <v>1</v>
      </c>
      <c r="Z201" s="316">
        <v>1</v>
      </c>
      <c r="AA201" s="316">
        <v>1</v>
      </c>
      <c r="AB201" s="316">
        <v>1</v>
      </c>
      <c r="AC201" s="316">
        <v>1</v>
      </c>
      <c r="AD201" s="316">
        <v>1</v>
      </c>
      <c r="AE201" s="316">
        <v>1</v>
      </c>
      <c r="AF201" s="316">
        <v>1</v>
      </c>
      <c r="AG201" s="316">
        <v>1</v>
      </c>
      <c r="AH201" s="316">
        <v>1</v>
      </c>
      <c r="AI201" s="316">
        <v>1</v>
      </c>
      <c r="AJ201" s="316">
        <v>1</v>
      </c>
      <c r="AK201" s="316">
        <v>1</v>
      </c>
      <c r="AL201" s="316">
        <v>1</v>
      </c>
      <c r="AM201" s="316">
        <v>1</v>
      </c>
      <c r="AN201" s="316">
        <v>1</v>
      </c>
      <c r="AO201" s="316">
        <v>1</v>
      </c>
      <c r="AP201" s="316">
        <v>1</v>
      </c>
      <c r="AQ201" s="316">
        <v>1</v>
      </c>
      <c r="AR201" s="316">
        <v>1</v>
      </c>
      <c r="AS201" s="316">
        <v>1</v>
      </c>
      <c r="AT201" s="316">
        <v>1</v>
      </c>
    </row>
    <row r="202" spans="2:46" ht="12.75" hidden="1" customHeight="1" x14ac:dyDescent="0.15">
      <c r="B202" s="318">
        <v>5003</v>
      </c>
      <c r="C202" s="313" t="s">
        <v>368</v>
      </c>
      <c r="D202" s="313" t="s">
        <v>101</v>
      </c>
      <c r="E202" s="313" t="s">
        <v>1795</v>
      </c>
      <c r="F202" s="313" t="s">
        <v>1310</v>
      </c>
      <c r="G202" s="315" t="e">
        <f>_xlfn.XLOOKUP(B202,'WFP Details - 2026'!A:A,'WFP Details - 2026'!Z:Z)</f>
        <v>#N/A</v>
      </c>
      <c r="H202" s="314">
        <v>46461</v>
      </c>
      <c r="I202" s="315">
        <v>3</v>
      </c>
      <c r="J202" s="315">
        <v>2027</v>
      </c>
      <c r="K202" s="316">
        <v>0</v>
      </c>
      <c r="L202" s="316">
        <v>0</v>
      </c>
      <c r="M202" s="316">
        <v>0</v>
      </c>
      <c r="N202" s="316">
        <v>0</v>
      </c>
      <c r="O202" s="316">
        <v>0</v>
      </c>
      <c r="P202" s="316">
        <v>0</v>
      </c>
      <c r="Q202" s="316">
        <v>0</v>
      </c>
      <c r="R202" s="316">
        <v>0</v>
      </c>
      <c r="S202" s="316">
        <v>0</v>
      </c>
      <c r="T202" s="316">
        <v>0</v>
      </c>
      <c r="U202" s="316">
        <v>0</v>
      </c>
      <c r="V202" s="316">
        <v>0</v>
      </c>
      <c r="W202" s="316">
        <v>0</v>
      </c>
      <c r="X202" s="316">
        <v>0</v>
      </c>
      <c r="Y202" s="316">
        <v>1</v>
      </c>
      <c r="Z202" s="316">
        <v>1</v>
      </c>
      <c r="AA202" s="316">
        <v>1</v>
      </c>
      <c r="AB202" s="316">
        <v>1</v>
      </c>
      <c r="AC202" s="316">
        <v>1</v>
      </c>
      <c r="AD202" s="316">
        <v>1</v>
      </c>
      <c r="AE202" s="316">
        <v>1</v>
      </c>
      <c r="AF202" s="316">
        <v>1</v>
      </c>
      <c r="AG202" s="316">
        <v>1</v>
      </c>
      <c r="AH202" s="316">
        <v>1</v>
      </c>
      <c r="AI202" s="316">
        <v>1</v>
      </c>
      <c r="AJ202" s="316">
        <v>1</v>
      </c>
      <c r="AK202" s="316">
        <v>1</v>
      </c>
      <c r="AL202" s="316">
        <v>1</v>
      </c>
      <c r="AM202" s="316">
        <v>1</v>
      </c>
      <c r="AN202" s="316">
        <v>1</v>
      </c>
      <c r="AO202" s="316">
        <v>1</v>
      </c>
      <c r="AP202" s="316">
        <v>1</v>
      </c>
      <c r="AQ202" s="316">
        <v>1</v>
      </c>
      <c r="AR202" s="316">
        <v>1</v>
      </c>
      <c r="AS202" s="316">
        <v>1</v>
      </c>
      <c r="AT202" s="316">
        <v>1</v>
      </c>
    </row>
    <row r="203" spans="2:46" ht="12.75" hidden="1" customHeight="1" x14ac:dyDescent="0.15">
      <c r="B203" s="315">
        <v>5027</v>
      </c>
      <c r="C203" s="313" t="s">
        <v>368</v>
      </c>
      <c r="D203" s="313" t="s">
        <v>101</v>
      </c>
      <c r="E203" s="313" t="s">
        <v>1793</v>
      </c>
      <c r="F203" s="319" t="s">
        <v>401</v>
      </c>
      <c r="G203" s="315" t="e">
        <f>_xlfn.XLOOKUP(B203,'WFP Details - 2026'!A:A,'WFP Details - 2026'!Z:Z)</f>
        <v>#N/A</v>
      </c>
      <c r="H203" s="314">
        <v>46461</v>
      </c>
      <c r="I203" s="315">
        <v>3</v>
      </c>
      <c r="J203" s="315">
        <v>2027</v>
      </c>
      <c r="K203" s="316">
        <v>0</v>
      </c>
      <c r="L203" s="316">
        <v>0</v>
      </c>
      <c r="M203" s="316">
        <v>0</v>
      </c>
      <c r="N203" s="316">
        <v>0</v>
      </c>
      <c r="O203" s="316">
        <v>0</v>
      </c>
      <c r="P203" s="316">
        <v>0</v>
      </c>
      <c r="Q203" s="316">
        <v>0</v>
      </c>
      <c r="R203" s="316">
        <v>0</v>
      </c>
      <c r="S203" s="316">
        <v>0</v>
      </c>
      <c r="T203" s="316">
        <v>0</v>
      </c>
      <c r="U203" s="316">
        <v>0</v>
      </c>
      <c r="V203" s="316">
        <v>0</v>
      </c>
      <c r="W203" s="316">
        <v>0</v>
      </c>
      <c r="X203" s="316">
        <v>0</v>
      </c>
      <c r="Y203" s="316">
        <v>1</v>
      </c>
      <c r="Z203" s="316">
        <v>1</v>
      </c>
      <c r="AA203" s="316">
        <v>1</v>
      </c>
      <c r="AB203" s="316">
        <v>1</v>
      </c>
      <c r="AC203" s="316">
        <v>1</v>
      </c>
      <c r="AD203" s="316">
        <v>1</v>
      </c>
      <c r="AE203" s="316">
        <v>1</v>
      </c>
      <c r="AF203" s="316">
        <v>1</v>
      </c>
      <c r="AG203" s="316">
        <v>1</v>
      </c>
      <c r="AH203" s="316">
        <v>1</v>
      </c>
      <c r="AI203" s="316">
        <v>1</v>
      </c>
      <c r="AJ203" s="316">
        <v>1</v>
      </c>
      <c r="AK203" s="316">
        <v>1</v>
      </c>
      <c r="AL203" s="316">
        <v>1</v>
      </c>
      <c r="AM203" s="316">
        <v>1</v>
      </c>
      <c r="AN203" s="316">
        <v>1</v>
      </c>
      <c r="AO203" s="316">
        <v>1</v>
      </c>
      <c r="AP203" s="316">
        <v>1</v>
      </c>
      <c r="AQ203" s="316">
        <v>1</v>
      </c>
      <c r="AR203" s="316">
        <v>1</v>
      </c>
      <c r="AS203" s="316">
        <v>1</v>
      </c>
      <c r="AT203" s="316">
        <v>1</v>
      </c>
    </row>
    <row r="204" spans="2:46" ht="12.75" hidden="1" customHeight="1" x14ac:dyDescent="0.15">
      <c r="B204" s="315">
        <v>5030</v>
      </c>
      <c r="C204" s="313" t="s">
        <v>368</v>
      </c>
      <c r="D204" s="313" t="s">
        <v>101</v>
      </c>
      <c r="E204" s="313" t="s">
        <v>1793</v>
      </c>
      <c r="F204" s="319" t="s">
        <v>401</v>
      </c>
      <c r="G204" s="315" t="e">
        <f>_xlfn.XLOOKUP(B204,'WFP Details - 2026'!A:A,'WFP Details - 2026'!Z:Z)</f>
        <v>#N/A</v>
      </c>
      <c r="H204" s="314">
        <v>46461</v>
      </c>
      <c r="I204" s="315">
        <v>3</v>
      </c>
      <c r="J204" s="315">
        <v>2027</v>
      </c>
      <c r="K204" s="316">
        <v>0</v>
      </c>
      <c r="L204" s="316">
        <v>0</v>
      </c>
      <c r="M204" s="316">
        <v>0</v>
      </c>
      <c r="N204" s="316">
        <v>0</v>
      </c>
      <c r="O204" s="316">
        <v>0</v>
      </c>
      <c r="P204" s="316">
        <v>0</v>
      </c>
      <c r="Q204" s="316">
        <v>0</v>
      </c>
      <c r="R204" s="316">
        <v>0</v>
      </c>
      <c r="S204" s="316">
        <v>0</v>
      </c>
      <c r="T204" s="316">
        <v>0</v>
      </c>
      <c r="U204" s="316">
        <v>0</v>
      </c>
      <c r="V204" s="316">
        <v>0</v>
      </c>
      <c r="W204" s="316">
        <v>0</v>
      </c>
      <c r="X204" s="316">
        <v>0</v>
      </c>
      <c r="Y204" s="316">
        <v>1</v>
      </c>
      <c r="Z204" s="316">
        <v>1</v>
      </c>
      <c r="AA204" s="316">
        <v>1</v>
      </c>
      <c r="AB204" s="316">
        <v>1</v>
      </c>
      <c r="AC204" s="316">
        <v>1</v>
      </c>
      <c r="AD204" s="316">
        <v>1</v>
      </c>
      <c r="AE204" s="316">
        <v>1</v>
      </c>
      <c r="AF204" s="316">
        <v>1</v>
      </c>
      <c r="AG204" s="316">
        <v>1</v>
      </c>
      <c r="AH204" s="316">
        <v>1</v>
      </c>
      <c r="AI204" s="316">
        <v>1</v>
      </c>
      <c r="AJ204" s="316">
        <v>1</v>
      </c>
      <c r="AK204" s="316">
        <v>1</v>
      </c>
      <c r="AL204" s="316">
        <v>1</v>
      </c>
      <c r="AM204" s="316">
        <v>1</v>
      </c>
      <c r="AN204" s="316">
        <v>1</v>
      </c>
      <c r="AO204" s="316">
        <v>1</v>
      </c>
      <c r="AP204" s="316">
        <v>1</v>
      </c>
      <c r="AQ204" s="316">
        <v>1</v>
      </c>
      <c r="AR204" s="316">
        <v>1</v>
      </c>
      <c r="AS204" s="316">
        <v>1</v>
      </c>
      <c r="AT204" s="316">
        <v>1</v>
      </c>
    </row>
    <row r="205" spans="2:46" ht="12.75" hidden="1" customHeight="1" x14ac:dyDescent="0.15">
      <c r="B205" s="315">
        <v>5034</v>
      </c>
      <c r="C205" s="313" t="s">
        <v>368</v>
      </c>
      <c r="D205" s="313" t="s">
        <v>101</v>
      </c>
      <c r="E205" s="313" t="s">
        <v>1795</v>
      </c>
      <c r="F205" s="319" t="s">
        <v>1310</v>
      </c>
      <c r="G205" s="315" t="e">
        <f>_xlfn.XLOOKUP(B205,'WFP Details - 2026'!A:A,'WFP Details - 2026'!Z:Z)</f>
        <v>#N/A</v>
      </c>
      <c r="H205" s="314">
        <v>46461</v>
      </c>
      <c r="I205" s="315">
        <v>3</v>
      </c>
      <c r="J205" s="315">
        <v>2027</v>
      </c>
      <c r="K205" s="316">
        <v>0</v>
      </c>
      <c r="L205" s="316">
        <v>0</v>
      </c>
      <c r="M205" s="316">
        <v>0</v>
      </c>
      <c r="N205" s="316">
        <v>0</v>
      </c>
      <c r="O205" s="316">
        <v>0</v>
      </c>
      <c r="P205" s="316">
        <v>0</v>
      </c>
      <c r="Q205" s="316">
        <v>0</v>
      </c>
      <c r="R205" s="316">
        <v>0</v>
      </c>
      <c r="S205" s="316">
        <v>0</v>
      </c>
      <c r="T205" s="316">
        <v>0</v>
      </c>
      <c r="U205" s="316">
        <v>0</v>
      </c>
      <c r="V205" s="316">
        <v>0</v>
      </c>
      <c r="W205" s="316">
        <v>0</v>
      </c>
      <c r="X205" s="316">
        <v>0</v>
      </c>
      <c r="Y205" s="316">
        <v>1</v>
      </c>
      <c r="Z205" s="316">
        <v>1</v>
      </c>
      <c r="AA205" s="316">
        <v>1</v>
      </c>
      <c r="AB205" s="316">
        <v>1</v>
      </c>
      <c r="AC205" s="316">
        <v>1</v>
      </c>
      <c r="AD205" s="316">
        <v>1</v>
      </c>
      <c r="AE205" s="316">
        <v>1</v>
      </c>
      <c r="AF205" s="316">
        <v>1</v>
      </c>
      <c r="AG205" s="316">
        <v>1</v>
      </c>
      <c r="AH205" s="316">
        <v>1</v>
      </c>
      <c r="AI205" s="316">
        <v>1</v>
      </c>
      <c r="AJ205" s="316">
        <v>1</v>
      </c>
      <c r="AK205" s="316">
        <v>1</v>
      </c>
      <c r="AL205" s="316">
        <v>1</v>
      </c>
      <c r="AM205" s="316">
        <v>1</v>
      </c>
      <c r="AN205" s="316">
        <v>1</v>
      </c>
      <c r="AO205" s="316">
        <v>1</v>
      </c>
      <c r="AP205" s="316">
        <v>1</v>
      </c>
      <c r="AQ205" s="316">
        <v>1</v>
      </c>
      <c r="AR205" s="316">
        <v>1</v>
      </c>
      <c r="AS205" s="316">
        <v>1</v>
      </c>
      <c r="AT205" s="316">
        <v>1</v>
      </c>
    </row>
    <row r="206" spans="2:46" ht="12.75" customHeight="1" x14ac:dyDescent="0.15">
      <c r="B206" s="315">
        <v>1311</v>
      </c>
      <c r="C206" s="313" t="s">
        <v>405</v>
      </c>
      <c r="D206" s="313" t="s">
        <v>409</v>
      </c>
      <c r="E206" s="319" t="s">
        <v>1792</v>
      </c>
      <c r="F206" s="319" t="s">
        <v>1861</v>
      </c>
      <c r="G206" s="315" t="str">
        <f>_xlfn.XLOOKUP(B206,'WFP Details - 2026'!A:A,'WFP Details - 2026'!Z:Z)</f>
        <v>x</v>
      </c>
      <c r="H206" s="314">
        <v>45684</v>
      </c>
      <c r="I206" s="315">
        <v>1</v>
      </c>
      <c r="J206" s="315">
        <v>2025</v>
      </c>
      <c r="K206" s="316">
        <v>1</v>
      </c>
      <c r="L206" s="316">
        <v>1</v>
      </c>
      <c r="M206" s="316">
        <v>1</v>
      </c>
      <c r="N206" s="316">
        <v>1</v>
      </c>
      <c r="O206" s="316">
        <v>1</v>
      </c>
      <c r="P206" s="316">
        <v>1</v>
      </c>
      <c r="Q206" s="316">
        <v>1</v>
      </c>
      <c r="R206" s="316">
        <v>1</v>
      </c>
      <c r="S206" s="316">
        <v>1</v>
      </c>
      <c r="T206" s="316">
        <v>1</v>
      </c>
      <c r="U206" s="316">
        <v>1</v>
      </c>
      <c r="V206" s="316">
        <v>1</v>
      </c>
      <c r="W206" s="316">
        <v>1</v>
      </c>
      <c r="X206" s="316">
        <v>1</v>
      </c>
      <c r="Y206" s="316">
        <v>1</v>
      </c>
      <c r="Z206" s="316">
        <v>1</v>
      </c>
      <c r="AA206" s="316">
        <v>1</v>
      </c>
      <c r="AB206" s="316">
        <v>1</v>
      </c>
      <c r="AC206" s="316">
        <v>1</v>
      </c>
      <c r="AD206" s="316">
        <v>1</v>
      </c>
      <c r="AE206" s="316">
        <v>1</v>
      </c>
      <c r="AF206" s="316">
        <v>1</v>
      </c>
      <c r="AG206" s="316">
        <v>1</v>
      </c>
      <c r="AH206" s="316">
        <v>1</v>
      </c>
      <c r="AI206" s="316">
        <v>1</v>
      </c>
      <c r="AJ206" s="316">
        <v>1</v>
      </c>
      <c r="AK206" s="316">
        <v>1</v>
      </c>
      <c r="AL206" s="316">
        <v>1</v>
      </c>
      <c r="AM206" s="316">
        <v>1</v>
      </c>
      <c r="AN206" s="316">
        <v>1</v>
      </c>
      <c r="AO206" s="316">
        <v>1</v>
      </c>
      <c r="AP206" s="316">
        <v>1</v>
      </c>
      <c r="AQ206" s="316">
        <v>1</v>
      </c>
      <c r="AR206" s="316">
        <v>1</v>
      </c>
      <c r="AS206" s="316">
        <v>1</v>
      </c>
      <c r="AT206" s="316">
        <v>1</v>
      </c>
    </row>
    <row r="207" spans="2:46" ht="12.75" customHeight="1" x14ac:dyDescent="0.15">
      <c r="B207" s="318">
        <v>1235</v>
      </c>
      <c r="C207" s="313" t="s">
        <v>405</v>
      </c>
      <c r="D207" s="313" t="s">
        <v>420</v>
      </c>
      <c r="E207" s="319" t="s">
        <v>1817</v>
      </c>
      <c r="F207" s="319" t="s">
        <v>1862</v>
      </c>
      <c r="G207" s="315" t="str">
        <f>_xlfn.XLOOKUP(B207,'WFP Details - 2026'!A:A,'WFP Details - 2026'!Z:Z)</f>
        <v>x</v>
      </c>
      <c r="H207" s="314">
        <v>45810</v>
      </c>
      <c r="I207" s="315">
        <v>6</v>
      </c>
      <c r="J207" s="315">
        <v>2025</v>
      </c>
      <c r="K207" s="316">
        <v>1</v>
      </c>
      <c r="L207" s="316">
        <v>1</v>
      </c>
      <c r="M207" s="316">
        <v>1</v>
      </c>
      <c r="N207" s="316">
        <v>1</v>
      </c>
      <c r="O207" s="316">
        <v>1</v>
      </c>
      <c r="P207" s="316">
        <v>1</v>
      </c>
      <c r="Q207" s="316">
        <v>1</v>
      </c>
      <c r="R207" s="316">
        <v>1</v>
      </c>
      <c r="S207" s="316">
        <v>1</v>
      </c>
      <c r="T207" s="316">
        <v>1</v>
      </c>
      <c r="U207" s="316">
        <v>1</v>
      </c>
      <c r="V207" s="316">
        <v>1</v>
      </c>
      <c r="W207" s="316">
        <v>1</v>
      </c>
      <c r="X207" s="316">
        <v>1</v>
      </c>
      <c r="Y207" s="316">
        <v>1</v>
      </c>
      <c r="Z207" s="316">
        <v>1</v>
      </c>
      <c r="AA207" s="316">
        <v>1</v>
      </c>
      <c r="AB207" s="316">
        <v>1</v>
      </c>
      <c r="AC207" s="316">
        <v>1</v>
      </c>
      <c r="AD207" s="316">
        <v>1</v>
      </c>
      <c r="AE207" s="316">
        <v>1</v>
      </c>
      <c r="AF207" s="316">
        <v>1</v>
      </c>
      <c r="AG207" s="316">
        <v>1</v>
      </c>
      <c r="AH207" s="316">
        <v>1</v>
      </c>
      <c r="AI207" s="316">
        <v>1</v>
      </c>
      <c r="AJ207" s="316">
        <v>1</v>
      </c>
      <c r="AK207" s="316">
        <v>1</v>
      </c>
      <c r="AL207" s="316">
        <v>1</v>
      </c>
      <c r="AM207" s="316">
        <v>1</v>
      </c>
      <c r="AN207" s="316">
        <v>1</v>
      </c>
      <c r="AO207" s="316">
        <v>1</v>
      </c>
      <c r="AP207" s="316">
        <v>1</v>
      </c>
      <c r="AQ207" s="316">
        <v>1</v>
      </c>
      <c r="AR207" s="316">
        <v>1</v>
      </c>
      <c r="AS207" s="316">
        <v>1</v>
      </c>
      <c r="AT207" s="316">
        <v>1</v>
      </c>
    </row>
    <row r="208" spans="2:46" ht="12.75" customHeight="1" x14ac:dyDescent="0.15">
      <c r="B208" s="312">
        <v>5121</v>
      </c>
      <c r="C208" s="313" t="s">
        <v>405</v>
      </c>
      <c r="D208" s="313" t="s">
        <v>101</v>
      </c>
      <c r="E208" s="319" t="s">
        <v>1805</v>
      </c>
      <c r="F208" s="319" t="s">
        <v>1863</v>
      </c>
      <c r="G208" s="315" t="str">
        <f>_xlfn.XLOOKUP(B208,'WFP Details - 2026'!A:A,'WFP Details - 2026'!Z:Z)</f>
        <v>x</v>
      </c>
      <c r="H208" s="314">
        <v>46096</v>
      </c>
      <c r="I208" s="315">
        <v>3</v>
      </c>
      <c r="J208" s="315">
        <v>2026</v>
      </c>
      <c r="K208" s="316">
        <v>0</v>
      </c>
      <c r="L208" s="316">
        <v>0</v>
      </c>
      <c r="M208" s="316">
        <v>1</v>
      </c>
      <c r="N208" s="316">
        <v>1</v>
      </c>
      <c r="O208" s="316">
        <v>1</v>
      </c>
      <c r="P208" s="316">
        <v>1</v>
      </c>
      <c r="Q208" s="316">
        <v>1</v>
      </c>
      <c r="R208" s="316">
        <v>1</v>
      </c>
      <c r="S208" s="316">
        <v>1</v>
      </c>
      <c r="T208" s="316">
        <v>1</v>
      </c>
      <c r="U208" s="316">
        <v>1</v>
      </c>
      <c r="V208" s="316">
        <v>1</v>
      </c>
      <c r="W208" s="316">
        <v>1</v>
      </c>
      <c r="X208" s="316">
        <v>1</v>
      </c>
      <c r="Y208" s="316">
        <v>1</v>
      </c>
      <c r="Z208" s="316">
        <v>1</v>
      </c>
      <c r="AA208" s="316">
        <v>1</v>
      </c>
      <c r="AB208" s="316">
        <v>1</v>
      </c>
      <c r="AC208" s="316">
        <v>1</v>
      </c>
      <c r="AD208" s="316">
        <v>1</v>
      </c>
      <c r="AE208" s="316">
        <v>1</v>
      </c>
      <c r="AF208" s="316">
        <v>1</v>
      </c>
      <c r="AG208" s="316">
        <v>1</v>
      </c>
      <c r="AH208" s="316">
        <v>1</v>
      </c>
      <c r="AI208" s="316">
        <v>1</v>
      </c>
      <c r="AJ208" s="316">
        <v>1</v>
      </c>
      <c r="AK208" s="316">
        <v>1</v>
      </c>
      <c r="AL208" s="316">
        <v>1</v>
      </c>
      <c r="AM208" s="316">
        <v>1</v>
      </c>
      <c r="AN208" s="316">
        <v>1</v>
      </c>
      <c r="AO208" s="316">
        <v>1</v>
      </c>
      <c r="AP208" s="316">
        <v>1</v>
      </c>
      <c r="AQ208" s="316">
        <v>1</v>
      </c>
      <c r="AR208" s="316">
        <v>1</v>
      </c>
      <c r="AS208" s="316">
        <v>1</v>
      </c>
      <c r="AT208" s="316">
        <v>1</v>
      </c>
    </row>
    <row r="209" spans="2:46" ht="12.75" customHeight="1" x14ac:dyDescent="0.15">
      <c r="B209" s="315">
        <v>5122</v>
      </c>
      <c r="C209" s="319" t="s">
        <v>405</v>
      </c>
      <c r="D209" s="313" t="s">
        <v>101</v>
      </c>
      <c r="E209" s="319" t="s">
        <v>1805</v>
      </c>
      <c r="F209" s="319" t="s">
        <v>1864</v>
      </c>
      <c r="G209" s="315" t="str">
        <f>_xlfn.XLOOKUP(B209,'WFP Details - 2026'!A:A,'WFP Details - 2026'!Z:Z)</f>
        <v>x</v>
      </c>
      <c r="H209" s="314">
        <v>46096</v>
      </c>
      <c r="I209" s="315">
        <v>3</v>
      </c>
      <c r="J209" s="315">
        <v>2026</v>
      </c>
      <c r="K209" s="316">
        <v>0</v>
      </c>
      <c r="L209" s="316">
        <v>0</v>
      </c>
      <c r="M209" s="316">
        <v>1</v>
      </c>
      <c r="N209" s="316">
        <v>1</v>
      </c>
      <c r="O209" s="316">
        <v>1</v>
      </c>
      <c r="P209" s="316">
        <v>1</v>
      </c>
      <c r="Q209" s="316">
        <v>1</v>
      </c>
      <c r="R209" s="316">
        <v>1</v>
      </c>
      <c r="S209" s="316">
        <v>1</v>
      </c>
      <c r="T209" s="316">
        <v>1</v>
      </c>
      <c r="U209" s="316">
        <v>1</v>
      </c>
      <c r="V209" s="316">
        <v>1</v>
      </c>
      <c r="W209" s="316">
        <v>1</v>
      </c>
      <c r="X209" s="316">
        <v>1</v>
      </c>
      <c r="Y209" s="316">
        <v>1</v>
      </c>
      <c r="Z209" s="316">
        <v>1</v>
      </c>
      <c r="AA209" s="316">
        <v>1</v>
      </c>
      <c r="AB209" s="316">
        <v>1</v>
      </c>
      <c r="AC209" s="316">
        <v>1</v>
      </c>
      <c r="AD209" s="316">
        <v>1</v>
      </c>
      <c r="AE209" s="316">
        <v>1</v>
      </c>
      <c r="AF209" s="316">
        <v>1</v>
      </c>
      <c r="AG209" s="316">
        <v>1</v>
      </c>
      <c r="AH209" s="316">
        <v>1</v>
      </c>
      <c r="AI209" s="316">
        <v>1</v>
      </c>
      <c r="AJ209" s="316">
        <v>1</v>
      </c>
      <c r="AK209" s="316">
        <v>1</v>
      </c>
      <c r="AL209" s="316">
        <v>1</v>
      </c>
      <c r="AM209" s="316">
        <v>1</v>
      </c>
      <c r="AN209" s="316">
        <v>1</v>
      </c>
      <c r="AO209" s="316">
        <v>1</v>
      </c>
      <c r="AP209" s="316">
        <v>1</v>
      </c>
      <c r="AQ209" s="316">
        <v>1</v>
      </c>
      <c r="AR209" s="316">
        <v>1</v>
      </c>
      <c r="AS209" s="316">
        <v>1</v>
      </c>
      <c r="AT209" s="316">
        <v>1</v>
      </c>
    </row>
    <row r="210" spans="2:46" ht="12.75" customHeight="1" x14ac:dyDescent="0.15">
      <c r="B210" s="315">
        <v>5123</v>
      </c>
      <c r="C210" s="319" t="s">
        <v>405</v>
      </c>
      <c r="D210" s="313" t="s">
        <v>101</v>
      </c>
      <c r="E210" s="319" t="s">
        <v>1805</v>
      </c>
      <c r="F210" s="319" t="s">
        <v>1864</v>
      </c>
      <c r="G210" s="315" t="str">
        <f>_xlfn.XLOOKUP(B210,'WFP Details - 2026'!A:A,'WFP Details - 2026'!Z:Z)</f>
        <v>x</v>
      </c>
      <c r="H210" s="314">
        <v>46371</v>
      </c>
      <c r="I210" s="315">
        <v>12</v>
      </c>
      <c r="J210" s="315">
        <v>2026</v>
      </c>
      <c r="K210" s="316">
        <v>0</v>
      </c>
      <c r="L210" s="316">
        <v>0</v>
      </c>
      <c r="M210" s="316">
        <v>0</v>
      </c>
      <c r="N210" s="316">
        <v>0</v>
      </c>
      <c r="O210" s="316">
        <v>0</v>
      </c>
      <c r="P210" s="316">
        <v>0</v>
      </c>
      <c r="Q210" s="316">
        <v>0</v>
      </c>
      <c r="R210" s="316">
        <v>0</v>
      </c>
      <c r="S210" s="316">
        <v>0</v>
      </c>
      <c r="T210" s="316">
        <v>0</v>
      </c>
      <c r="U210" s="316">
        <v>0</v>
      </c>
      <c r="V210" s="316">
        <v>1</v>
      </c>
      <c r="W210" s="316">
        <v>1</v>
      </c>
      <c r="X210" s="316">
        <v>1</v>
      </c>
      <c r="Y210" s="316">
        <v>1</v>
      </c>
      <c r="Z210" s="316">
        <v>1</v>
      </c>
      <c r="AA210" s="316">
        <v>1</v>
      </c>
      <c r="AB210" s="316">
        <v>1</v>
      </c>
      <c r="AC210" s="316">
        <v>1</v>
      </c>
      <c r="AD210" s="316">
        <v>1</v>
      </c>
      <c r="AE210" s="316">
        <v>1</v>
      </c>
      <c r="AF210" s="316">
        <v>1</v>
      </c>
      <c r="AG210" s="316">
        <v>1</v>
      </c>
      <c r="AH210" s="316">
        <v>1</v>
      </c>
      <c r="AI210" s="316">
        <v>1</v>
      </c>
      <c r="AJ210" s="316">
        <v>1</v>
      </c>
      <c r="AK210" s="316">
        <v>1</v>
      </c>
      <c r="AL210" s="316">
        <v>1</v>
      </c>
      <c r="AM210" s="316">
        <v>1</v>
      </c>
      <c r="AN210" s="316">
        <v>1</v>
      </c>
      <c r="AO210" s="316">
        <v>1</v>
      </c>
      <c r="AP210" s="316">
        <v>1</v>
      </c>
      <c r="AQ210" s="316">
        <v>1</v>
      </c>
      <c r="AR210" s="316">
        <v>1</v>
      </c>
      <c r="AS210" s="316">
        <v>1</v>
      </c>
      <c r="AT210" s="316">
        <v>1</v>
      </c>
    </row>
    <row r="211" spans="2:46" ht="12.75" hidden="1" customHeight="1" x14ac:dyDescent="0.15">
      <c r="B211" s="315">
        <v>5124</v>
      </c>
      <c r="C211" s="319" t="s">
        <v>405</v>
      </c>
      <c r="D211" s="313" t="s">
        <v>101</v>
      </c>
      <c r="E211" s="313" t="s">
        <v>1817</v>
      </c>
      <c r="F211" s="319" t="s">
        <v>1376</v>
      </c>
      <c r="G211" s="315" t="e">
        <f>_xlfn.XLOOKUP(B211,'WFP Details - 2026'!A:A,'WFP Details - 2026'!Z:Z)</f>
        <v>#N/A</v>
      </c>
      <c r="H211" s="314">
        <v>46461</v>
      </c>
      <c r="I211" s="315">
        <v>3</v>
      </c>
      <c r="J211" s="315">
        <v>2027</v>
      </c>
      <c r="K211" s="316">
        <v>0</v>
      </c>
      <c r="L211" s="316">
        <v>0</v>
      </c>
      <c r="M211" s="316">
        <v>0</v>
      </c>
      <c r="N211" s="316">
        <v>0</v>
      </c>
      <c r="O211" s="316">
        <v>0</v>
      </c>
      <c r="P211" s="316">
        <v>0</v>
      </c>
      <c r="Q211" s="316">
        <v>0</v>
      </c>
      <c r="R211" s="316">
        <v>0</v>
      </c>
      <c r="S211" s="316">
        <v>0</v>
      </c>
      <c r="T211" s="316">
        <v>0</v>
      </c>
      <c r="U211" s="316">
        <v>0</v>
      </c>
      <c r="V211" s="316">
        <v>0</v>
      </c>
      <c r="W211" s="316">
        <v>0</v>
      </c>
      <c r="X211" s="316">
        <v>0</v>
      </c>
      <c r="Y211" s="316">
        <v>1</v>
      </c>
      <c r="Z211" s="316">
        <v>1</v>
      </c>
      <c r="AA211" s="316">
        <v>1</v>
      </c>
      <c r="AB211" s="316">
        <v>1</v>
      </c>
      <c r="AC211" s="316">
        <v>1</v>
      </c>
      <c r="AD211" s="316">
        <v>1</v>
      </c>
      <c r="AE211" s="316">
        <v>1</v>
      </c>
      <c r="AF211" s="316">
        <v>1</v>
      </c>
      <c r="AG211" s="316">
        <v>1</v>
      </c>
      <c r="AH211" s="316">
        <v>1</v>
      </c>
      <c r="AI211" s="316">
        <v>1</v>
      </c>
      <c r="AJ211" s="316">
        <v>1</v>
      </c>
      <c r="AK211" s="316">
        <v>1</v>
      </c>
      <c r="AL211" s="316">
        <v>1</v>
      </c>
      <c r="AM211" s="316">
        <v>1</v>
      </c>
      <c r="AN211" s="316">
        <v>1</v>
      </c>
      <c r="AO211" s="316">
        <v>1</v>
      </c>
      <c r="AP211" s="316">
        <v>1</v>
      </c>
      <c r="AQ211" s="316">
        <v>1</v>
      </c>
      <c r="AR211" s="316">
        <v>1</v>
      </c>
      <c r="AS211" s="316">
        <v>1</v>
      </c>
      <c r="AT211" s="316">
        <v>1</v>
      </c>
    </row>
    <row r="212" spans="2:46" ht="12.75" hidden="1" customHeight="1" x14ac:dyDescent="0.15">
      <c r="B212" s="315">
        <v>5125</v>
      </c>
      <c r="C212" s="319" t="s">
        <v>405</v>
      </c>
      <c r="D212" s="313" t="s">
        <v>101</v>
      </c>
      <c r="E212" s="313" t="s">
        <v>1795</v>
      </c>
      <c r="F212" s="319" t="s">
        <v>1381</v>
      </c>
      <c r="G212" s="315" t="e">
        <f>_xlfn.XLOOKUP(B212,'WFP Details - 2026'!A:A,'WFP Details - 2026'!Z:Z)</f>
        <v>#N/A</v>
      </c>
      <c r="H212" s="314">
        <v>46461</v>
      </c>
      <c r="I212" s="315">
        <v>3</v>
      </c>
      <c r="J212" s="315">
        <v>2027</v>
      </c>
      <c r="K212" s="316">
        <v>0</v>
      </c>
      <c r="L212" s="316">
        <v>0</v>
      </c>
      <c r="M212" s="316">
        <v>0</v>
      </c>
      <c r="N212" s="316">
        <v>0</v>
      </c>
      <c r="O212" s="316">
        <v>0</v>
      </c>
      <c r="P212" s="316">
        <v>0</v>
      </c>
      <c r="Q212" s="316">
        <v>0</v>
      </c>
      <c r="R212" s="316">
        <v>0</v>
      </c>
      <c r="S212" s="316">
        <v>0</v>
      </c>
      <c r="T212" s="316">
        <v>0</v>
      </c>
      <c r="U212" s="316">
        <v>0</v>
      </c>
      <c r="V212" s="316">
        <v>0</v>
      </c>
      <c r="W212" s="316">
        <v>0</v>
      </c>
      <c r="X212" s="316">
        <v>0</v>
      </c>
      <c r="Y212" s="316">
        <v>1</v>
      </c>
      <c r="Z212" s="316">
        <v>1</v>
      </c>
      <c r="AA212" s="316">
        <v>1</v>
      </c>
      <c r="AB212" s="316">
        <v>1</v>
      </c>
      <c r="AC212" s="316">
        <v>1</v>
      </c>
      <c r="AD212" s="316">
        <v>1</v>
      </c>
      <c r="AE212" s="316">
        <v>1</v>
      </c>
      <c r="AF212" s="316">
        <v>1</v>
      </c>
      <c r="AG212" s="316">
        <v>1</v>
      </c>
      <c r="AH212" s="316">
        <v>1</v>
      </c>
      <c r="AI212" s="316">
        <v>1</v>
      </c>
      <c r="AJ212" s="316">
        <v>1</v>
      </c>
      <c r="AK212" s="316">
        <v>1</v>
      </c>
      <c r="AL212" s="316">
        <v>1</v>
      </c>
      <c r="AM212" s="316">
        <v>1</v>
      </c>
      <c r="AN212" s="316">
        <v>1</v>
      </c>
      <c r="AO212" s="316">
        <v>1</v>
      </c>
      <c r="AP212" s="316">
        <v>1</v>
      </c>
      <c r="AQ212" s="316">
        <v>1</v>
      </c>
      <c r="AR212" s="316">
        <v>1</v>
      </c>
      <c r="AS212" s="316">
        <v>1</v>
      </c>
      <c r="AT212" s="316">
        <v>1</v>
      </c>
    </row>
    <row r="213" spans="2:46" ht="12.75" hidden="1" customHeight="1" x14ac:dyDescent="0.15">
      <c r="B213" s="315">
        <v>5126</v>
      </c>
      <c r="C213" s="319" t="s">
        <v>405</v>
      </c>
      <c r="D213" s="313" t="s">
        <v>101</v>
      </c>
      <c r="E213" s="313" t="s">
        <v>1793</v>
      </c>
      <c r="F213" s="319" t="s">
        <v>1387</v>
      </c>
      <c r="G213" s="315" t="e">
        <f>_xlfn.XLOOKUP(B213,'WFP Details - 2026'!A:A,'WFP Details - 2026'!Z:Z)</f>
        <v>#N/A</v>
      </c>
      <c r="H213" s="314">
        <v>46461</v>
      </c>
      <c r="I213" s="315">
        <v>3</v>
      </c>
      <c r="J213" s="315">
        <v>2027</v>
      </c>
      <c r="K213" s="316">
        <v>0</v>
      </c>
      <c r="L213" s="316">
        <v>0</v>
      </c>
      <c r="M213" s="316">
        <v>0</v>
      </c>
      <c r="N213" s="316">
        <v>0</v>
      </c>
      <c r="O213" s="316">
        <v>0</v>
      </c>
      <c r="P213" s="316">
        <v>0</v>
      </c>
      <c r="Q213" s="316">
        <v>0</v>
      </c>
      <c r="R213" s="316">
        <v>0</v>
      </c>
      <c r="S213" s="316">
        <v>0</v>
      </c>
      <c r="T213" s="316">
        <v>0</v>
      </c>
      <c r="U213" s="316">
        <v>0</v>
      </c>
      <c r="V213" s="316">
        <v>0</v>
      </c>
      <c r="W213" s="316">
        <v>0</v>
      </c>
      <c r="X213" s="316">
        <v>0</v>
      </c>
      <c r="Y213" s="316">
        <v>1</v>
      </c>
      <c r="Z213" s="316">
        <v>1</v>
      </c>
      <c r="AA213" s="316">
        <v>1</v>
      </c>
      <c r="AB213" s="316">
        <v>1</v>
      </c>
      <c r="AC213" s="316">
        <v>1</v>
      </c>
      <c r="AD213" s="316">
        <v>1</v>
      </c>
      <c r="AE213" s="316">
        <v>1</v>
      </c>
      <c r="AF213" s="316">
        <v>1</v>
      </c>
      <c r="AG213" s="316">
        <v>1</v>
      </c>
      <c r="AH213" s="316">
        <v>1</v>
      </c>
      <c r="AI213" s="316">
        <v>1</v>
      </c>
      <c r="AJ213" s="316">
        <v>1</v>
      </c>
      <c r="AK213" s="316">
        <v>1</v>
      </c>
      <c r="AL213" s="316">
        <v>1</v>
      </c>
      <c r="AM213" s="316">
        <v>1</v>
      </c>
      <c r="AN213" s="316">
        <v>1</v>
      </c>
      <c r="AO213" s="316">
        <v>1</v>
      </c>
      <c r="AP213" s="316">
        <v>1</v>
      </c>
      <c r="AQ213" s="316">
        <v>1</v>
      </c>
      <c r="AR213" s="316">
        <v>1</v>
      </c>
      <c r="AS213" s="316">
        <v>1</v>
      </c>
      <c r="AT213" s="316">
        <v>1</v>
      </c>
    </row>
    <row r="214" spans="2:46" ht="12.75" hidden="1" customHeight="1" x14ac:dyDescent="0.15">
      <c r="B214" s="315">
        <v>5127</v>
      </c>
      <c r="C214" s="319" t="s">
        <v>405</v>
      </c>
      <c r="D214" s="313" t="s">
        <v>101</v>
      </c>
      <c r="E214" s="313" t="s">
        <v>1793</v>
      </c>
      <c r="F214" s="319" t="s">
        <v>1392</v>
      </c>
      <c r="G214" s="315" t="e">
        <f>_xlfn.XLOOKUP(B214,'WFP Details - 2026'!A:A,'WFP Details - 2026'!Z:Z)</f>
        <v>#N/A</v>
      </c>
      <c r="H214" s="314">
        <v>46461</v>
      </c>
      <c r="I214" s="315">
        <v>3</v>
      </c>
      <c r="J214" s="315">
        <v>2027</v>
      </c>
      <c r="K214" s="316">
        <v>0</v>
      </c>
      <c r="L214" s="316">
        <v>0</v>
      </c>
      <c r="M214" s="316">
        <v>0</v>
      </c>
      <c r="N214" s="316">
        <v>0</v>
      </c>
      <c r="O214" s="316">
        <v>0</v>
      </c>
      <c r="P214" s="316">
        <v>0</v>
      </c>
      <c r="Q214" s="316">
        <v>0</v>
      </c>
      <c r="R214" s="316">
        <v>0</v>
      </c>
      <c r="S214" s="316">
        <v>0</v>
      </c>
      <c r="T214" s="316">
        <v>0</v>
      </c>
      <c r="U214" s="316">
        <v>0</v>
      </c>
      <c r="V214" s="316">
        <v>0</v>
      </c>
      <c r="W214" s="316">
        <v>0</v>
      </c>
      <c r="X214" s="316">
        <v>0</v>
      </c>
      <c r="Y214" s="316">
        <v>1</v>
      </c>
      <c r="Z214" s="316">
        <v>1</v>
      </c>
      <c r="AA214" s="316">
        <v>1</v>
      </c>
      <c r="AB214" s="316">
        <v>1</v>
      </c>
      <c r="AC214" s="316">
        <v>1</v>
      </c>
      <c r="AD214" s="316">
        <v>1</v>
      </c>
      <c r="AE214" s="316">
        <v>1</v>
      </c>
      <c r="AF214" s="316">
        <v>1</v>
      </c>
      <c r="AG214" s="316">
        <v>1</v>
      </c>
      <c r="AH214" s="316">
        <v>1</v>
      </c>
      <c r="AI214" s="316">
        <v>1</v>
      </c>
      <c r="AJ214" s="316">
        <v>1</v>
      </c>
      <c r="AK214" s="316">
        <v>1</v>
      </c>
      <c r="AL214" s="316">
        <v>1</v>
      </c>
      <c r="AM214" s="316">
        <v>1</v>
      </c>
      <c r="AN214" s="316">
        <v>1</v>
      </c>
      <c r="AO214" s="316">
        <v>1</v>
      </c>
      <c r="AP214" s="316">
        <v>1</v>
      </c>
      <c r="AQ214" s="316">
        <v>1</v>
      </c>
      <c r="AR214" s="316">
        <v>1</v>
      </c>
      <c r="AS214" s="316">
        <v>1</v>
      </c>
      <c r="AT214" s="316">
        <v>1</v>
      </c>
    </row>
    <row r="215" spans="2:46" ht="12.75" hidden="1" customHeight="1" x14ac:dyDescent="0.15">
      <c r="B215" s="315">
        <v>5128</v>
      </c>
      <c r="C215" s="319" t="s">
        <v>405</v>
      </c>
      <c r="D215" s="313" t="s">
        <v>101</v>
      </c>
      <c r="E215" s="313" t="s">
        <v>1794</v>
      </c>
      <c r="F215" s="319" t="s">
        <v>1397</v>
      </c>
      <c r="G215" s="315" t="e">
        <f>_xlfn.XLOOKUP(B215,'WFP Details - 2026'!A:A,'WFP Details - 2026'!Z:Z)</f>
        <v>#N/A</v>
      </c>
      <c r="H215" s="314">
        <v>46461</v>
      </c>
      <c r="I215" s="315">
        <v>3</v>
      </c>
      <c r="J215" s="315">
        <v>2027</v>
      </c>
      <c r="K215" s="316">
        <v>0</v>
      </c>
      <c r="L215" s="316">
        <v>0</v>
      </c>
      <c r="M215" s="316">
        <v>0</v>
      </c>
      <c r="N215" s="316">
        <v>0</v>
      </c>
      <c r="O215" s="316">
        <v>0</v>
      </c>
      <c r="P215" s="316">
        <v>0</v>
      </c>
      <c r="Q215" s="316">
        <v>0</v>
      </c>
      <c r="R215" s="316">
        <v>0</v>
      </c>
      <c r="S215" s="316">
        <v>0</v>
      </c>
      <c r="T215" s="316">
        <v>0</v>
      </c>
      <c r="U215" s="316">
        <v>0</v>
      </c>
      <c r="V215" s="316">
        <v>0</v>
      </c>
      <c r="W215" s="316">
        <v>0</v>
      </c>
      <c r="X215" s="316">
        <v>0</v>
      </c>
      <c r="Y215" s="316">
        <v>1</v>
      </c>
      <c r="Z215" s="316">
        <v>1</v>
      </c>
      <c r="AA215" s="316">
        <v>1</v>
      </c>
      <c r="AB215" s="316">
        <v>1</v>
      </c>
      <c r="AC215" s="316">
        <v>1</v>
      </c>
      <c r="AD215" s="316">
        <v>1</v>
      </c>
      <c r="AE215" s="316">
        <v>1</v>
      </c>
      <c r="AF215" s="316">
        <v>1</v>
      </c>
      <c r="AG215" s="316">
        <v>1</v>
      </c>
      <c r="AH215" s="316">
        <v>1</v>
      </c>
      <c r="AI215" s="316">
        <v>1</v>
      </c>
      <c r="AJ215" s="316">
        <v>1</v>
      </c>
      <c r="AK215" s="316">
        <v>1</v>
      </c>
      <c r="AL215" s="316">
        <v>1</v>
      </c>
      <c r="AM215" s="316">
        <v>1</v>
      </c>
      <c r="AN215" s="316">
        <v>1</v>
      </c>
      <c r="AO215" s="316">
        <v>1</v>
      </c>
      <c r="AP215" s="316">
        <v>1</v>
      </c>
      <c r="AQ215" s="316">
        <v>1</v>
      </c>
      <c r="AR215" s="316">
        <v>1</v>
      </c>
      <c r="AS215" s="316">
        <v>1</v>
      </c>
      <c r="AT215" s="316">
        <v>1</v>
      </c>
    </row>
    <row r="216" spans="2:46" ht="12.75" hidden="1" customHeight="1" x14ac:dyDescent="0.15">
      <c r="B216" s="315">
        <v>5146</v>
      </c>
      <c r="C216" s="319" t="s">
        <v>405</v>
      </c>
      <c r="D216" s="313" t="s">
        <v>101</v>
      </c>
      <c r="E216" s="313" t="s">
        <v>1793</v>
      </c>
      <c r="F216" s="319" t="s">
        <v>1400</v>
      </c>
      <c r="G216" s="315" t="e">
        <f>_xlfn.XLOOKUP(B216,'WFP Details - 2026'!A:A,'WFP Details - 2026'!Z:Z)</f>
        <v>#N/A</v>
      </c>
      <c r="H216" s="314">
        <v>46461</v>
      </c>
      <c r="I216" s="315">
        <v>3</v>
      </c>
      <c r="J216" s="315">
        <v>2027</v>
      </c>
      <c r="K216" s="316">
        <v>0</v>
      </c>
      <c r="L216" s="316">
        <v>0</v>
      </c>
      <c r="M216" s="316">
        <v>0</v>
      </c>
      <c r="N216" s="316">
        <v>0</v>
      </c>
      <c r="O216" s="316">
        <v>0</v>
      </c>
      <c r="P216" s="316">
        <v>0</v>
      </c>
      <c r="Q216" s="316">
        <v>0</v>
      </c>
      <c r="R216" s="316">
        <v>0</v>
      </c>
      <c r="S216" s="316">
        <v>0</v>
      </c>
      <c r="T216" s="316">
        <v>0</v>
      </c>
      <c r="U216" s="316">
        <v>0</v>
      </c>
      <c r="V216" s="316">
        <v>0</v>
      </c>
      <c r="W216" s="316">
        <v>0</v>
      </c>
      <c r="X216" s="316">
        <v>0</v>
      </c>
      <c r="Y216" s="316">
        <v>1</v>
      </c>
      <c r="Z216" s="316">
        <v>1</v>
      </c>
      <c r="AA216" s="316">
        <v>1</v>
      </c>
      <c r="AB216" s="316">
        <v>1</v>
      </c>
      <c r="AC216" s="316">
        <v>1</v>
      </c>
      <c r="AD216" s="316">
        <v>1</v>
      </c>
      <c r="AE216" s="316">
        <v>1</v>
      </c>
      <c r="AF216" s="316">
        <v>1</v>
      </c>
      <c r="AG216" s="316">
        <v>1</v>
      </c>
      <c r="AH216" s="316">
        <v>1</v>
      </c>
      <c r="AI216" s="316">
        <v>1</v>
      </c>
      <c r="AJ216" s="316">
        <v>1</v>
      </c>
      <c r="AK216" s="316">
        <v>1</v>
      </c>
      <c r="AL216" s="316">
        <v>1</v>
      </c>
      <c r="AM216" s="316">
        <v>1</v>
      </c>
      <c r="AN216" s="316">
        <v>1</v>
      </c>
      <c r="AO216" s="316">
        <v>1</v>
      </c>
      <c r="AP216" s="316">
        <v>1</v>
      </c>
      <c r="AQ216" s="316">
        <v>1</v>
      </c>
      <c r="AR216" s="316">
        <v>1</v>
      </c>
      <c r="AS216" s="316">
        <v>1</v>
      </c>
      <c r="AT216" s="316">
        <v>1</v>
      </c>
    </row>
    <row r="217" spans="2:46" ht="12.75" hidden="1" customHeight="1" x14ac:dyDescent="0.15">
      <c r="B217" s="315">
        <v>5129</v>
      </c>
      <c r="C217" s="319" t="s">
        <v>405</v>
      </c>
      <c r="D217" s="313" t="s">
        <v>101</v>
      </c>
      <c r="E217" s="313" t="s">
        <v>1817</v>
      </c>
      <c r="F217" s="319" t="s">
        <v>1405</v>
      </c>
      <c r="G217" s="315" t="e">
        <f>_xlfn.XLOOKUP(B217,'WFP Details - 2026'!A:A,'WFP Details - 2026'!Z:Z)</f>
        <v>#N/A</v>
      </c>
      <c r="H217" s="314">
        <v>46461</v>
      </c>
      <c r="I217" s="315">
        <v>3</v>
      </c>
      <c r="J217" s="315">
        <v>2027</v>
      </c>
      <c r="K217" s="316">
        <v>0</v>
      </c>
      <c r="L217" s="316">
        <v>0</v>
      </c>
      <c r="M217" s="316">
        <v>0</v>
      </c>
      <c r="N217" s="316">
        <v>0</v>
      </c>
      <c r="O217" s="316">
        <v>0</v>
      </c>
      <c r="P217" s="316">
        <v>0</v>
      </c>
      <c r="Q217" s="316">
        <v>0</v>
      </c>
      <c r="R217" s="316">
        <v>0</v>
      </c>
      <c r="S217" s="316">
        <v>0</v>
      </c>
      <c r="T217" s="316">
        <v>0</v>
      </c>
      <c r="U217" s="316">
        <v>0</v>
      </c>
      <c r="V217" s="316">
        <v>0</v>
      </c>
      <c r="W217" s="316">
        <v>0</v>
      </c>
      <c r="X217" s="316">
        <v>0</v>
      </c>
      <c r="Y217" s="316">
        <v>1</v>
      </c>
      <c r="Z217" s="316">
        <v>1</v>
      </c>
      <c r="AA217" s="316">
        <v>1</v>
      </c>
      <c r="AB217" s="316">
        <v>1</v>
      </c>
      <c r="AC217" s="316">
        <v>1</v>
      </c>
      <c r="AD217" s="316">
        <v>1</v>
      </c>
      <c r="AE217" s="316">
        <v>1</v>
      </c>
      <c r="AF217" s="316">
        <v>1</v>
      </c>
      <c r="AG217" s="316">
        <v>1</v>
      </c>
      <c r="AH217" s="316">
        <v>1</v>
      </c>
      <c r="AI217" s="316">
        <v>1</v>
      </c>
      <c r="AJ217" s="316">
        <v>1</v>
      </c>
      <c r="AK217" s="316">
        <v>1</v>
      </c>
      <c r="AL217" s="316">
        <v>1</v>
      </c>
      <c r="AM217" s="316">
        <v>1</v>
      </c>
      <c r="AN217" s="316">
        <v>1</v>
      </c>
      <c r="AO217" s="316">
        <v>1</v>
      </c>
      <c r="AP217" s="316">
        <v>1</v>
      </c>
      <c r="AQ217" s="316">
        <v>1</v>
      </c>
      <c r="AR217" s="316">
        <v>1</v>
      </c>
      <c r="AS217" s="316">
        <v>1</v>
      </c>
      <c r="AT217" s="316">
        <v>1</v>
      </c>
    </row>
    <row r="218" spans="2:46" ht="12.75" hidden="1" customHeight="1" x14ac:dyDescent="0.15">
      <c r="B218" s="315">
        <v>5130</v>
      </c>
      <c r="C218" s="319" t="s">
        <v>405</v>
      </c>
      <c r="D218" s="313" t="s">
        <v>101</v>
      </c>
      <c r="E218" s="313" t="s">
        <v>1793</v>
      </c>
      <c r="F218" s="319" t="s">
        <v>1407</v>
      </c>
      <c r="G218" s="315" t="e">
        <f>_xlfn.XLOOKUP(B218,'WFP Details - 2026'!A:A,'WFP Details - 2026'!Z:Z)</f>
        <v>#N/A</v>
      </c>
      <c r="H218" s="314">
        <v>46461</v>
      </c>
      <c r="I218" s="315">
        <v>3</v>
      </c>
      <c r="J218" s="315">
        <v>2027</v>
      </c>
      <c r="K218" s="316">
        <v>0</v>
      </c>
      <c r="L218" s="316">
        <v>0</v>
      </c>
      <c r="M218" s="316">
        <v>0</v>
      </c>
      <c r="N218" s="316">
        <v>0</v>
      </c>
      <c r="O218" s="316">
        <v>0</v>
      </c>
      <c r="P218" s="316">
        <v>0</v>
      </c>
      <c r="Q218" s="316">
        <v>0</v>
      </c>
      <c r="R218" s="316">
        <v>0</v>
      </c>
      <c r="S218" s="316">
        <v>0</v>
      </c>
      <c r="T218" s="316">
        <v>0</v>
      </c>
      <c r="U218" s="316">
        <v>0</v>
      </c>
      <c r="V218" s="316">
        <v>0</v>
      </c>
      <c r="W218" s="316">
        <v>0</v>
      </c>
      <c r="X218" s="316">
        <v>0</v>
      </c>
      <c r="Y218" s="316">
        <v>1</v>
      </c>
      <c r="Z218" s="316">
        <v>1</v>
      </c>
      <c r="AA218" s="316">
        <v>1</v>
      </c>
      <c r="AB218" s="316">
        <v>1</v>
      </c>
      <c r="AC218" s="316">
        <v>1</v>
      </c>
      <c r="AD218" s="316">
        <v>1</v>
      </c>
      <c r="AE218" s="316">
        <v>1</v>
      </c>
      <c r="AF218" s="316">
        <v>1</v>
      </c>
      <c r="AG218" s="316">
        <v>1</v>
      </c>
      <c r="AH218" s="316">
        <v>1</v>
      </c>
      <c r="AI218" s="316">
        <v>1</v>
      </c>
      <c r="AJ218" s="316">
        <v>1</v>
      </c>
      <c r="AK218" s="316">
        <v>1</v>
      </c>
      <c r="AL218" s="316">
        <v>1</v>
      </c>
      <c r="AM218" s="316">
        <v>1</v>
      </c>
      <c r="AN218" s="316">
        <v>1</v>
      </c>
      <c r="AO218" s="316">
        <v>1</v>
      </c>
      <c r="AP218" s="316">
        <v>1</v>
      </c>
      <c r="AQ218" s="316">
        <v>1</v>
      </c>
      <c r="AR218" s="316">
        <v>1</v>
      </c>
      <c r="AS218" s="316">
        <v>1</v>
      </c>
      <c r="AT218" s="316">
        <v>1</v>
      </c>
    </row>
    <row r="219" spans="2:46" ht="12.75" hidden="1" customHeight="1" x14ac:dyDescent="0.15">
      <c r="B219" s="315">
        <v>5131</v>
      </c>
      <c r="C219" s="319" t="s">
        <v>405</v>
      </c>
      <c r="D219" s="313" t="s">
        <v>101</v>
      </c>
      <c r="E219" s="313" t="s">
        <v>1805</v>
      </c>
      <c r="F219" s="319" t="s">
        <v>1412</v>
      </c>
      <c r="G219" s="315" t="e">
        <f>_xlfn.XLOOKUP(B219,'WFP Details - 2026'!A:A,'WFP Details - 2026'!Z:Z)</f>
        <v>#N/A</v>
      </c>
      <c r="H219" s="314">
        <v>46461</v>
      </c>
      <c r="I219" s="315">
        <v>3</v>
      </c>
      <c r="J219" s="315">
        <v>2027</v>
      </c>
      <c r="K219" s="316">
        <v>0</v>
      </c>
      <c r="L219" s="316">
        <v>0</v>
      </c>
      <c r="M219" s="316">
        <v>0</v>
      </c>
      <c r="N219" s="316">
        <v>0</v>
      </c>
      <c r="O219" s="316">
        <v>0</v>
      </c>
      <c r="P219" s="316">
        <v>0</v>
      </c>
      <c r="Q219" s="316">
        <v>0</v>
      </c>
      <c r="R219" s="316">
        <v>0</v>
      </c>
      <c r="S219" s="316">
        <v>0</v>
      </c>
      <c r="T219" s="316">
        <v>0</v>
      </c>
      <c r="U219" s="316">
        <v>0</v>
      </c>
      <c r="V219" s="316">
        <v>0</v>
      </c>
      <c r="W219" s="316">
        <v>0</v>
      </c>
      <c r="X219" s="316">
        <v>0</v>
      </c>
      <c r="Y219" s="316">
        <v>1</v>
      </c>
      <c r="Z219" s="316">
        <v>1</v>
      </c>
      <c r="AA219" s="316">
        <v>1</v>
      </c>
      <c r="AB219" s="316">
        <v>1</v>
      </c>
      <c r="AC219" s="316">
        <v>1</v>
      </c>
      <c r="AD219" s="316">
        <v>1</v>
      </c>
      <c r="AE219" s="316">
        <v>1</v>
      </c>
      <c r="AF219" s="316">
        <v>1</v>
      </c>
      <c r="AG219" s="316">
        <v>1</v>
      </c>
      <c r="AH219" s="316">
        <v>1</v>
      </c>
      <c r="AI219" s="316">
        <v>1</v>
      </c>
      <c r="AJ219" s="316">
        <v>1</v>
      </c>
      <c r="AK219" s="316">
        <v>1</v>
      </c>
      <c r="AL219" s="316">
        <v>1</v>
      </c>
      <c r="AM219" s="316">
        <v>1</v>
      </c>
      <c r="AN219" s="316">
        <v>1</v>
      </c>
      <c r="AO219" s="316">
        <v>1</v>
      </c>
      <c r="AP219" s="316">
        <v>1</v>
      </c>
      <c r="AQ219" s="316">
        <v>1</v>
      </c>
      <c r="AR219" s="316">
        <v>1</v>
      </c>
      <c r="AS219" s="316">
        <v>1</v>
      </c>
      <c r="AT219" s="316">
        <v>1</v>
      </c>
    </row>
    <row r="220" spans="2:46" ht="12.75" hidden="1" customHeight="1" x14ac:dyDescent="0.15">
      <c r="B220" s="315">
        <v>5132</v>
      </c>
      <c r="C220" s="319" t="s">
        <v>405</v>
      </c>
      <c r="D220" s="313" t="s">
        <v>101</v>
      </c>
      <c r="E220" s="313" t="s">
        <v>1794</v>
      </c>
      <c r="F220" s="319" t="s">
        <v>1397</v>
      </c>
      <c r="G220" s="315" t="e">
        <f>_xlfn.XLOOKUP(B220,'WFP Details - 2026'!A:A,'WFP Details - 2026'!Z:Z)</f>
        <v>#N/A</v>
      </c>
      <c r="H220" s="314">
        <v>46461</v>
      </c>
      <c r="I220" s="315">
        <v>3</v>
      </c>
      <c r="J220" s="315">
        <v>2027</v>
      </c>
      <c r="K220" s="316">
        <v>0</v>
      </c>
      <c r="L220" s="316">
        <v>0</v>
      </c>
      <c r="M220" s="316">
        <v>0</v>
      </c>
      <c r="N220" s="316">
        <v>0</v>
      </c>
      <c r="O220" s="316">
        <v>0</v>
      </c>
      <c r="P220" s="316">
        <v>0</v>
      </c>
      <c r="Q220" s="316">
        <v>0</v>
      </c>
      <c r="R220" s="316">
        <v>0</v>
      </c>
      <c r="S220" s="316">
        <v>0</v>
      </c>
      <c r="T220" s="316">
        <v>0</v>
      </c>
      <c r="U220" s="316">
        <v>0</v>
      </c>
      <c r="V220" s="316">
        <v>0</v>
      </c>
      <c r="W220" s="316">
        <v>0</v>
      </c>
      <c r="X220" s="316">
        <v>0</v>
      </c>
      <c r="Y220" s="316">
        <v>1</v>
      </c>
      <c r="Z220" s="316">
        <v>1</v>
      </c>
      <c r="AA220" s="316">
        <v>1</v>
      </c>
      <c r="AB220" s="316">
        <v>1</v>
      </c>
      <c r="AC220" s="316">
        <v>1</v>
      </c>
      <c r="AD220" s="316">
        <v>1</v>
      </c>
      <c r="AE220" s="316">
        <v>1</v>
      </c>
      <c r="AF220" s="316">
        <v>1</v>
      </c>
      <c r="AG220" s="316">
        <v>1</v>
      </c>
      <c r="AH220" s="316">
        <v>1</v>
      </c>
      <c r="AI220" s="316">
        <v>1</v>
      </c>
      <c r="AJ220" s="316">
        <v>1</v>
      </c>
      <c r="AK220" s="316">
        <v>1</v>
      </c>
      <c r="AL220" s="316">
        <v>1</v>
      </c>
      <c r="AM220" s="316">
        <v>1</v>
      </c>
      <c r="AN220" s="316">
        <v>1</v>
      </c>
      <c r="AO220" s="316">
        <v>1</v>
      </c>
      <c r="AP220" s="316">
        <v>1</v>
      </c>
      <c r="AQ220" s="316">
        <v>1</v>
      </c>
      <c r="AR220" s="316">
        <v>1</v>
      </c>
      <c r="AS220" s="316">
        <v>1</v>
      </c>
      <c r="AT220" s="316">
        <v>1</v>
      </c>
    </row>
    <row r="221" spans="2:46" ht="12.75" hidden="1" customHeight="1" x14ac:dyDescent="0.15">
      <c r="B221" s="315">
        <v>5133</v>
      </c>
      <c r="C221" s="319" t="s">
        <v>405</v>
      </c>
      <c r="D221" s="313" t="s">
        <v>101</v>
      </c>
      <c r="E221" s="313" t="s">
        <v>1795</v>
      </c>
      <c r="F221" s="319" t="s">
        <v>1467</v>
      </c>
      <c r="G221" s="315" t="e">
        <f>_xlfn.XLOOKUP(B221,'WFP Details - 2026'!A:A,'WFP Details - 2026'!Z:Z)</f>
        <v>#N/A</v>
      </c>
      <c r="H221" s="314">
        <v>46553</v>
      </c>
      <c r="I221" s="315">
        <v>6</v>
      </c>
      <c r="J221" s="315">
        <v>2027</v>
      </c>
      <c r="K221" s="316">
        <v>0</v>
      </c>
      <c r="L221" s="316">
        <v>0</v>
      </c>
      <c r="M221" s="316">
        <v>0</v>
      </c>
      <c r="N221" s="316">
        <v>0</v>
      </c>
      <c r="O221" s="316">
        <v>0</v>
      </c>
      <c r="P221" s="316">
        <v>0</v>
      </c>
      <c r="Q221" s="316">
        <v>0</v>
      </c>
      <c r="R221" s="316">
        <v>0</v>
      </c>
      <c r="S221" s="316">
        <v>0</v>
      </c>
      <c r="T221" s="316">
        <v>0</v>
      </c>
      <c r="U221" s="316">
        <v>0</v>
      </c>
      <c r="V221" s="316">
        <v>0</v>
      </c>
      <c r="W221" s="316">
        <v>0</v>
      </c>
      <c r="X221" s="316">
        <v>0</v>
      </c>
      <c r="Y221" s="316">
        <v>0</v>
      </c>
      <c r="Z221" s="316">
        <v>0</v>
      </c>
      <c r="AA221" s="316">
        <v>0</v>
      </c>
      <c r="AB221" s="316">
        <v>1</v>
      </c>
      <c r="AC221" s="316">
        <v>1</v>
      </c>
      <c r="AD221" s="316">
        <v>1</v>
      </c>
      <c r="AE221" s="316">
        <v>1</v>
      </c>
      <c r="AF221" s="316">
        <v>1</v>
      </c>
      <c r="AG221" s="316">
        <v>1</v>
      </c>
      <c r="AH221" s="316">
        <v>1</v>
      </c>
      <c r="AI221" s="316">
        <v>1</v>
      </c>
      <c r="AJ221" s="316">
        <v>1</v>
      </c>
      <c r="AK221" s="316">
        <v>1</v>
      </c>
      <c r="AL221" s="316">
        <v>1</v>
      </c>
      <c r="AM221" s="316">
        <v>1</v>
      </c>
      <c r="AN221" s="316">
        <v>1</v>
      </c>
      <c r="AO221" s="316">
        <v>1</v>
      </c>
      <c r="AP221" s="316">
        <v>1</v>
      </c>
      <c r="AQ221" s="316">
        <v>1</v>
      </c>
      <c r="AR221" s="316">
        <v>1</v>
      </c>
      <c r="AS221" s="316">
        <v>1</v>
      </c>
      <c r="AT221" s="316">
        <v>1</v>
      </c>
    </row>
    <row r="222" spans="2:46" ht="12.75" hidden="1" customHeight="1" x14ac:dyDescent="0.15">
      <c r="B222" s="318">
        <v>5134</v>
      </c>
      <c r="C222" s="313" t="s">
        <v>405</v>
      </c>
      <c r="D222" s="313" t="s">
        <v>101</v>
      </c>
      <c r="E222" s="313" t="s">
        <v>1805</v>
      </c>
      <c r="F222" s="313" t="s">
        <v>1412</v>
      </c>
      <c r="G222" s="315" t="e">
        <f>_xlfn.XLOOKUP(B222,'WFP Details - 2026'!A:A,'WFP Details - 2026'!Z:Z)</f>
        <v>#N/A</v>
      </c>
      <c r="H222" s="314">
        <v>46645</v>
      </c>
      <c r="I222" s="315">
        <v>9</v>
      </c>
      <c r="J222" s="315">
        <v>2027</v>
      </c>
      <c r="K222" s="316">
        <v>0</v>
      </c>
      <c r="L222" s="316">
        <v>0</v>
      </c>
      <c r="M222" s="316">
        <v>0</v>
      </c>
      <c r="N222" s="316">
        <v>0</v>
      </c>
      <c r="O222" s="316">
        <v>0</v>
      </c>
      <c r="P222" s="316">
        <v>0</v>
      </c>
      <c r="Q222" s="316">
        <v>0</v>
      </c>
      <c r="R222" s="316">
        <v>0</v>
      </c>
      <c r="S222" s="316">
        <v>0</v>
      </c>
      <c r="T222" s="316">
        <v>0</v>
      </c>
      <c r="U222" s="316">
        <v>0</v>
      </c>
      <c r="V222" s="316">
        <v>0</v>
      </c>
      <c r="W222" s="316">
        <v>0</v>
      </c>
      <c r="X222" s="316">
        <v>0</v>
      </c>
      <c r="Y222" s="316">
        <v>0</v>
      </c>
      <c r="Z222" s="316">
        <v>0</v>
      </c>
      <c r="AA222" s="316">
        <v>0</v>
      </c>
      <c r="AB222" s="316">
        <v>0</v>
      </c>
      <c r="AC222" s="316">
        <v>0</v>
      </c>
      <c r="AD222" s="316">
        <v>0</v>
      </c>
      <c r="AE222" s="316">
        <v>1</v>
      </c>
      <c r="AF222" s="316">
        <v>1</v>
      </c>
      <c r="AG222" s="316">
        <v>1</v>
      </c>
      <c r="AH222" s="316">
        <v>1</v>
      </c>
      <c r="AI222" s="316">
        <v>1</v>
      </c>
      <c r="AJ222" s="316">
        <v>1</v>
      </c>
      <c r="AK222" s="316">
        <v>1</v>
      </c>
      <c r="AL222" s="316">
        <v>1</v>
      </c>
      <c r="AM222" s="316">
        <v>1</v>
      </c>
      <c r="AN222" s="316">
        <v>1</v>
      </c>
      <c r="AO222" s="316">
        <v>1</v>
      </c>
      <c r="AP222" s="316">
        <v>1</v>
      </c>
      <c r="AQ222" s="316">
        <v>1</v>
      </c>
      <c r="AR222" s="316">
        <v>1</v>
      </c>
      <c r="AS222" s="316">
        <v>1</v>
      </c>
      <c r="AT222" s="316">
        <v>1</v>
      </c>
    </row>
    <row r="223" spans="2:46" ht="12.75" hidden="1" customHeight="1" x14ac:dyDescent="0.15">
      <c r="B223" s="318">
        <v>5135</v>
      </c>
      <c r="C223" s="313" t="s">
        <v>405</v>
      </c>
      <c r="D223" s="313" t="s">
        <v>101</v>
      </c>
      <c r="E223" s="313" t="s">
        <v>1793</v>
      </c>
      <c r="F223" s="313" t="s">
        <v>1522</v>
      </c>
      <c r="G223" s="315" t="e">
        <f>_xlfn.XLOOKUP(B223,'WFP Details - 2026'!A:A,'WFP Details - 2026'!Z:Z)</f>
        <v>#N/A</v>
      </c>
      <c r="H223" s="314">
        <v>46736</v>
      </c>
      <c r="I223" s="315">
        <v>12</v>
      </c>
      <c r="J223" s="315">
        <v>2027</v>
      </c>
      <c r="K223" s="316">
        <v>0</v>
      </c>
      <c r="L223" s="316">
        <v>0</v>
      </c>
      <c r="M223" s="316">
        <v>0</v>
      </c>
      <c r="N223" s="316">
        <v>0</v>
      </c>
      <c r="O223" s="316">
        <v>0</v>
      </c>
      <c r="P223" s="316">
        <v>0</v>
      </c>
      <c r="Q223" s="316">
        <v>0</v>
      </c>
      <c r="R223" s="316">
        <v>0</v>
      </c>
      <c r="S223" s="316">
        <v>0</v>
      </c>
      <c r="T223" s="316">
        <v>0</v>
      </c>
      <c r="U223" s="316">
        <v>0</v>
      </c>
      <c r="V223" s="316">
        <v>0</v>
      </c>
      <c r="W223" s="316">
        <v>0</v>
      </c>
      <c r="X223" s="316">
        <v>0</v>
      </c>
      <c r="Y223" s="316">
        <v>0</v>
      </c>
      <c r="Z223" s="316">
        <v>0</v>
      </c>
      <c r="AA223" s="316">
        <v>0</v>
      </c>
      <c r="AB223" s="316">
        <v>0</v>
      </c>
      <c r="AC223" s="316">
        <v>0</v>
      </c>
      <c r="AD223" s="316">
        <v>0</v>
      </c>
      <c r="AE223" s="316">
        <v>0</v>
      </c>
      <c r="AF223" s="316">
        <v>0</v>
      </c>
      <c r="AG223" s="316">
        <v>0</v>
      </c>
      <c r="AH223" s="316">
        <v>1</v>
      </c>
      <c r="AI223" s="316">
        <v>1</v>
      </c>
      <c r="AJ223" s="316">
        <v>1</v>
      </c>
      <c r="AK223" s="316">
        <v>1</v>
      </c>
      <c r="AL223" s="316">
        <v>1</v>
      </c>
      <c r="AM223" s="316">
        <v>1</v>
      </c>
      <c r="AN223" s="316">
        <v>1</v>
      </c>
      <c r="AO223" s="316">
        <v>1</v>
      </c>
      <c r="AP223" s="316">
        <v>1</v>
      </c>
      <c r="AQ223" s="316">
        <v>1</v>
      </c>
      <c r="AR223" s="316">
        <v>1</v>
      </c>
      <c r="AS223" s="316">
        <v>1</v>
      </c>
      <c r="AT223" s="316">
        <v>1</v>
      </c>
    </row>
    <row r="224" spans="2:46" ht="12.75" hidden="1" customHeight="1" x14ac:dyDescent="0.15">
      <c r="B224" s="318">
        <v>5136</v>
      </c>
      <c r="C224" s="313" t="s">
        <v>405</v>
      </c>
      <c r="D224" s="313" t="s">
        <v>101</v>
      </c>
      <c r="E224" s="313" t="s">
        <v>1793</v>
      </c>
      <c r="F224" s="313" t="s">
        <v>1526</v>
      </c>
      <c r="G224" s="315" t="e">
        <f>_xlfn.XLOOKUP(B224,'WFP Details - 2026'!A:A,'WFP Details - 2026'!Z:Z)</f>
        <v>#N/A</v>
      </c>
      <c r="H224" s="314">
        <v>46736</v>
      </c>
      <c r="I224" s="315">
        <v>12</v>
      </c>
      <c r="J224" s="315">
        <v>2027</v>
      </c>
      <c r="K224" s="316">
        <v>0</v>
      </c>
      <c r="L224" s="316">
        <v>0</v>
      </c>
      <c r="M224" s="316">
        <v>0</v>
      </c>
      <c r="N224" s="316">
        <v>0</v>
      </c>
      <c r="O224" s="316">
        <v>0</v>
      </c>
      <c r="P224" s="316">
        <v>0</v>
      </c>
      <c r="Q224" s="316">
        <v>0</v>
      </c>
      <c r="R224" s="316">
        <v>0</v>
      </c>
      <c r="S224" s="316">
        <v>0</v>
      </c>
      <c r="T224" s="316">
        <v>0</v>
      </c>
      <c r="U224" s="316">
        <v>0</v>
      </c>
      <c r="V224" s="316">
        <v>0</v>
      </c>
      <c r="W224" s="316">
        <v>0</v>
      </c>
      <c r="X224" s="316">
        <v>0</v>
      </c>
      <c r="Y224" s="316">
        <v>0</v>
      </c>
      <c r="Z224" s="316">
        <v>0</v>
      </c>
      <c r="AA224" s="316">
        <v>0</v>
      </c>
      <c r="AB224" s="316">
        <v>0</v>
      </c>
      <c r="AC224" s="316">
        <v>0</v>
      </c>
      <c r="AD224" s="316">
        <v>0</v>
      </c>
      <c r="AE224" s="316">
        <v>0</v>
      </c>
      <c r="AF224" s="316">
        <v>0</v>
      </c>
      <c r="AG224" s="316">
        <v>0</v>
      </c>
      <c r="AH224" s="316">
        <v>1</v>
      </c>
      <c r="AI224" s="316">
        <v>1</v>
      </c>
      <c r="AJ224" s="316">
        <v>1</v>
      </c>
      <c r="AK224" s="316">
        <v>1</v>
      </c>
      <c r="AL224" s="316">
        <v>1</v>
      </c>
      <c r="AM224" s="316">
        <v>1</v>
      </c>
      <c r="AN224" s="316">
        <v>1</v>
      </c>
      <c r="AO224" s="316">
        <v>1</v>
      </c>
      <c r="AP224" s="316">
        <v>1</v>
      </c>
      <c r="AQ224" s="316">
        <v>1</v>
      </c>
      <c r="AR224" s="316">
        <v>1</v>
      </c>
      <c r="AS224" s="316">
        <v>1</v>
      </c>
      <c r="AT224" s="316">
        <v>1</v>
      </c>
    </row>
    <row r="225" spans="2:46" ht="12.75" hidden="1" customHeight="1" x14ac:dyDescent="0.15">
      <c r="B225" s="318">
        <v>5137</v>
      </c>
      <c r="C225" s="313" t="s">
        <v>405</v>
      </c>
      <c r="D225" s="313" t="s">
        <v>101</v>
      </c>
      <c r="E225" s="313" t="s">
        <v>1831</v>
      </c>
      <c r="F225" s="313" t="s">
        <v>1531</v>
      </c>
      <c r="G225" s="315" t="e">
        <f>_xlfn.XLOOKUP(B225,'WFP Details - 2026'!A:A,'WFP Details - 2026'!Z:Z)</f>
        <v>#N/A</v>
      </c>
      <c r="H225" s="314">
        <v>46736</v>
      </c>
      <c r="I225" s="315">
        <v>12</v>
      </c>
      <c r="J225" s="315">
        <v>2027</v>
      </c>
      <c r="K225" s="316">
        <v>0</v>
      </c>
      <c r="L225" s="316">
        <v>0</v>
      </c>
      <c r="M225" s="316">
        <v>0</v>
      </c>
      <c r="N225" s="316">
        <v>0</v>
      </c>
      <c r="O225" s="316">
        <v>0</v>
      </c>
      <c r="P225" s="316">
        <v>0</v>
      </c>
      <c r="Q225" s="316">
        <v>0</v>
      </c>
      <c r="R225" s="316">
        <v>0</v>
      </c>
      <c r="S225" s="316">
        <v>0</v>
      </c>
      <c r="T225" s="316">
        <v>0</v>
      </c>
      <c r="U225" s="316">
        <v>0</v>
      </c>
      <c r="V225" s="316">
        <v>0</v>
      </c>
      <c r="W225" s="316">
        <v>0</v>
      </c>
      <c r="X225" s="316">
        <v>0</v>
      </c>
      <c r="Y225" s="316">
        <v>0</v>
      </c>
      <c r="Z225" s="316">
        <v>0</v>
      </c>
      <c r="AA225" s="316">
        <v>0</v>
      </c>
      <c r="AB225" s="316">
        <v>0</v>
      </c>
      <c r="AC225" s="316">
        <v>0</v>
      </c>
      <c r="AD225" s="316">
        <v>0</v>
      </c>
      <c r="AE225" s="316">
        <v>0</v>
      </c>
      <c r="AF225" s="316">
        <v>0</v>
      </c>
      <c r="AG225" s="316">
        <v>0</v>
      </c>
      <c r="AH225" s="316">
        <v>1</v>
      </c>
      <c r="AI225" s="316">
        <v>1</v>
      </c>
      <c r="AJ225" s="316">
        <v>1</v>
      </c>
      <c r="AK225" s="316">
        <v>1</v>
      </c>
      <c r="AL225" s="316">
        <v>1</v>
      </c>
      <c r="AM225" s="316">
        <v>1</v>
      </c>
      <c r="AN225" s="316">
        <v>1</v>
      </c>
      <c r="AO225" s="316">
        <v>1</v>
      </c>
      <c r="AP225" s="316">
        <v>1</v>
      </c>
      <c r="AQ225" s="316">
        <v>1</v>
      </c>
      <c r="AR225" s="316">
        <v>1</v>
      </c>
      <c r="AS225" s="316">
        <v>1</v>
      </c>
      <c r="AT225" s="316">
        <v>1</v>
      </c>
    </row>
    <row r="226" spans="2:46" ht="12.75" hidden="1" customHeight="1" x14ac:dyDescent="0.15">
      <c r="B226" s="317">
        <v>5138</v>
      </c>
      <c r="C226" s="313" t="s">
        <v>405</v>
      </c>
      <c r="D226" s="313" t="s">
        <v>101</v>
      </c>
      <c r="E226" s="313" t="s">
        <v>1805</v>
      </c>
      <c r="F226" s="313" t="s">
        <v>1535</v>
      </c>
      <c r="G226" s="315" t="e">
        <f>_xlfn.XLOOKUP(B226,'WFP Details - 2026'!A:A,'WFP Details - 2026'!Z:Z)</f>
        <v>#N/A</v>
      </c>
      <c r="H226" s="314">
        <v>46736</v>
      </c>
      <c r="I226" s="315">
        <v>12</v>
      </c>
      <c r="J226" s="315">
        <v>2027</v>
      </c>
      <c r="K226" s="316">
        <v>0</v>
      </c>
      <c r="L226" s="316">
        <v>0</v>
      </c>
      <c r="M226" s="316">
        <v>0</v>
      </c>
      <c r="N226" s="316">
        <v>0</v>
      </c>
      <c r="O226" s="316">
        <v>0</v>
      </c>
      <c r="P226" s="316">
        <v>0</v>
      </c>
      <c r="Q226" s="316">
        <v>0</v>
      </c>
      <c r="R226" s="316">
        <v>0</v>
      </c>
      <c r="S226" s="316">
        <v>0</v>
      </c>
      <c r="T226" s="316">
        <v>0</v>
      </c>
      <c r="U226" s="316">
        <v>0</v>
      </c>
      <c r="V226" s="316">
        <v>0</v>
      </c>
      <c r="W226" s="316">
        <v>0</v>
      </c>
      <c r="X226" s="316">
        <v>0</v>
      </c>
      <c r="Y226" s="316">
        <v>0</v>
      </c>
      <c r="Z226" s="316">
        <v>0</v>
      </c>
      <c r="AA226" s="316">
        <v>0</v>
      </c>
      <c r="AB226" s="316">
        <v>0</v>
      </c>
      <c r="AC226" s="316">
        <v>0</v>
      </c>
      <c r="AD226" s="316">
        <v>0</v>
      </c>
      <c r="AE226" s="316">
        <v>0</v>
      </c>
      <c r="AF226" s="316">
        <v>0</v>
      </c>
      <c r="AG226" s="316">
        <v>0</v>
      </c>
      <c r="AH226" s="316">
        <v>1</v>
      </c>
      <c r="AI226" s="316">
        <v>1</v>
      </c>
      <c r="AJ226" s="316">
        <v>1</v>
      </c>
      <c r="AK226" s="316">
        <v>1</v>
      </c>
      <c r="AL226" s="316">
        <v>1</v>
      </c>
      <c r="AM226" s="316">
        <v>1</v>
      </c>
      <c r="AN226" s="316">
        <v>1</v>
      </c>
      <c r="AO226" s="316">
        <v>1</v>
      </c>
      <c r="AP226" s="316">
        <v>1</v>
      </c>
      <c r="AQ226" s="316">
        <v>1</v>
      </c>
      <c r="AR226" s="316">
        <v>1</v>
      </c>
      <c r="AS226" s="316">
        <v>1</v>
      </c>
      <c r="AT226" s="316">
        <v>1</v>
      </c>
    </row>
    <row r="227" spans="2:46" ht="12.75" hidden="1" customHeight="1" x14ac:dyDescent="0.15">
      <c r="B227" s="317">
        <v>5139</v>
      </c>
      <c r="C227" s="313" t="s">
        <v>405</v>
      </c>
      <c r="D227" s="313" t="s">
        <v>101</v>
      </c>
      <c r="E227" s="313" t="s">
        <v>1805</v>
      </c>
      <c r="F227" s="313" t="s">
        <v>1535</v>
      </c>
      <c r="G227" s="315" t="e">
        <f>_xlfn.XLOOKUP(B227,'WFP Details - 2026'!A:A,'WFP Details - 2026'!Z:Z)</f>
        <v>#N/A</v>
      </c>
      <c r="H227" s="314">
        <v>46736</v>
      </c>
      <c r="I227" s="315">
        <v>12</v>
      </c>
      <c r="J227" s="315">
        <v>2027</v>
      </c>
      <c r="K227" s="316">
        <v>0</v>
      </c>
      <c r="L227" s="316">
        <v>0</v>
      </c>
      <c r="M227" s="316">
        <v>0</v>
      </c>
      <c r="N227" s="316">
        <v>0</v>
      </c>
      <c r="O227" s="316">
        <v>0</v>
      </c>
      <c r="P227" s="316">
        <v>0</v>
      </c>
      <c r="Q227" s="316">
        <v>0</v>
      </c>
      <c r="R227" s="316">
        <v>0</v>
      </c>
      <c r="S227" s="316">
        <v>0</v>
      </c>
      <c r="T227" s="316">
        <v>0</v>
      </c>
      <c r="U227" s="316">
        <v>0</v>
      </c>
      <c r="V227" s="316">
        <v>0</v>
      </c>
      <c r="W227" s="316">
        <v>0</v>
      </c>
      <c r="X227" s="316">
        <v>0</v>
      </c>
      <c r="Y227" s="316">
        <v>0</v>
      </c>
      <c r="Z227" s="316">
        <v>0</v>
      </c>
      <c r="AA227" s="316">
        <v>0</v>
      </c>
      <c r="AB227" s="316">
        <v>0</v>
      </c>
      <c r="AC227" s="316">
        <v>0</v>
      </c>
      <c r="AD227" s="316">
        <v>0</v>
      </c>
      <c r="AE227" s="316">
        <v>0</v>
      </c>
      <c r="AF227" s="316">
        <v>0</v>
      </c>
      <c r="AG227" s="316">
        <v>0</v>
      </c>
      <c r="AH227" s="316">
        <v>1</v>
      </c>
      <c r="AI227" s="316">
        <v>1</v>
      </c>
      <c r="AJ227" s="316">
        <v>1</v>
      </c>
      <c r="AK227" s="316">
        <v>1</v>
      </c>
      <c r="AL227" s="316">
        <v>1</v>
      </c>
      <c r="AM227" s="316">
        <v>1</v>
      </c>
      <c r="AN227" s="316">
        <v>1</v>
      </c>
      <c r="AO227" s="316">
        <v>1</v>
      </c>
      <c r="AP227" s="316">
        <v>1</v>
      </c>
      <c r="AQ227" s="316">
        <v>1</v>
      </c>
      <c r="AR227" s="316">
        <v>1</v>
      </c>
      <c r="AS227" s="316">
        <v>1</v>
      </c>
      <c r="AT227" s="316">
        <v>1</v>
      </c>
    </row>
    <row r="228" spans="2:46" ht="12.75" hidden="1" customHeight="1" x14ac:dyDescent="0.15">
      <c r="B228" s="318">
        <v>5140</v>
      </c>
      <c r="C228" s="313" t="s">
        <v>405</v>
      </c>
      <c r="D228" s="313" t="s">
        <v>101</v>
      </c>
      <c r="E228" s="313" t="s">
        <v>1805</v>
      </c>
      <c r="F228" s="313" t="s">
        <v>1535</v>
      </c>
      <c r="G228" s="315" t="e">
        <f>_xlfn.XLOOKUP(B228,'WFP Details - 2026'!A:A,'WFP Details - 2026'!Z:Z)</f>
        <v>#N/A</v>
      </c>
      <c r="H228" s="314">
        <v>46736</v>
      </c>
      <c r="I228" s="315">
        <v>12</v>
      </c>
      <c r="J228" s="315">
        <v>2027</v>
      </c>
      <c r="K228" s="316">
        <v>0</v>
      </c>
      <c r="L228" s="316">
        <v>0</v>
      </c>
      <c r="M228" s="316">
        <v>0</v>
      </c>
      <c r="N228" s="316">
        <v>0</v>
      </c>
      <c r="O228" s="316">
        <v>0</v>
      </c>
      <c r="P228" s="316">
        <v>0</v>
      </c>
      <c r="Q228" s="316">
        <v>0</v>
      </c>
      <c r="R228" s="316">
        <v>0</v>
      </c>
      <c r="S228" s="316">
        <v>0</v>
      </c>
      <c r="T228" s="316">
        <v>0</v>
      </c>
      <c r="U228" s="316">
        <v>0</v>
      </c>
      <c r="V228" s="316">
        <v>0</v>
      </c>
      <c r="W228" s="316">
        <v>0</v>
      </c>
      <c r="X228" s="316">
        <v>0</v>
      </c>
      <c r="Y228" s="316">
        <v>0</v>
      </c>
      <c r="Z228" s="316">
        <v>0</v>
      </c>
      <c r="AA228" s="316">
        <v>0</v>
      </c>
      <c r="AB228" s="316">
        <v>0</v>
      </c>
      <c r="AC228" s="316">
        <v>0</v>
      </c>
      <c r="AD228" s="316">
        <v>0</v>
      </c>
      <c r="AE228" s="316">
        <v>0</v>
      </c>
      <c r="AF228" s="316">
        <v>0</v>
      </c>
      <c r="AG228" s="316">
        <v>0</v>
      </c>
      <c r="AH228" s="316">
        <v>1</v>
      </c>
      <c r="AI228" s="316">
        <v>1</v>
      </c>
      <c r="AJ228" s="316">
        <v>1</v>
      </c>
      <c r="AK228" s="316">
        <v>1</v>
      </c>
      <c r="AL228" s="316">
        <v>1</v>
      </c>
      <c r="AM228" s="316">
        <v>1</v>
      </c>
      <c r="AN228" s="316">
        <v>1</v>
      </c>
      <c r="AO228" s="316">
        <v>1</v>
      </c>
      <c r="AP228" s="316">
        <v>1</v>
      </c>
      <c r="AQ228" s="316">
        <v>1</v>
      </c>
      <c r="AR228" s="316">
        <v>1</v>
      </c>
      <c r="AS228" s="316">
        <v>1</v>
      </c>
      <c r="AT228" s="316">
        <v>1</v>
      </c>
    </row>
    <row r="229" spans="2:46" ht="12.75" hidden="1" customHeight="1" x14ac:dyDescent="0.15">
      <c r="B229" s="318">
        <v>5141</v>
      </c>
      <c r="C229" s="313" t="s">
        <v>405</v>
      </c>
      <c r="D229" s="313" t="s">
        <v>101</v>
      </c>
      <c r="E229" s="313" t="s">
        <v>1805</v>
      </c>
      <c r="F229" s="313" t="s">
        <v>1535</v>
      </c>
      <c r="G229" s="315" t="e">
        <f>_xlfn.XLOOKUP(B229,'WFP Details - 2026'!A:A,'WFP Details - 2026'!Z:Z)</f>
        <v>#N/A</v>
      </c>
      <c r="H229" s="314">
        <v>46736</v>
      </c>
      <c r="I229" s="315">
        <v>12</v>
      </c>
      <c r="J229" s="315">
        <v>2027</v>
      </c>
      <c r="K229" s="316">
        <v>0</v>
      </c>
      <c r="L229" s="316">
        <v>0</v>
      </c>
      <c r="M229" s="316">
        <v>0</v>
      </c>
      <c r="N229" s="316">
        <v>0</v>
      </c>
      <c r="O229" s="316">
        <v>0</v>
      </c>
      <c r="P229" s="316">
        <v>0</v>
      </c>
      <c r="Q229" s="316">
        <v>0</v>
      </c>
      <c r="R229" s="316">
        <v>0</v>
      </c>
      <c r="S229" s="316">
        <v>0</v>
      </c>
      <c r="T229" s="316">
        <v>0</v>
      </c>
      <c r="U229" s="316">
        <v>0</v>
      </c>
      <c r="V229" s="316">
        <v>0</v>
      </c>
      <c r="W229" s="316">
        <v>0</v>
      </c>
      <c r="X229" s="316">
        <v>0</v>
      </c>
      <c r="Y229" s="316">
        <v>0</v>
      </c>
      <c r="Z229" s="316">
        <v>0</v>
      </c>
      <c r="AA229" s="316">
        <v>0</v>
      </c>
      <c r="AB229" s="316">
        <v>0</v>
      </c>
      <c r="AC229" s="316">
        <v>0</v>
      </c>
      <c r="AD229" s="316">
        <v>0</v>
      </c>
      <c r="AE229" s="316">
        <v>0</v>
      </c>
      <c r="AF229" s="316">
        <v>0</v>
      </c>
      <c r="AG229" s="316">
        <v>0</v>
      </c>
      <c r="AH229" s="316">
        <v>1</v>
      </c>
      <c r="AI229" s="316">
        <v>1</v>
      </c>
      <c r="AJ229" s="316">
        <v>1</v>
      </c>
      <c r="AK229" s="316">
        <v>1</v>
      </c>
      <c r="AL229" s="316">
        <v>1</v>
      </c>
      <c r="AM229" s="316">
        <v>1</v>
      </c>
      <c r="AN229" s="316">
        <v>1</v>
      </c>
      <c r="AO229" s="316">
        <v>1</v>
      </c>
      <c r="AP229" s="316">
        <v>1</v>
      </c>
      <c r="AQ229" s="316">
        <v>1</v>
      </c>
      <c r="AR229" s="316">
        <v>1</v>
      </c>
      <c r="AS229" s="316">
        <v>1</v>
      </c>
      <c r="AT229" s="316">
        <v>1</v>
      </c>
    </row>
    <row r="230" spans="2:46" ht="12.75" hidden="1" customHeight="1" x14ac:dyDescent="0.15">
      <c r="B230" s="318">
        <v>5142</v>
      </c>
      <c r="C230" s="313" t="s">
        <v>405</v>
      </c>
      <c r="D230" s="313" t="s">
        <v>101</v>
      </c>
      <c r="E230" s="313" t="s">
        <v>1795</v>
      </c>
      <c r="F230" s="313" t="s">
        <v>1538</v>
      </c>
      <c r="G230" s="315" t="e">
        <f>_xlfn.XLOOKUP(B230,'WFP Details - 2026'!A:A,'WFP Details - 2026'!Z:Z)</f>
        <v>#N/A</v>
      </c>
      <c r="H230" s="314">
        <v>46736</v>
      </c>
      <c r="I230" s="315">
        <v>12</v>
      </c>
      <c r="J230" s="315">
        <v>2027</v>
      </c>
      <c r="K230" s="316">
        <v>0</v>
      </c>
      <c r="L230" s="316">
        <v>0</v>
      </c>
      <c r="M230" s="316">
        <v>0</v>
      </c>
      <c r="N230" s="316">
        <v>0</v>
      </c>
      <c r="O230" s="316">
        <v>0</v>
      </c>
      <c r="P230" s="316">
        <v>0</v>
      </c>
      <c r="Q230" s="316">
        <v>0</v>
      </c>
      <c r="R230" s="316">
        <v>0</v>
      </c>
      <c r="S230" s="316">
        <v>0</v>
      </c>
      <c r="T230" s="316">
        <v>0</v>
      </c>
      <c r="U230" s="316">
        <v>0</v>
      </c>
      <c r="V230" s="316">
        <v>0</v>
      </c>
      <c r="W230" s="316">
        <v>0</v>
      </c>
      <c r="X230" s="316">
        <v>0</v>
      </c>
      <c r="Y230" s="316">
        <v>0</v>
      </c>
      <c r="Z230" s="316">
        <v>0</v>
      </c>
      <c r="AA230" s="316">
        <v>0</v>
      </c>
      <c r="AB230" s="316">
        <v>0</v>
      </c>
      <c r="AC230" s="316">
        <v>0</v>
      </c>
      <c r="AD230" s="316">
        <v>0</v>
      </c>
      <c r="AE230" s="316">
        <v>0</v>
      </c>
      <c r="AF230" s="316">
        <v>0</v>
      </c>
      <c r="AG230" s="316">
        <v>0</v>
      </c>
      <c r="AH230" s="316">
        <v>1</v>
      </c>
      <c r="AI230" s="316">
        <v>1</v>
      </c>
      <c r="AJ230" s="316">
        <v>1</v>
      </c>
      <c r="AK230" s="316">
        <v>1</v>
      </c>
      <c r="AL230" s="316">
        <v>1</v>
      </c>
      <c r="AM230" s="316">
        <v>1</v>
      </c>
      <c r="AN230" s="316">
        <v>1</v>
      </c>
      <c r="AO230" s="316">
        <v>1</v>
      </c>
      <c r="AP230" s="316">
        <v>1</v>
      </c>
      <c r="AQ230" s="316">
        <v>1</v>
      </c>
      <c r="AR230" s="316">
        <v>1</v>
      </c>
      <c r="AS230" s="316">
        <v>1</v>
      </c>
      <c r="AT230" s="316">
        <v>1</v>
      </c>
    </row>
    <row r="231" spans="2:46" ht="12.75" hidden="1" customHeight="1" x14ac:dyDescent="0.15">
      <c r="B231" s="318">
        <v>5143</v>
      </c>
      <c r="C231" s="313" t="s">
        <v>405</v>
      </c>
      <c r="D231" s="313" t="s">
        <v>101</v>
      </c>
      <c r="E231" s="313" t="s">
        <v>1795</v>
      </c>
      <c r="F231" s="313" t="s">
        <v>1538</v>
      </c>
      <c r="G231" s="315" t="e">
        <f>_xlfn.XLOOKUP(B231,'WFP Details - 2026'!A:A,'WFP Details - 2026'!Z:Z)</f>
        <v>#N/A</v>
      </c>
      <c r="H231" s="314">
        <v>46736</v>
      </c>
      <c r="I231" s="315">
        <v>12</v>
      </c>
      <c r="J231" s="315">
        <v>2027</v>
      </c>
      <c r="K231" s="316">
        <v>0</v>
      </c>
      <c r="L231" s="316">
        <v>0</v>
      </c>
      <c r="M231" s="316">
        <v>0</v>
      </c>
      <c r="N231" s="316">
        <v>0</v>
      </c>
      <c r="O231" s="316">
        <v>0</v>
      </c>
      <c r="P231" s="316">
        <v>0</v>
      </c>
      <c r="Q231" s="316">
        <v>0</v>
      </c>
      <c r="R231" s="316">
        <v>0</v>
      </c>
      <c r="S231" s="316">
        <v>0</v>
      </c>
      <c r="T231" s="316">
        <v>0</v>
      </c>
      <c r="U231" s="316">
        <v>0</v>
      </c>
      <c r="V231" s="316">
        <v>0</v>
      </c>
      <c r="W231" s="316">
        <v>0</v>
      </c>
      <c r="X231" s="316">
        <v>0</v>
      </c>
      <c r="Y231" s="316">
        <v>0</v>
      </c>
      <c r="Z231" s="316">
        <v>0</v>
      </c>
      <c r="AA231" s="316">
        <v>0</v>
      </c>
      <c r="AB231" s="316">
        <v>0</v>
      </c>
      <c r="AC231" s="316">
        <v>0</v>
      </c>
      <c r="AD231" s="316">
        <v>0</v>
      </c>
      <c r="AE231" s="316">
        <v>0</v>
      </c>
      <c r="AF231" s="316">
        <v>0</v>
      </c>
      <c r="AG231" s="316">
        <v>0</v>
      </c>
      <c r="AH231" s="316">
        <v>1</v>
      </c>
      <c r="AI231" s="316">
        <v>1</v>
      </c>
      <c r="AJ231" s="316">
        <v>1</v>
      </c>
      <c r="AK231" s="316">
        <v>1</v>
      </c>
      <c r="AL231" s="316">
        <v>1</v>
      </c>
      <c r="AM231" s="316">
        <v>1</v>
      </c>
      <c r="AN231" s="316">
        <v>1</v>
      </c>
      <c r="AO231" s="316">
        <v>1</v>
      </c>
      <c r="AP231" s="316">
        <v>1</v>
      </c>
      <c r="AQ231" s="316">
        <v>1</v>
      </c>
      <c r="AR231" s="316">
        <v>1</v>
      </c>
      <c r="AS231" s="316">
        <v>1</v>
      </c>
      <c r="AT231" s="316">
        <v>1</v>
      </c>
    </row>
    <row r="232" spans="2:46" ht="12.75" hidden="1" customHeight="1" x14ac:dyDescent="0.15">
      <c r="B232" s="312">
        <v>5144</v>
      </c>
      <c r="C232" s="313" t="s">
        <v>405</v>
      </c>
      <c r="D232" s="313" t="s">
        <v>101</v>
      </c>
      <c r="E232" s="313" t="s">
        <v>1795</v>
      </c>
      <c r="F232" s="313" t="s">
        <v>1538</v>
      </c>
      <c r="G232" s="315" t="e">
        <f>_xlfn.XLOOKUP(B232,'WFP Details - 2026'!A:A,'WFP Details - 2026'!Z:Z)</f>
        <v>#N/A</v>
      </c>
      <c r="H232" s="314">
        <v>46736</v>
      </c>
      <c r="I232" s="315">
        <v>12</v>
      </c>
      <c r="J232" s="315">
        <v>2027</v>
      </c>
      <c r="K232" s="316">
        <v>0</v>
      </c>
      <c r="L232" s="316">
        <v>0</v>
      </c>
      <c r="M232" s="316">
        <v>0</v>
      </c>
      <c r="N232" s="316">
        <v>0</v>
      </c>
      <c r="O232" s="316">
        <v>0</v>
      </c>
      <c r="P232" s="316">
        <v>0</v>
      </c>
      <c r="Q232" s="316">
        <v>0</v>
      </c>
      <c r="R232" s="316">
        <v>0</v>
      </c>
      <c r="S232" s="316">
        <v>0</v>
      </c>
      <c r="T232" s="316">
        <v>0</v>
      </c>
      <c r="U232" s="316">
        <v>0</v>
      </c>
      <c r="V232" s="316">
        <v>0</v>
      </c>
      <c r="W232" s="316">
        <v>0</v>
      </c>
      <c r="X232" s="316">
        <v>0</v>
      </c>
      <c r="Y232" s="316">
        <v>0</v>
      </c>
      <c r="Z232" s="316">
        <v>0</v>
      </c>
      <c r="AA232" s="316">
        <v>0</v>
      </c>
      <c r="AB232" s="316">
        <v>0</v>
      </c>
      <c r="AC232" s="316">
        <v>0</v>
      </c>
      <c r="AD232" s="316">
        <v>0</v>
      </c>
      <c r="AE232" s="316">
        <v>0</v>
      </c>
      <c r="AF232" s="316">
        <v>0</v>
      </c>
      <c r="AG232" s="316">
        <v>0</v>
      </c>
      <c r="AH232" s="316">
        <v>1</v>
      </c>
      <c r="AI232" s="316">
        <v>1</v>
      </c>
      <c r="AJ232" s="316">
        <v>1</v>
      </c>
      <c r="AK232" s="316">
        <v>1</v>
      </c>
      <c r="AL232" s="316">
        <v>1</v>
      </c>
      <c r="AM232" s="316">
        <v>1</v>
      </c>
      <c r="AN232" s="316">
        <v>1</v>
      </c>
      <c r="AO232" s="316">
        <v>1</v>
      </c>
      <c r="AP232" s="316">
        <v>1</v>
      </c>
      <c r="AQ232" s="316">
        <v>1</v>
      </c>
      <c r="AR232" s="316">
        <v>1</v>
      </c>
      <c r="AS232" s="316">
        <v>1</v>
      </c>
      <c r="AT232" s="316">
        <v>1</v>
      </c>
    </row>
    <row r="233" spans="2:46" ht="12.75" hidden="1" customHeight="1" x14ac:dyDescent="0.15">
      <c r="B233" s="312">
        <v>5145</v>
      </c>
      <c r="C233" s="313" t="s">
        <v>405</v>
      </c>
      <c r="D233" s="313" t="s">
        <v>101</v>
      </c>
      <c r="E233" s="313" t="s">
        <v>1793</v>
      </c>
      <c r="F233" s="313" t="s">
        <v>1540</v>
      </c>
      <c r="G233" s="315" t="e">
        <f>_xlfn.XLOOKUP(B233,'WFP Details - 2026'!A:A,'WFP Details - 2026'!Z:Z)</f>
        <v>#N/A</v>
      </c>
      <c r="H233" s="314">
        <v>46736</v>
      </c>
      <c r="I233" s="315">
        <v>12</v>
      </c>
      <c r="J233" s="315">
        <v>2027</v>
      </c>
      <c r="K233" s="316">
        <v>0</v>
      </c>
      <c r="L233" s="316">
        <v>0</v>
      </c>
      <c r="M233" s="316">
        <v>0</v>
      </c>
      <c r="N233" s="316">
        <v>0</v>
      </c>
      <c r="O233" s="316">
        <v>0</v>
      </c>
      <c r="P233" s="316">
        <v>0</v>
      </c>
      <c r="Q233" s="316">
        <v>0</v>
      </c>
      <c r="R233" s="316">
        <v>0</v>
      </c>
      <c r="S233" s="316">
        <v>0</v>
      </c>
      <c r="T233" s="316">
        <v>0</v>
      </c>
      <c r="U233" s="316">
        <v>0</v>
      </c>
      <c r="V233" s="316">
        <v>0</v>
      </c>
      <c r="W233" s="316">
        <v>0</v>
      </c>
      <c r="X233" s="316">
        <v>0</v>
      </c>
      <c r="Y233" s="316">
        <v>0</v>
      </c>
      <c r="Z233" s="316">
        <v>0</v>
      </c>
      <c r="AA233" s="316">
        <v>0</v>
      </c>
      <c r="AB233" s="316">
        <v>0</v>
      </c>
      <c r="AC233" s="316">
        <v>0</v>
      </c>
      <c r="AD233" s="316">
        <v>0</v>
      </c>
      <c r="AE233" s="316">
        <v>0</v>
      </c>
      <c r="AF233" s="316">
        <v>0</v>
      </c>
      <c r="AG233" s="316">
        <v>0</v>
      </c>
      <c r="AH233" s="316">
        <v>1</v>
      </c>
      <c r="AI233" s="316">
        <v>1</v>
      </c>
      <c r="AJ233" s="316">
        <v>1</v>
      </c>
      <c r="AK233" s="316">
        <v>1</v>
      </c>
      <c r="AL233" s="316">
        <v>1</v>
      </c>
      <c r="AM233" s="316">
        <v>1</v>
      </c>
      <c r="AN233" s="316">
        <v>1</v>
      </c>
      <c r="AO233" s="316">
        <v>1</v>
      </c>
      <c r="AP233" s="316">
        <v>1</v>
      </c>
      <c r="AQ233" s="316">
        <v>1</v>
      </c>
      <c r="AR233" s="316">
        <v>1</v>
      </c>
      <c r="AS233" s="316">
        <v>1</v>
      </c>
      <c r="AT233" s="316">
        <v>1</v>
      </c>
    </row>
    <row r="234" spans="2:46" ht="12.75" customHeight="1" x14ac:dyDescent="0.15">
      <c r="B234" s="315">
        <v>1064</v>
      </c>
      <c r="C234" s="319" t="s">
        <v>429</v>
      </c>
      <c r="D234" s="313" t="s">
        <v>440</v>
      </c>
      <c r="E234" s="319" t="s">
        <v>1831</v>
      </c>
      <c r="F234" s="319" t="s">
        <v>431</v>
      </c>
      <c r="G234" s="315" t="str">
        <f>_xlfn.XLOOKUP(B234,'WFP Details - 2026'!A:A,'WFP Details - 2026'!Z:Z)</f>
        <v>x</v>
      </c>
      <c r="H234" s="314">
        <v>45642</v>
      </c>
      <c r="I234" s="315">
        <v>12</v>
      </c>
      <c r="J234" s="315">
        <v>2024</v>
      </c>
      <c r="K234" s="316">
        <v>1</v>
      </c>
      <c r="L234" s="316">
        <v>1</v>
      </c>
      <c r="M234" s="316">
        <v>1</v>
      </c>
      <c r="N234" s="316">
        <v>1</v>
      </c>
      <c r="O234" s="316">
        <v>1</v>
      </c>
      <c r="P234" s="316">
        <v>1</v>
      </c>
      <c r="Q234" s="316">
        <v>1</v>
      </c>
      <c r="R234" s="316">
        <v>1</v>
      </c>
      <c r="S234" s="316">
        <v>1</v>
      </c>
      <c r="T234" s="316">
        <v>1</v>
      </c>
      <c r="U234" s="316">
        <v>1</v>
      </c>
      <c r="V234" s="316">
        <v>1</v>
      </c>
      <c r="W234" s="316">
        <v>1</v>
      </c>
      <c r="X234" s="316">
        <v>1</v>
      </c>
      <c r="Y234" s="316">
        <v>1</v>
      </c>
      <c r="Z234" s="316">
        <v>1</v>
      </c>
      <c r="AA234" s="316">
        <v>1</v>
      </c>
      <c r="AB234" s="316">
        <v>1</v>
      </c>
      <c r="AC234" s="316">
        <v>1</v>
      </c>
      <c r="AD234" s="316">
        <v>1</v>
      </c>
      <c r="AE234" s="316">
        <v>1</v>
      </c>
      <c r="AF234" s="316">
        <v>1</v>
      </c>
      <c r="AG234" s="316">
        <v>1</v>
      </c>
      <c r="AH234" s="316">
        <v>1</v>
      </c>
      <c r="AI234" s="316">
        <v>1</v>
      </c>
      <c r="AJ234" s="316">
        <v>1</v>
      </c>
      <c r="AK234" s="316">
        <v>1</v>
      </c>
      <c r="AL234" s="316">
        <v>1</v>
      </c>
      <c r="AM234" s="316">
        <v>1</v>
      </c>
      <c r="AN234" s="316">
        <v>1</v>
      </c>
      <c r="AO234" s="316">
        <v>1</v>
      </c>
      <c r="AP234" s="316">
        <v>1</v>
      </c>
      <c r="AQ234" s="316">
        <v>1</v>
      </c>
      <c r="AR234" s="316">
        <v>1</v>
      </c>
      <c r="AS234" s="316">
        <v>1</v>
      </c>
      <c r="AT234" s="316">
        <v>1</v>
      </c>
    </row>
    <row r="235" spans="2:46" ht="12.75" customHeight="1" x14ac:dyDescent="0.15">
      <c r="B235" s="315">
        <v>1063</v>
      </c>
      <c r="C235" s="319" t="s">
        <v>429</v>
      </c>
      <c r="D235" s="313" t="s">
        <v>430</v>
      </c>
      <c r="E235" s="319" t="s">
        <v>1792</v>
      </c>
      <c r="F235" s="319" t="s">
        <v>1865</v>
      </c>
      <c r="G235" s="315" t="str">
        <f>_xlfn.XLOOKUP(B235,'WFP Details - 2026'!A:A,'WFP Details - 2026'!Z:Z)</f>
        <v>x</v>
      </c>
      <c r="H235" s="314">
        <v>45672</v>
      </c>
      <c r="I235" s="315">
        <v>1</v>
      </c>
      <c r="J235" s="315">
        <v>2025</v>
      </c>
      <c r="K235" s="316">
        <v>1</v>
      </c>
      <c r="L235" s="316">
        <v>1</v>
      </c>
      <c r="M235" s="316">
        <v>1</v>
      </c>
      <c r="N235" s="316">
        <v>1</v>
      </c>
      <c r="O235" s="316">
        <v>1</v>
      </c>
      <c r="P235" s="316">
        <v>1</v>
      </c>
      <c r="Q235" s="316">
        <v>1</v>
      </c>
      <c r="R235" s="316">
        <v>1</v>
      </c>
      <c r="S235" s="316">
        <v>1</v>
      </c>
      <c r="T235" s="316">
        <v>1</v>
      </c>
      <c r="U235" s="316">
        <v>1</v>
      </c>
      <c r="V235" s="316">
        <v>1</v>
      </c>
      <c r="W235" s="316">
        <v>1</v>
      </c>
      <c r="X235" s="316">
        <v>1</v>
      </c>
      <c r="Y235" s="316">
        <v>1</v>
      </c>
      <c r="Z235" s="316">
        <v>1</v>
      </c>
      <c r="AA235" s="316">
        <v>1</v>
      </c>
      <c r="AB235" s="316">
        <v>1</v>
      </c>
      <c r="AC235" s="316">
        <v>1</v>
      </c>
      <c r="AD235" s="316">
        <v>1</v>
      </c>
      <c r="AE235" s="316">
        <v>1</v>
      </c>
      <c r="AF235" s="316">
        <v>1</v>
      </c>
      <c r="AG235" s="316">
        <v>1</v>
      </c>
      <c r="AH235" s="316">
        <v>1</v>
      </c>
      <c r="AI235" s="316">
        <v>1</v>
      </c>
      <c r="AJ235" s="316">
        <v>1</v>
      </c>
      <c r="AK235" s="316">
        <v>1</v>
      </c>
      <c r="AL235" s="316">
        <v>1</v>
      </c>
      <c r="AM235" s="316">
        <v>1</v>
      </c>
      <c r="AN235" s="316">
        <v>1</v>
      </c>
      <c r="AO235" s="316">
        <v>1</v>
      </c>
      <c r="AP235" s="316">
        <v>1</v>
      </c>
      <c r="AQ235" s="316">
        <v>1</v>
      </c>
      <c r="AR235" s="316">
        <v>1</v>
      </c>
      <c r="AS235" s="316">
        <v>1</v>
      </c>
      <c r="AT235" s="316">
        <v>1</v>
      </c>
    </row>
    <row r="236" spans="2:46" ht="12.75" customHeight="1" x14ac:dyDescent="0.15">
      <c r="B236" s="315">
        <v>1293</v>
      </c>
      <c r="C236" s="319" t="s">
        <v>429</v>
      </c>
      <c r="D236" s="313" t="s">
        <v>1866</v>
      </c>
      <c r="E236" s="319" t="s">
        <v>1805</v>
      </c>
      <c r="F236" s="319" t="s">
        <v>1867</v>
      </c>
      <c r="G236" s="315" t="str">
        <f>_xlfn.XLOOKUP(B236,'WFP Details - 2026'!A:A,'WFP Details - 2026'!Z:Z)</f>
        <v>x</v>
      </c>
      <c r="H236" s="314">
        <v>45761</v>
      </c>
      <c r="I236" s="315">
        <v>4</v>
      </c>
      <c r="J236" s="315">
        <v>2025</v>
      </c>
      <c r="K236" s="316">
        <v>1</v>
      </c>
      <c r="L236" s="316">
        <v>1</v>
      </c>
      <c r="M236" s="316">
        <v>1</v>
      </c>
      <c r="N236" s="316">
        <v>1</v>
      </c>
      <c r="O236" s="316">
        <v>1</v>
      </c>
      <c r="P236" s="316">
        <v>1</v>
      </c>
      <c r="Q236" s="316">
        <v>1</v>
      </c>
      <c r="R236" s="316">
        <v>1</v>
      </c>
      <c r="S236" s="316">
        <v>1</v>
      </c>
      <c r="T236" s="316">
        <v>1</v>
      </c>
      <c r="U236" s="316">
        <v>1</v>
      </c>
      <c r="V236" s="316">
        <v>1</v>
      </c>
      <c r="W236" s="316">
        <v>1</v>
      </c>
      <c r="X236" s="316">
        <v>1</v>
      </c>
      <c r="Y236" s="316">
        <v>1</v>
      </c>
      <c r="Z236" s="316">
        <v>1</v>
      </c>
      <c r="AA236" s="316">
        <v>1</v>
      </c>
      <c r="AB236" s="316">
        <v>1</v>
      </c>
      <c r="AC236" s="316">
        <v>1</v>
      </c>
      <c r="AD236" s="316">
        <v>1</v>
      </c>
      <c r="AE236" s="316">
        <v>1</v>
      </c>
      <c r="AF236" s="316">
        <v>1</v>
      </c>
      <c r="AG236" s="316">
        <v>1</v>
      </c>
      <c r="AH236" s="316">
        <v>1</v>
      </c>
      <c r="AI236" s="316">
        <v>1</v>
      </c>
      <c r="AJ236" s="316">
        <v>1</v>
      </c>
      <c r="AK236" s="316">
        <v>1</v>
      </c>
      <c r="AL236" s="316">
        <v>1</v>
      </c>
      <c r="AM236" s="316">
        <v>1</v>
      </c>
      <c r="AN236" s="316">
        <v>1</v>
      </c>
      <c r="AO236" s="316">
        <v>1</v>
      </c>
      <c r="AP236" s="316">
        <v>1</v>
      </c>
      <c r="AQ236" s="316">
        <v>1</v>
      </c>
      <c r="AR236" s="316">
        <v>1</v>
      </c>
      <c r="AS236" s="316">
        <v>1</v>
      </c>
      <c r="AT236" s="316">
        <v>1</v>
      </c>
    </row>
    <row r="237" spans="2:46" ht="12.75" customHeight="1" x14ac:dyDescent="0.15">
      <c r="B237" s="315">
        <v>1294</v>
      </c>
      <c r="C237" s="319" t="s">
        <v>429</v>
      </c>
      <c r="D237" s="313" t="s">
        <v>1868</v>
      </c>
      <c r="E237" s="319" t="s">
        <v>1795</v>
      </c>
      <c r="F237" s="319" t="s">
        <v>441</v>
      </c>
      <c r="G237" s="315" t="str">
        <f>_xlfn.XLOOKUP(B237,'WFP Details - 2026'!A:A,'WFP Details - 2026'!Z:Z)</f>
        <v>x</v>
      </c>
      <c r="H237" s="314">
        <v>45782</v>
      </c>
      <c r="I237" s="315">
        <v>5</v>
      </c>
      <c r="J237" s="315">
        <v>2025</v>
      </c>
      <c r="K237" s="316">
        <v>1</v>
      </c>
      <c r="L237" s="316">
        <v>1</v>
      </c>
      <c r="M237" s="316">
        <v>1</v>
      </c>
      <c r="N237" s="316">
        <v>1</v>
      </c>
      <c r="O237" s="316">
        <v>1</v>
      </c>
      <c r="P237" s="316">
        <v>1</v>
      </c>
      <c r="Q237" s="316">
        <v>1</v>
      </c>
      <c r="R237" s="316">
        <v>1</v>
      </c>
      <c r="S237" s="316">
        <v>1</v>
      </c>
      <c r="T237" s="316">
        <v>1</v>
      </c>
      <c r="U237" s="316">
        <v>1</v>
      </c>
      <c r="V237" s="316">
        <v>1</v>
      </c>
      <c r="W237" s="316">
        <v>1</v>
      </c>
      <c r="X237" s="316">
        <v>1</v>
      </c>
      <c r="Y237" s="316">
        <v>1</v>
      </c>
      <c r="Z237" s="316">
        <v>1</v>
      </c>
      <c r="AA237" s="316">
        <v>1</v>
      </c>
      <c r="AB237" s="316">
        <v>1</v>
      </c>
      <c r="AC237" s="316">
        <v>1</v>
      </c>
      <c r="AD237" s="316">
        <v>1</v>
      </c>
      <c r="AE237" s="316">
        <v>1</v>
      </c>
      <c r="AF237" s="316">
        <v>1</v>
      </c>
      <c r="AG237" s="316">
        <v>1</v>
      </c>
      <c r="AH237" s="316">
        <v>1</v>
      </c>
      <c r="AI237" s="316">
        <v>1</v>
      </c>
      <c r="AJ237" s="316">
        <v>1</v>
      </c>
      <c r="AK237" s="316">
        <v>1</v>
      </c>
      <c r="AL237" s="316">
        <v>1</v>
      </c>
      <c r="AM237" s="316">
        <v>1</v>
      </c>
      <c r="AN237" s="316">
        <v>1</v>
      </c>
      <c r="AO237" s="316">
        <v>1</v>
      </c>
      <c r="AP237" s="316">
        <v>1</v>
      </c>
      <c r="AQ237" s="316">
        <v>1</v>
      </c>
      <c r="AR237" s="316">
        <v>1</v>
      </c>
      <c r="AS237" s="316">
        <v>1</v>
      </c>
      <c r="AT237" s="316">
        <v>1</v>
      </c>
    </row>
    <row r="238" spans="2:46" ht="12.75" customHeight="1" x14ac:dyDescent="0.15">
      <c r="B238" s="315">
        <v>1373</v>
      </c>
      <c r="C238" s="319" t="s">
        <v>429</v>
      </c>
      <c r="D238" s="313" t="s">
        <v>101</v>
      </c>
      <c r="E238" s="319" t="s">
        <v>1817</v>
      </c>
      <c r="F238" s="319" t="s">
        <v>443</v>
      </c>
      <c r="G238" s="315" t="str">
        <f>_xlfn.XLOOKUP(B238,'WFP Details - 2026'!A:A,'WFP Details - 2026'!Z:Z)</f>
        <v>x</v>
      </c>
      <c r="H238" s="314">
        <v>46096</v>
      </c>
      <c r="I238" s="315">
        <v>3</v>
      </c>
      <c r="J238" s="315">
        <v>2026</v>
      </c>
      <c r="K238" s="316">
        <v>0</v>
      </c>
      <c r="L238" s="316">
        <v>0</v>
      </c>
      <c r="M238" s="316">
        <v>1</v>
      </c>
      <c r="N238" s="316">
        <v>1</v>
      </c>
      <c r="O238" s="316">
        <v>1</v>
      </c>
      <c r="P238" s="316">
        <v>1</v>
      </c>
      <c r="Q238" s="316">
        <v>1</v>
      </c>
      <c r="R238" s="316">
        <v>1</v>
      </c>
      <c r="S238" s="316">
        <v>1</v>
      </c>
      <c r="T238" s="316">
        <v>1</v>
      </c>
      <c r="U238" s="316">
        <v>1</v>
      </c>
      <c r="V238" s="316">
        <v>1</v>
      </c>
      <c r="W238" s="316">
        <v>1</v>
      </c>
      <c r="X238" s="316">
        <v>1</v>
      </c>
      <c r="Y238" s="316">
        <v>1</v>
      </c>
      <c r="Z238" s="316">
        <v>1</v>
      </c>
      <c r="AA238" s="316">
        <v>1</v>
      </c>
      <c r="AB238" s="316">
        <v>1</v>
      </c>
      <c r="AC238" s="316">
        <v>1</v>
      </c>
      <c r="AD238" s="316">
        <v>1</v>
      </c>
      <c r="AE238" s="316">
        <v>1</v>
      </c>
      <c r="AF238" s="316">
        <v>1</v>
      </c>
      <c r="AG238" s="316">
        <v>1</v>
      </c>
      <c r="AH238" s="316">
        <v>1</v>
      </c>
      <c r="AI238" s="316">
        <v>1</v>
      </c>
      <c r="AJ238" s="316">
        <v>1</v>
      </c>
      <c r="AK238" s="316">
        <v>1</v>
      </c>
      <c r="AL238" s="316">
        <v>1</v>
      </c>
      <c r="AM238" s="316">
        <v>1</v>
      </c>
      <c r="AN238" s="316">
        <v>1</v>
      </c>
      <c r="AO238" s="316">
        <v>1</v>
      </c>
      <c r="AP238" s="316">
        <v>1</v>
      </c>
      <c r="AQ238" s="316">
        <v>1</v>
      </c>
      <c r="AR238" s="316">
        <v>1</v>
      </c>
      <c r="AS238" s="316">
        <v>1</v>
      </c>
      <c r="AT238" s="316">
        <v>1</v>
      </c>
    </row>
    <row r="239" spans="2:46" ht="12.75" customHeight="1" x14ac:dyDescent="0.15">
      <c r="B239" s="315">
        <v>1384</v>
      </c>
      <c r="C239" s="319" t="s">
        <v>429</v>
      </c>
      <c r="D239" s="313" t="s">
        <v>1869</v>
      </c>
      <c r="E239" s="319" t="s">
        <v>1817</v>
      </c>
      <c r="F239" s="319" t="s">
        <v>1870</v>
      </c>
      <c r="G239" s="315" t="str">
        <f>_xlfn.XLOOKUP(B239,'WFP Details - 2026'!A:A,'WFP Details - 2026'!Z:Z)</f>
        <v>x</v>
      </c>
      <c r="H239" s="314">
        <v>46096</v>
      </c>
      <c r="I239" s="315">
        <v>3</v>
      </c>
      <c r="J239" s="315">
        <v>2026</v>
      </c>
      <c r="K239" s="316">
        <v>0</v>
      </c>
      <c r="L239" s="316">
        <v>0</v>
      </c>
      <c r="M239" s="316">
        <v>1</v>
      </c>
      <c r="N239" s="316">
        <v>1</v>
      </c>
      <c r="O239" s="316">
        <v>1</v>
      </c>
      <c r="P239" s="316">
        <v>1</v>
      </c>
      <c r="Q239" s="316">
        <v>1</v>
      </c>
      <c r="R239" s="316">
        <v>1</v>
      </c>
      <c r="S239" s="316">
        <v>1</v>
      </c>
      <c r="T239" s="316">
        <v>1</v>
      </c>
      <c r="U239" s="316">
        <v>1</v>
      </c>
      <c r="V239" s="316">
        <v>1</v>
      </c>
      <c r="W239" s="316">
        <v>1</v>
      </c>
      <c r="X239" s="316">
        <v>1</v>
      </c>
      <c r="Y239" s="316">
        <v>1</v>
      </c>
      <c r="Z239" s="316">
        <v>1</v>
      </c>
      <c r="AA239" s="316">
        <v>1</v>
      </c>
      <c r="AB239" s="316">
        <v>1</v>
      </c>
      <c r="AC239" s="316">
        <v>1</v>
      </c>
      <c r="AD239" s="316">
        <v>1</v>
      </c>
      <c r="AE239" s="316">
        <v>1</v>
      </c>
      <c r="AF239" s="316">
        <v>1</v>
      </c>
      <c r="AG239" s="316">
        <v>1</v>
      </c>
      <c r="AH239" s="316">
        <v>1</v>
      </c>
      <c r="AI239" s="316">
        <v>1</v>
      </c>
      <c r="AJ239" s="316">
        <v>1</v>
      </c>
      <c r="AK239" s="316">
        <v>1</v>
      </c>
      <c r="AL239" s="316">
        <v>1</v>
      </c>
      <c r="AM239" s="316">
        <v>1</v>
      </c>
      <c r="AN239" s="316">
        <v>1</v>
      </c>
      <c r="AO239" s="316">
        <v>1</v>
      </c>
      <c r="AP239" s="316">
        <v>1</v>
      </c>
      <c r="AQ239" s="316">
        <v>1</v>
      </c>
      <c r="AR239" s="316">
        <v>1</v>
      </c>
      <c r="AS239" s="316">
        <v>1</v>
      </c>
      <c r="AT239" s="316">
        <v>1</v>
      </c>
    </row>
    <row r="240" spans="2:46" ht="12.75" customHeight="1" x14ac:dyDescent="0.15">
      <c r="B240" s="315">
        <v>1296</v>
      </c>
      <c r="C240" s="319" t="s">
        <v>429</v>
      </c>
      <c r="D240" s="313" t="s">
        <v>101</v>
      </c>
      <c r="E240" s="319" t="s">
        <v>1817</v>
      </c>
      <c r="F240" s="319" t="s">
        <v>447</v>
      </c>
      <c r="G240" s="315" t="str">
        <f>_xlfn.XLOOKUP(B240,'WFP Details - 2026'!A:A,'WFP Details - 2026'!Z:Z)</f>
        <v>x</v>
      </c>
      <c r="H240" s="314">
        <v>46096</v>
      </c>
      <c r="I240" s="315">
        <v>3</v>
      </c>
      <c r="J240" s="315">
        <v>2026</v>
      </c>
      <c r="K240" s="316">
        <v>0</v>
      </c>
      <c r="L240" s="316">
        <v>0</v>
      </c>
      <c r="M240" s="316">
        <v>1</v>
      </c>
      <c r="N240" s="316">
        <v>1</v>
      </c>
      <c r="O240" s="316">
        <v>1</v>
      </c>
      <c r="P240" s="316">
        <v>1</v>
      </c>
      <c r="Q240" s="316">
        <v>1</v>
      </c>
      <c r="R240" s="316">
        <v>1</v>
      </c>
      <c r="S240" s="316">
        <v>1</v>
      </c>
      <c r="T240" s="316">
        <v>1</v>
      </c>
      <c r="U240" s="316">
        <v>1</v>
      </c>
      <c r="V240" s="316">
        <v>1</v>
      </c>
      <c r="W240" s="316">
        <v>1</v>
      </c>
      <c r="X240" s="316">
        <v>1</v>
      </c>
      <c r="Y240" s="316">
        <v>1</v>
      </c>
      <c r="Z240" s="316">
        <v>1</v>
      </c>
      <c r="AA240" s="316">
        <v>1</v>
      </c>
      <c r="AB240" s="316">
        <v>1</v>
      </c>
      <c r="AC240" s="316">
        <v>1</v>
      </c>
      <c r="AD240" s="316">
        <v>1</v>
      </c>
      <c r="AE240" s="316">
        <v>1</v>
      </c>
      <c r="AF240" s="316">
        <v>1</v>
      </c>
      <c r="AG240" s="316">
        <v>1</v>
      </c>
      <c r="AH240" s="316">
        <v>1</v>
      </c>
      <c r="AI240" s="316">
        <v>1</v>
      </c>
      <c r="AJ240" s="316">
        <v>1</v>
      </c>
      <c r="AK240" s="316">
        <v>1</v>
      </c>
      <c r="AL240" s="316">
        <v>1</v>
      </c>
      <c r="AM240" s="316">
        <v>1</v>
      </c>
      <c r="AN240" s="316">
        <v>1</v>
      </c>
      <c r="AO240" s="316">
        <v>1</v>
      </c>
      <c r="AP240" s="316">
        <v>1</v>
      </c>
      <c r="AQ240" s="316">
        <v>1</v>
      </c>
      <c r="AR240" s="316">
        <v>1</v>
      </c>
      <c r="AS240" s="316">
        <v>1</v>
      </c>
      <c r="AT240" s="316">
        <v>1</v>
      </c>
    </row>
    <row r="241" spans="2:46" ht="12.75" customHeight="1" x14ac:dyDescent="0.15">
      <c r="B241" s="315">
        <v>5150</v>
      </c>
      <c r="C241" s="319" t="s">
        <v>429</v>
      </c>
      <c r="D241" s="313" t="s">
        <v>101</v>
      </c>
      <c r="E241" s="319" t="s">
        <v>1795</v>
      </c>
      <c r="F241" s="319" t="s">
        <v>1871</v>
      </c>
      <c r="G241" s="315" t="str">
        <f>_xlfn.XLOOKUP(B241,'WFP Details - 2026'!A:A,'WFP Details - 2026'!Z:Z)</f>
        <v>x</v>
      </c>
      <c r="H241" s="314">
        <v>46188</v>
      </c>
      <c r="I241" s="315">
        <v>6</v>
      </c>
      <c r="J241" s="315">
        <v>2026</v>
      </c>
      <c r="K241" s="316">
        <v>0</v>
      </c>
      <c r="L241" s="316">
        <v>0</v>
      </c>
      <c r="M241" s="316">
        <v>0</v>
      </c>
      <c r="N241" s="316">
        <v>0</v>
      </c>
      <c r="O241" s="316">
        <v>0</v>
      </c>
      <c r="P241" s="316">
        <v>1</v>
      </c>
      <c r="Q241" s="316">
        <v>1</v>
      </c>
      <c r="R241" s="316">
        <v>1</v>
      </c>
      <c r="S241" s="316">
        <v>1</v>
      </c>
      <c r="T241" s="316">
        <v>1</v>
      </c>
      <c r="U241" s="316">
        <v>1</v>
      </c>
      <c r="V241" s="316">
        <v>1</v>
      </c>
      <c r="W241" s="316">
        <v>1</v>
      </c>
      <c r="X241" s="316">
        <v>1</v>
      </c>
      <c r="Y241" s="316">
        <v>1</v>
      </c>
      <c r="Z241" s="316">
        <v>1</v>
      </c>
      <c r="AA241" s="316">
        <v>1</v>
      </c>
      <c r="AB241" s="316">
        <v>1</v>
      </c>
      <c r="AC241" s="316">
        <v>1</v>
      </c>
      <c r="AD241" s="316">
        <v>1</v>
      </c>
      <c r="AE241" s="316">
        <v>1</v>
      </c>
      <c r="AF241" s="316">
        <v>1</v>
      </c>
      <c r="AG241" s="316">
        <v>1</v>
      </c>
      <c r="AH241" s="316">
        <v>1</v>
      </c>
      <c r="AI241" s="316">
        <v>1</v>
      </c>
      <c r="AJ241" s="316">
        <v>1</v>
      </c>
      <c r="AK241" s="316">
        <v>1</v>
      </c>
      <c r="AL241" s="316">
        <v>1</v>
      </c>
      <c r="AM241" s="316">
        <v>1</v>
      </c>
      <c r="AN241" s="316">
        <v>1</v>
      </c>
      <c r="AO241" s="316">
        <v>1</v>
      </c>
      <c r="AP241" s="316">
        <v>1</v>
      </c>
      <c r="AQ241" s="316">
        <v>1</v>
      </c>
      <c r="AR241" s="316">
        <v>1</v>
      </c>
      <c r="AS241" s="316">
        <v>1</v>
      </c>
      <c r="AT241" s="316">
        <v>1</v>
      </c>
    </row>
    <row r="242" spans="2:46" ht="12.75" customHeight="1" x14ac:dyDescent="0.15">
      <c r="B242" s="315">
        <v>5152</v>
      </c>
      <c r="C242" s="319" t="s">
        <v>429</v>
      </c>
      <c r="D242" s="313" t="s">
        <v>101</v>
      </c>
      <c r="E242" s="319" t="s">
        <v>1817</v>
      </c>
      <c r="F242" s="319" t="s">
        <v>455</v>
      </c>
      <c r="G242" s="315" t="str">
        <f>_xlfn.XLOOKUP(B242,'WFP Details - 2026'!A:A,'WFP Details - 2026'!Z:Z)</f>
        <v>x</v>
      </c>
      <c r="H242" s="314">
        <v>46188</v>
      </c>
      <c r="I242" s="315">
        <v>6</v>
      </c>
      <c r="J242" s="315">
        <v>2026</v>
      </c>
      <c r="K242" s="316">
        <v>0</v>
      </c>
      <c r="L242" s="316">
        <v>0</v>
      </c>
      <c r="M242" s="316">
        <v>0</v>
      </c>
      <c r="N242" s="316">
        <v>0</v>
      </c>
      <c r="O242" s="316">
        <v>0</v>
      </c>
      <c r="P242" s="316">
        <v>1</v>
      </c>
      <c r="Q242" s="316">
        <v>1</v>
      </c>
      <c r="R242" s="316">
        <v>1</v>
      </c>
      <c r="S242" s="316">
        <v>1</v>
      </c>
      <c r="T242" s="316">
        <v>1</v>
      </c>
      <c r="U242" s="316">
        <v>1</v>
      </c>
      <c r="V242" s="316">
        <v>1</v>
      </c>
      <c r="W242" s="316">
        <v>1</v>
      </c>
      <c r="X242" s="316">
        <v>1</v>
      </c>
      <c r="Y242" s="316">
        <v>1</v>
      </c>
      <c r="Z242" s="316">
        <v>1</v>
      </c>
      <c r="AA242" s="316">
        <v>1</v>
      </c>
      <c r="AB242" s="316">
        <v>1</v>
      </c>
      <c r="AC242" s="316">
        <v>1</v>
      </c>
      <c r="AD242" s="316">
        <v>1</v>
      </c>
      <c r="AE242" s="316">
        <v>1</v>
      </c>
      <c r="AF242" s="316">
        <v>1</v>
      </c>
      <c r="AG242" s="316">
        <v>1</v>
      </c>
      <c r="AH242" s="316">
        <v>1</v>
      </c>
      <c r="AI242" s="316">
        <v>1</v>
      </c>
      <c r="AJ242" s="316">
        <v>1</v>
      </c>
      <c r="AK242" s="316">
        <v>1</v>
      </c>
      <c r="AL242" s="316">
        <v>1</v>
      </c>
      <c r="AM242" s="316">
        <v>1</v>
      </c>
      <c r="AN242" s="316">
        <v>1</v>
      </c>
      <c r="AO242" s="316">
        <v>1</v>
      </c>
      <c r="AP242" s="316">
        <v>1</v>
      </c>
      <c r="AQ242" s="316">
        <v>1</v>
      </c>
      <c r="AR242" s="316">
        <v>1</v>
      </c>
      <c r="AS242" s="316">
        <v>1</v>
      </c>
      <c r="AT242" s="316">
        <v>1</v>
      </c>
    </row>
    <row r="243" spans="2:46" ht="12.75" customHeight="1" x14ac:dyDescent="0.15">
      <c r="B243" s="315">
        <v>5153</v>
      </c>
      <c r="C243" s="319" t="s">
        <v>429</v>
      </c>
      <c r="D243" s="313" t="s">
        <v>101</v>
      </c>
      <c r="E243" s="319" t="s">
        <v>1817</v>
      </c>
      <c r="F243" s="319" t="s">
        <v>462</v>
      </c>
      <c r="G243" s="315" t="str">
        <f>_xlfn.XLOOKUP(B243,'WFP Details - 2026'!A:A,'WFP Details - 2026'!Z:Z)</f>
        <v>x</v>
      </c>
      <c r="H243" s="314">
        <v>46280</v>
      </c>
      <c r="I243" s="315">
        <v>9</v>
      </c>
      <c r="J243" s="315">
        <v>2026</v>
      </c>
      <c r="K243" s="316">
        <v>0</v>
      </c>
      <c r="L243" s="316">
        <v>0</v>
      </c>
      <c r="M243" s="316">
        <v>0</v>
      </c>
      <c r="N243" s="316">
        <v>0</v>
      </c>
      <c r="O243" s="316">
        <v>0</v>
      </c>
      <c r="P243" s="316">
        <v>0</v>
      </c>
      <c r="Q243" s="316">
        <v>0</v>
      </c>
      <c r="R243" s="316">
        <v>0</v>
      </c>
      <c r="S243" s="316">
        <v>1</v>
      </c>
      <c r="T243" s="316">
        <v>1</v>
      </c>
      <c r="U243" s="316">
        <v>1</v>
      </c>
      <c r="V243" s="316">
        <v>1</v>
      </c>
      <c r="W243" s="316">
        <v>1</v>
      </c>
      <c r="X243" s="316">
        <v>1</v>
      </c>
      <c r="Y243" s="316">
        <v>1</v>
      </c>
      <c r="Z243" s="316">
        <v>1</v>
      </c>
      <c r="AA243" s="316">
        <v>1</v>
      </c>
      <c r="AB243" s="316">
        <v>1</v>
      </c>
      <c r="AC243" s="316">
        <v>1</v>
      </c>
      <c r="AD243" s="316">
        <v>1</v>
      </c>
      <c r="AE243" s="316">
        <v>1</v>
      </c>
      <c r="AF243" s="316">
        <v>1</v>
      </c>
      <c r="AG243" s="316">
        <v>1</v>
      </c>
      <c r="AH243" s="316">
        <v>1</v>
      </c>
      <c r="AI243" s="316">
        <v>1</v>
      </c>
      <c r="AJ243" s="316">
        <v>1</v>
      </c>
      <c r="AK243" s="316">
        <v>1</v>
      </c>
      <c r="AL243" s="316">
        <v>1</v>
      </c>
      <c r="AM243" s="316">
        <v>1</v>
      </c>
      <c r="AN243" s="316">
        <v>1</v>
      </c>
      <c r="AO243" s="316">
        <v>1</v>
      </c>
      <c r="AP243" s="316">
        <v>1</v>
      </c>
      <c r="AQ243" s="316">
        <v>1</v>
      </c>
      <c r="AR243" s="316">
        <v>1</v>
      </c>
      <c r="AS243" s="316">
        <v>1</v>
      </c>
      <c r="AT243" s="316">
        <v>1</v>
      </c>
    </row>
    <row r="244" spans="2:46" ht="12.75" hidden="1" customHeight="1" x14ac:dyDescent="0.15">
      <c r="B244" s="312">
        <v>5151</v>
      </c>
      <c r="C244" s="313" t="s">
        <v>429</v>
      </c>
      <c r="D244" s="313" t="s">
        <v>101</v>
      </c>
      <c r="E244" s="313" t="s">
        <v>1795</v>
      </c>
      <c r="F244" s="313" t="s">
        <v>1423</v>
      </c>
      <c r="G244" s="315" t="e">
        <f>_xlfn.XLOOKUP(B244,'WFP Details - 2026'!A:A,'WFP Details - 2026'!Z:Z)</f>
        <v>#N/A</v>
      </c>
      <c r="H244" s="314">
        <v>46461</v>
      </c>
      <c r="I244" s="315">
        <v>3</v>
      </c>
      <c r="J244" s="315">
        <v>2027</v>
      </c>
      <c r="K244" s="316">
        <v>0</v>
      </c>
      <c r="L244" s="316">
        <v>0</v>
      </c>
      <c r="M244" s="316">
        <v>0</v>
      </c>
      <c r="N244" s="316">
        <v>0</v>
      </c>
      <c r="O244" s="316">
        <v>0</v>
      </c>
      <c r="P244" s="316">
        <v>0</v>
      </c>
      <c r="Q244" s="316">
        <v>0</v>
      </c>
      <c r="R244" s="316">
        <v>0</v>
      </c>
      <c r="S244" s="316">
        <v>0</v>
      </c>
      <c r="T244" s="316">
        <v>0</v>
      </c>
      <c r="U244" s="316">
        <v>0</v>
      </c>
      <c r="V244" s="316">
        <v>0</v>
      </c>
      <c r="W244" s="316">
        <v>0</v>
      </c>
      <c r="X244" s="316">
        <v>0</v>
      </c>
      <c r="Y244" s="316">
        <v>1</v>
      </c>
      <c r="Z244" s="316">
        <v>1</v>
      </c>
      <c r="AA244" s="316">
        <v>1</v>
      </c>
      <c r="AB244" s="316">
        <v>1</v>
      </c>
      <c r="AC244" s="316">
        <v>1</v>
      </c>
      <c r="AD244" s="316">
        <v>1</v>
      </c>
      <c r="AE244" s="316">
        <v>1</v>
      </c>
      <c r="AF244" s="316">
        <v>1</v>
      </c>
      <c r="AG244" s="316">
        <v>1</v>
      </c>
      <c r="AH244" s="316">
        <v>1</v>
      </c>
      <c r="AI244" s="316">
        <v>1</v>
      </c>
      <c r="AJ244" s="316">
        <v>1</v>
      </c>
      <c r="AK244" s="316">
        <v>1</v>
      </c>
      <c r="AL244" s="316">
        <v>1</v>
      </c>
      <c r="AM244" s="316">
        <v>1</v>
      </c>
      <c r="AN244" s="316">
        <v>1</v>
      </c>
      <c r="AO244" s="316">
        <v>1</v>
      </c>
      <c r="AP244" s="316">
        <v>1</v>
      </c>
      <c r="AQ244" s="316">
        <v>1</v>
      </c>
      <c r="AR244" s="316">
        <v>1</v>
      </c>
      <c r="AS244" s="316">
        <v>1</v>
      </c>
      <c r="AT244" s="316">
        <v>1</v>
      </c>
    </row>
    <row r="245" spans="2:46" ht="12.75" hidden="1" customHeight="1" x14ac:dyDescent="0.15">
      <c r="B245" s="315">
        <v>5154</v>
      </c>
      <c r="C245" s="319" t="s">
        <v>429</v>
      </c>
      <c r="D245" s="313" t="s">
        <v>101</v>
      </c>
      <c r="E245" s="313" t="s">
        <v>1795</v>
      </c>
      <c r="F245" s="319" t="s">
        <v>1420</v>
      </c>
      <c r="G245" s="315" t="e">
        <f>_xlfn.XLOOKUP(B245,'WFP Details - 2026'!A:A,'WFP Details - 2026'!Z:Z)</f>
        <v>#N/A</v>
      </c>
      <c r="H245" s="314">
        <v>46461</v>
      </c>
      <c r="I245" s="315">
        <v>3</v>
      </c>
      <c r="J245" s="315">
        <v>2027</v>
      </c>
      <c r="K245" s="316">
        <v>0</v>
      </c>
      <c r="L245" s="316">
        <v>0</v>
      </c>
      <c r="M245" s="316">
        <v>0</v>
      </c>
      <c r="N245" s="316">
        <v>0</v>
      </c>
      <c r="O245" s="316">
        <v>0</v>
      </c>
      <c r="P245" s="316">
        <v>0</v>
      </c>
      <c r="Q245" s="316">
        <v>0</v>
      </c>
      <c r="R245" s="316">
        <v>0</v>
      </c>
      <c r="S245" s="316">
        <v>0</v>
      </c>
      <c r="T245" s="316">
        <v>0</v>
      </c>
      <c r="U245" s="316">
        <v>0</v>
      </c>
      <c r="V245" s="316">
        <v>0</v>
      </c>
      <c r="W245" s="316">
        <v>0</v>
      </c>
      <c r="X245" s="316">
        <v>0</v>
      </c>
      <c r="Y245" s="316">
        <v>1</v>
      </c>
      <c r="Z245" s="316">
        <v>1</v>
      </c>
      <c r="AA245" s="316">
        <v>1</v>
      </c>
      <c r="AB245" s="316">
        <v>1</v>
      </c>
      <c r="AC245" s="316">
        <v>1</v>
      </c>
      <c r="AD245" s="316">
        <v>1</v>
      </c>
      <c r="AE245" s="316">
        <v>1</v>
      </c>
      <c r="AF245" s="316">
        <v>1</v>
      </c>
      <c r="AG245" s="316">
        <v>1</v>
      </c>
      <c r="AH245" s="316">
        <v>1</v>
      </c>
      <c r="AI245" s="316">
        <v>1</v>
      </c>
      <c r="AJ245" s="316">
        <v>1</v>
      </c>
      <c r="AK245" s="316">
        <v>1</v>
      </c>
      <c r="AL245" s="316">
        <v>1</v>
      </c>
      <c r="AM245" s="316">
        <v>1</v>
      </c>
      <c r="AN245" s="316">
        <v>1</v>
      </c>
      <c r="AO245" s="316">
        <v>1</v>
      </c>
      <c r="AP245" s="316">
        <v>1</v>
      </c>
      <c r="AQ245" s="316">
        <v>1</v>
      </c>
      <c r="AR245" s="316">
        <v>1</v>
      </c>
      <c r="AS245" s="316">
        <v>1</v>
      </c>
      <c r="AT245" s="316">
        <v>1</v>
      </c>
    </row>
    <row r="246" spans="2:46" ht="12.75" hidden="1" customHeight="1" x14ac:dyDescent="0.15">
      <c r="B246" s="315">
        <v>5158</v>
      </c>
      <c r="C246" s="319" t="s">
        <v>429</v>
      </c>
      <c r="D246" s="313" t="s">
        <v>101</v>
      </c>
      <c r="E246" s="313" t="s">
        <v>1805</v>
      </c>
      <c r="F246" s="319" t="s">
        <v>1468</v>
      </c>
      <c r="G246" s="315" t="e">
        <f>_xlfn.XLOOKUP(B246,'WFP Details - 2026'!A:A,'WFP Details - 2026'!Z:Z)</f>
        <v>#N/A</v>
      </c>
      <c r="H246" s="314">
        <v>46461</v>
      </c>
      <c r="I246" s="315">
        <v>3</v>
      </c>
      <c r="J246" s="315">
        <v>2027</v>
      </c>
      <c r="K246" s="316">
        <v>0</v>
      </c>
      <c r="L246" s="316">
        <v>0</v>
      </c>
      <c r="M246" s="316">
        <v>0</v>
      </c>
      <c r="N246" s="316">
        <v>0</v>
      </c>
      <c r="O246" s="316">
        <v>0</v>
      </c>
      <c r="P246" s="316">
        <v>0</v>
      </c>
      <c r="Q246" s="316">
        <v>0</v>
      </c>
      <c r="R246" s="316">
        <v>0</v>
      </c>
      <c r="S246" s="316">
        <v>0</v>
      </c>
      <c r="T246" s="316">
        <v>0</v>
      </c>
      <c r="U246" s="316">
        <v>0</v>
      </c>
      <c r="V246" s="316">
        <v>0</v>
      </c>
      <c r="W246" s="316">
        <v>0</v>
      </c>
      <c r="X246" s="316">
        <v>0</v>
      </c>
      <c r="Y246" s="316">
        <v>1</v>
      </c>
      <c r="Z246" s="316">
        <v>1</v>
      </c>
      <c r="AA246" s="316">
        <v>1</v>
      </c>
      <c r="AB246" s="316">
        <v>1</v>
      </c>
      <c r="AC246" s="316">
        <v>1</v>
      </c>
      <c r="AD246" s="316">
        <v>1</v>
      </c>
      <c r="AE246" s="316">
        <v>1</v>
      </c>
      <c r="AF246" s="316">
        <v>1</v>
      </c>
      <c r="AG246" s="316">
        <v>1</v>
      </c>
      <c r="AH246" s="316">
        <v>1</v>
      </c>
      <c r="AI246" s="316">
        <v>1</v>
      </c>
      <c r="AJ246" s="316">
        <v>1</v>
      </c>
      <c r="AK246" s="316">
        <v>1</v>
      </c>
      <c r="AL246" s="316">
        <v>1</v>
      </c>
      <c r="AM246" s="316">
        <v>1</v>
      </c>
      <c r="AN246" s="316">
        <v>1</v>
      </c>
      <c r="AO246" s="316">
        <v>1</v>
      </c>
      <c r="AP246" s="316">
        <v>1</v>
      </c>
      <c r="AQ246" s="316">
        <v>1</v>
      </c>
      <c r="AR246" s="316">
        <v>1</v>
      </c>
      <c r="AS246" s="316">
        <v>1</v>
      </c>
      <c r="AT246" s="316">
        <v>1</v>
      </c>
    </row>
    <row r="247" spans="2:46" ht="12.75" hidden="1" customHeight="1" x14ac:dyDescent="0.15">
      <c r="B247" s="315">
        <v>5165</v>
      </c>
      <c r="C247" s="319" t="s">
        <v>429</v>
      </c>
      <c r="D247" s="313" t="s">
        <v>101</v>
      </c>
      <c r="E247" s="313" t="s">
        <v>1795</v>
      </c>
      <c r="F247" s="319" t="s">
        <v>1420</v>
      </c>
      <c r="G247" s="315" t="e">
        <f>_xlfn.XLOOKUP(B247,'WFP Details - 2026'!A:A,'WFP Details - 2026'!Z:Z)</f>
        <v>#N/A</v>
      </c>
      <c r="H247" s="314">
        <v>46461</v>
      </c>
      <c r="I247" s="315">
        <v>3</v>
      </c>
      <c r="J247" s="315">
        <v>2027</v>
      </c>
      <c r="K247" s="316">
        <v>0</v>
      </c>
      <c r="L247" s="316">
        <v>0</v>
      </c>
      <c r="M247" s="316">
        <v>0</v>
      </c>
      <c r="N247" s="316">
        <v>0</v>
      </c>
      <c r="O247" s="316">
        <v>0</v>
      </c>
      <c r="P247" s="316">
        <v>0</v>
      </c>
      <c r="Q247" s="316">
        <v>0</v>
      </c>
      <c r="R247" s="316">
        <v>0</v>
      </c>
      <c r="S247" s="316">
        <v>0</v>
      </c>
      <c r="T247" s="316">
        <v>0</v>
      </c>
      <c r="U247" s="316">
        <v>0</v>
      </c>
      <c r="V247" s="316">
        <v>0</v>
      </c>
      <c r="W247" s="316">
        <v>0</v>
      </c>
      <c r="X247" s="316">
        <v>0</v>
      </c>
      <c r="Y247" s="316">
        <v>1</v>
      </c>
      <c r="Z247" s="316">
        <v>1</v>
      </c>
      <c r="AA247" s="316">
        <v>1</v>
      </c>
      <c r="AB247" s="316">
        <v>1</v>
      </c>
      <c r="AC247" s="316">
        <v>1</v>
      </c>
      <c r="AD247" s="316">
        <v>1</v>
      </c>
      <c r="AE247" s="316">
        <v>1</v>
      </c>
      <c r="AF247" s="316">
        <v>1</v>
      </c>
      <c r="AG247" s="316">
        <v>1</v>
      </c>
      <c r="AH247" s="316">
        <v>1</v>
      </c>
      <c r="AI247" s="316">
        <v>1</v>
      </c>
      <c r="AJ247" s="316">
        <v>1</v>
      </c>
      <c r="AK247" s="316">
        <v>1</v>
      </c>
      <c r="AL247" s="316">
        <v>1</v>
      </c>
      <c r="AM247" s="316">
        <v>1</v>
      </c>
      <c r="AN247" s="316">
        <v>1</v>
      </c>
      <c r="AO247" s="316">
        <v>1</v>
      </c>
      <c r="AP247" s="316">
        <v>1</v>
      </c>
      <c r="AQ247" s="316">
        <v>1</v>
      </c>
      <c r="AR247" s="316">
        <v>1</v>
      </c>
      <c r="AS247" s="316">
        <v>1</v>
      </c>
      <c r="AT247" s="316">
        <v>1</v>
      </c>
    </row>
    <row r="248" spans="2:46" ht="12.75" hidden="1" customHeight="1" x14ac:dyDescent="0.15">
      <c r="B248" s="318">
        <v>5166</v>
      </c>
      <c r="C248" s="313" t="s">
        <v>429</v>
      </c>
      <c r="D248" s="313" t="s">
        <v>101</v>
      </c>
      <c r="E248" s="313" t="s">
        <v>1795</v>
      </c>
      <c r="F248" s="313" t="s">
        <v>1423</v>
      </c>
      <c r="G248" s="315" t="e">
        <f>_xlfn.XLOOKUP(B248,'WFP Details - 2026'!A:A,'WFP Details - 2026'!Z:Z)</f>
        <v>#N/A</v>
      </c>
      <c r="H248" s="314">
        <v>46461</v>
      </c>
      <c r="I248" s="315">
        <v>3</v>
      </c>
      <c r="J248" s="315">
        <v>2027</v>
      </c>
      <c r="K248" s="316">
        <v>0</v>
      </c>
      <c r="L248" s="316">
        <v>0</v>
      </c>
      <c r="M248" s="316">
        <v>0</v>
      </c>
      <c r="N248" s="316">
        <v>0</v>
      </c>
      <c r="O248" s="316">
        <v>0</v>
      </c>
      <c r="P248" s="316">
        <v>0</v>
      </c>
      <c r="Q248" s="316">
        <v>0</v>
      </c>
      <c r="R248" s="316">
        <v>0</v>
      </c>
      <c r="S248" s="316">
        <v>0</v>
      </c>
      <c r="T248" s="316">
        <v>0</v>
      </c>
      <c r="U248" s="316">
        <v>0</v>
      </c>
      <c r="V248" s="316">
        <v>0</v>
      </c>
      <c r="W248" s="316">
        <v>0</v>
      </c>
      <c r="X248" s="316">
        <v>0</v>
      </c>
      <c r="Y248" s="316">
        <v>1</v>
      </c>
      <c r="Z248" s="316">
        <v>1</v>
      </c>
      <c r="AA248" s="316">
        <v>1</v>
      </c>
      <c r="AB248" s="316">
        <v>1</v>
      </c>
      <c r="AC248" s="316">
        <v>1</v>
      </c>
      <c r="AD248" s="316">
        <v>1</v>
      </c>
      <c r="AE248" s="316">
        <v>1</v>
      </c>
      <c r="AF248" s="316">
        <v>1</v>
      </c>
      <c r="AG248" s="316">
        <v>1</v>
      </c>
      <c r="AH248" s="316">
        <v>1</v>
      </c>
      <c r="AI248" s="316">
        <v>1</v>
      </c>
      <c r="AJ248" s="316">
        <v>1</v>
      </c>
      <c r="AK248" s="316">
        <v>1</v>
      </c>
      <c r="AL248" s="316">
        <v>1</v>
      </c>
      <c r="AM248" s="316">
        <v>1</v>
      </c>
      <c r="AN248" s="316">
        <v>1</v>
      </c>
      <c r="AO248" s="316">
        <v>1</v>
      </c>
      <c r="AP248" s="316">
        <v>1</v>
      </c>
      <c r="AQ248" s="316">
        <v>1</v>
      </c>
      <c r="AR248" s="316">
        <v>1</v>
      </c>
      <c r="AS248" s="316">
        <v>1</v>
      </c>
      <c r="AT248" s="316">
        <v>1</v>
      </c>
    </row>
    <row r="249" spans="2:46" ht="12.75" hidden="1" customHeight="1" x14ac:dyDescent="0.15">
      <c r="B249" s="318">
        <v>5167</v>
      </c>
      <c r="C249" s="313" t="s">
        <v>429</v>
      </c>
      <c r="D249" s="313" t="s">
        <v>101</v>
      </c>
      <c r="E249" s="313" t="s">
        <v>1817</v>
      </c>
      <c r="F249" s="313" t="s">
        <v>1872</v>
      </c>
      <c r="G249" s="315" t="e">
        <f>_xlfn.XLOOKUP(B249,'WFP Details - 2026'!A:A,'WFP Details - 2026'!Z:Z)</f>
        <v>#N/A</v>
      </c>
      <c r="H249" s="314">
        <v>46461</v>
      </c>
      <c r="I249" s="315">
        <v>3</v>
      </c>
      <c r="J249" s="315">
        <v>2027</v>
      </c>
      <c r="K249" s="316">
        <v>0</v>
      </c>
      <c r="L249" s="316">
        <v>0</v>
      </c>
      <c r="M249" s="316">
        <v>0</v>
      </c>
      <c r="N249" s="316">
        <v>0</v>
      </c>
      <c r="O249" s="316">
        <v>0</v>
      </c>
      <c r="P249" s="316">
        <v>0</v>
      </c>
      <c r="Q249" s="316">
        <v>0</v>
      </c>
      <c r="R249" s="316">
        <v>0</v>
      </c>
      <c r="S249" s="316">
        <v>0</v>
      </c>
      <c r="T249" s="316">
        <v>0</v>
      </c>
      <c r="U249" s="316">
        <v>0</v>
      </c>
      <c r="V249" s="316">
        <v>0</v>
      </c>
      <c r="W249" s="316">
        <v>0</v>
      </c>
      <c r="X249" s="316">
        <v>0</v>
      </c>
      <c r="Y249" s="316">
        <v>1</v>
      </c>
      <c r="Z249" s="316">
        <v>1</v>
      </c>
      <c r="AA249" s="316">
        <v>1</v>
      </c>
      <c r="AB249" s="316">
        <v>1</v>
      </c>
      <c r="AC249" s="316">
        <v>1</v>
      </c>
      <c r="AD249" s="316">
        <v>1</v>
      </c>
      <c r="AE249" s="316">
        <v>1</v>
      </c>
      <c r="AF249" s="316">
        <v>1</v>
      </c>
      <c r="AG249" s="316">
        <v>1</v>
      </c>
      <c r="AH249" s="316">
        <v>1</v>
      </c>
      <c r="AI249" s="316">
        <v>1</v>
      </c>
      <c r="AJ249" s="316">
        <v>1</v>
      </c>
      <c r="AK249" s="316">
        <v>1</v>
      </c>
      <c r="AL249" s="316">
        <v>1</v>
      </c>
      <c r="AM249" s="316">
        <v>1</v>
      </c>
      <c r="AN249" s="316">
        <v>1</v>
      </c>
      <c r="AO249" s="316">
        <v>1</v>
      </c>
      <c r="AP249" s="316">
        <v>1</v>
      </c>
      <c r="AQ249" s="316">
        <v>1</v>
      </c>
      <c r="AR249" s="316">
        <v>1</v>
      </c>
      <c r="AS249" s="316">
        <v>1</v>
      </c>
      <c r="AT249" s="316">
        <v>1</v>
      </c>
    </row>
    <row r="250" spans="2:46" ht="12.75" hidden="1" customHeight="1" x14ac:dyDescent="0.15">
      <c r="B250" s="315">
        <v>5159</v>
      </c>
      <c r="C250" s="319" t="s">
        <v>429</v>
      </c>
      <c r="D250" s="313" t="s">
        <v>101</v>
      </c>
      <c r="E250" s="313" t="s">
        <v>1793</v>
      </c>
      <c r="F250" s="319" t="s">
        <v>1514</v>
      </c>
      <c r="G250" s="315" t="e">
        <f>_xlfn.XLOOKUP(B250,'WFP Details - 2026'!A:A,'WFP Details - 2026'!Z:Z)</f>
        <v>#N/A</v>
      </c>
      <c r="H250" s="314">
        <v>46553</v>
      </c>
      <c r="I250" s="315">
        <v>6</v>
      </c>
      <c r="J250" s="315">
        <v>2027</v>
      </c>
      <c r="K250" s="316">
        <v>0</v>
      </c>
      <c r="L250" s="316">
        <v>0</v>
      </c>
      <c r="M250" s="316">
        <v>0</v>
      </c>
      <c r="N250" s="316">
        <v>0</v>
      </c>
      <c r="O250" s="316">
        <v>0</v>
      </c>
      <c r="P250" s="316">
        <v>0</v>
      </c>
      <c r="Q250" s="316">
        <v>0</v>
      </c>
      <c r="R250" s="316">
        <v>0</v>
      </c>
      <c r="S250" s="316">
        <v>0</v>
      </c>
      <c r="T250" s="316">
        <v>0</v>
      </c>
      <c r="U250" s="316">
        <v>0</v>
      </c>
      <c r="V250" s="316">
        <v>0</v>
      </c>
      <c r="W250" s="316">
        <v>0</v>
      </c>
      <c r="X250" s="316">
        <v>0</v>
      </c>
      <c r="Y250" s="316">
        <v>0</v>
      </c>
      <c r="Z250" s="316">
        <v>0</v>
      </c>
      <c r="AA250" s="316">
        <v>0</v>
      </c>
      <c r="AB250" s="316">
        <v>1</v>
      </c>
      <c r="AC250" s="316">
        <v>1</v>
      </c>
      <c r="AD250" s="316">
        <v>1</v>
      </c>
      <c r="AE250" s="316">
        <v>1</v>
      </c>
      <c r="AF250" s="316">
        <v>1</v>
      </c>
      <c r="AG250" s="316">
        <v>1</v>
      </c>
      <c r="AH250" s="316">
        <v>1</v>
      </c>
      <c r="AI250" s="316">
        <v>1</v>
      </c>
      <c r="AJ250" s="316">
        <v>1</v>
      </c>
      <c r="AK250" s="316">
        <v>1</v>
      </c>
      <c r="AL250" s="316">
        <v>1</v>
      </c>
      <c r="AM250" s="316">
        <v>1</v>
      </c>
      <c r="AN250" s="316">
        <v>1</v>
      </c>
      <c r="AO250" s="316">
        <v>1</v>
      </c>
      <c r="AP250" s="316">
        <v>1</v>
      </c>
      <c r="AQ250" s="316">
        <v>1</v>
      </c>
      <c r="AR250" s="316">
        <v>1</v>
      </c>
      <c r="AS250" s="316">
        <v>1</v>
      </c>
      <c r="AT250" s="316">
        <v>1</v>
      </c>
    </row>
    <row r="251" spans="2:46" ht="12.75" hidden="1" customHeight="1" x14ac:dyDescent="0.15">
      <c r="B251" s="315">
        <v>5160</v>
      </c>
      <c r="C251" s="319" t="s">
        <v>429</v>
      </c>
      <c r="D251" s="313" t="s">
        <v>101</v>
      </c>
      <c r="E251" s="313" t="s">
        <v>1793</v>
      </c>
      <c r="F251" s="319" t="s">
        <v>1545</v>
      </c>
      <c r="G251" s="315" t="e">
        <f>_xlfn.XLOOKUP(B251,'WFP Details - 2026'!A:A,'WFP Details - 2026'!Z:Z)</f>
        <v>#N/A</v>
      </c>
      <c r="H251" s="314">
        <v>46553</v>
      </c>
      <c r="I251" s="315">
        <v>6</v>
      </c>
      <c r="J251" s="315">
        <v>2027</v>
      </c>
      <c r="K251" s="316">
        <v>0</v>
      </c>
      <c r="L251" s="316">
        <v>0</v>
      </c>
      <c r="M251" s="316">
        <v>0</v>
      </c>
      <c r="N251" s="316">
        <v>0</v>
      </c>
      <c r="O251" s="316">
        <v>0</v>
      </c>
      <c r="P251" s="316">
        <v>0</v>
      </c>
      <c r="Q251" s="316">
        <v>0</v>
      </c>
      <c r="R251" s="316">
        <v>0</v>
      </c>
      <c r="S251" s="316">
        <v>0</v>
      </c>
      <c r="T251" s="316">
        <v>0</v>
      </c>
      <c r="U251" s="316">
        <v>0</v>
      </c>
      <c r="V251" s="316">
        <v>0</v>
      </c>
      <c r="W251" s="316">
        <v>0</v>
      </c>
      <c r="X251" s="316">
        <v>0</v>
      </c>
      <c r="Y251" s="316">
        <v>0</v>
      </c>
      <c r="Z251" s="316">
        <v>0</v>
      </c>
      <c r="AA251" s="316">
        <v>0</v>
      </c>
      <c r="AB251" s="316">
        <v>1</v>
      </c>
      <c r="AC251" s="316">
        <v>1</v>
      </c>
      <c r="AD251" s="316">
        <v>1</v>
      </c>
      <c r="AE251" s="316">
        <v>1</v>
      </c>
      <c r="AF251" s="316">
        <v>1</v>
      </c>
      <c r="AG251" s="316">
        <v>1</v>
      </c>
      <c r="AH251" s="316">
        <v>1</v>
      </c>
      <c r="AI251" s="316">
        <v>1</v>
      </c>
      <c r="AJ251" s="316">
        <v>1</v>
      </c>
      <c r="AK251" s="316">
        <v>1</v>
      </c>
      <c r="AL251" s="316">
        <v>1</v>
      </c>
      <c r="AM251" s="316">
        <v>1</v>
      </c>
      <c r="AN251" s="316">
        <v>1</v>
      </c>
      <c r="AO251" s="316">
        <v>1</v>
      </c>
      <c r="AP251" s="316">
        <v>1</v>
      </c>
      <c r="AQ251" s="316">
        <v>1</v>
      </c>
      <c r="AR251" s="316">
        <v>1</v>
      </c>
      <c r="AS251" s="316">
        <v>1</v>
      </c>
      <c r="AT251" s="316">
        <v>1</v>
      </c>
    </row>
    <row r="252" spans="2:46" ht="12.75" hidden="1" customHeight="1" x14ac:dyDescent="0.15">
      <c r="B252" s="315">
        <v>5161</v>
      </c>
      <c r="C252" s="319" t="s">
        <v>429</v>
      </c>
      <c r="D252" s="313" t="s">
        <v>101</v>
      </c>
      <c r="E252" s="313" t="s">
        <v>1795</v>
      </c>
      <c r="F252" s="319" t="s">
        <v>1416</v>
      </c>
      <c r="G252" s="315" t="e">
        <f>_xlfn.XLOOKUP(B252,'WFP Details - 2026'!A:A,'WFP Details - 2026'!Z:Z)</f>
        <v>#N/A</v>
      </c>
      <c r="H252" s="314">
        <v>46553</v>
      </c>
      <c r="I252" s="315">
        <v>6</v>
      </c>
      <c r="J252" s="315">
        <v>2027</v>
      </c>
      <c r="K252" s="316">
        <v>0</v>
      </c>
      <c r="L252" s="316">
        <v>0</v>
      </c>
      <c r="M252" s="316">
        <v>0</v>
      </c>
      <c r="N252" s="316">
        <v>0</v>
      </c>
      <c r="O252" s="316">
        <v>0</v>
      </c>
      <c r="P252" s="316">
        <v>0</v>
      </c>
      <c r="Q252" s="316">
        <v>0</v>
      </c>
      <c r="R252" s="316">
        <v>0</v>
      </c>
      <c r="S252" s="316">
        <v>0</v>
      </c>
      <c r="T252" s="316">
        <v>0</v>
      </c>
      <c r="U252" s="316">
        <v>0</v>
      </c>
      <c r="V252" s="316">
        <v>0</v>
      </c>
      <c r="W252" s="316">
        <v>0</v>
      </c>
      <c r="X252" s="316">
        <v>0</v>
      </c>
      <c r="Y252" s="316">
        <v>0</v>
      </c>
      <c r="Z252" s="316">
        <v>0</v>
      </c>
      <c r="AA252" s="316">
        <v>0</v>
      </c>
      <c r="AB252" s="316">
        <v>1</v>
      </c>
      <c r="AC252" s="316">
        <v>1</v>
      </c>
      <c r="AD252" s="316">
        <v>1</v>
      </c>
      <c r="AE252" s="316">
        <v>1</v>
      </c>
      <c r="AF252" s="316">
        <v>1</v>
      </c>
      <c r="AG252" s="316">
        <v>1</v>
      </c>
      <c r="AH252" s="316">
        <v>1</v>
      </c>
      <c r="AI252" s="316">
        <v>1</v>
      </c>
      <c r="AJ252" s="316">
        <v>1</v>
      </c>
      <c r="AK252" s="316">
        <v>1</v>
      </c>
      <c r="AL252" s="316">
        <v>1</v>
      </c>
      <c r="AM252" s="316">
        <v>1</v>
      </c>
      <c r="AN252" s="316">
        <v>1</v>
      </c>
      <c r="AO252" s="316">
        <v>1</v>
      </c>
      <c r="AP252" s="316">
        <v>1</v>
      </c>
      <c r="AQ252" s="316">
        <v>1</v>
      </c>
      <c r="AR252" s="316">
        <v>1</v>
      </c>
      <c r="AS252" s="316">
        <v>1</v>
      </c>
      <c r="AT252" s="316">
        <v>1</v>
      </c>
    </row>
    <row r="253" spans="2:46" ht="12.75" hidden="1" customHeight="1" x14ac:dyDescent="0.15">
      <c r="B253" s="315">
        <v>5168</v>
      </c>
      <c r="C253" s="319" t="s">
        <v>429</v>
      </c>
      <c r="D253" s="309" t="s">
        <v>101</v>
      </c>
      <c r="E253" s="313" t="s">
        <v>1795</v>
      </c>
      <c r="F253" s="319" t="s">
        <v>1416</v>
      </c>
      <c r="G253" s="315" t="e">
        <f>_xlfn.XLOOKUP(B253,'WFP Details - 2026'!A:A,'WFP Details - 2026'!Z:Z)</f>
        <v>#N/A</v>
      </c>
      <c r="H253" s="314">
        <v>46553</v>
      </c>
      <c r="I253" s="315">
        <v>6</v>
      </c>
      <c r="J253" s="315">
        <v>2027</v>
      </c>
      <c r="K253" s="316">
        <v>0</v>
      </c>
      <c r="L253" s="316">
        <v>0</v>
      </c>
      <c r="M253" s="316">
        <v>0</v>
      </c>
      <c r="N253" s="316">
        <v>0</v>
      </c>
      <c r="O253" s="316">
        <v>0</v>
      </c>
      <c r="P253" s="316">
        <v>0</v>
      </c>
      <c r="Q253" s="316">
        <v>0</v>
      </c>
      <c r="R253" s="316">
        <v>0</v>
      </c>
      <c r="S253" s="316">
        <v>0</v>
      </c>
      <c r="T253" s="316">
        <v>0</v>
      </c>
      <c r="U253" s="316">
        <v>0</v>
      </c>
      <c r="V253" s="316">
        <v>0</v>
      </c>
      <c r="W253" s="316">
        <v>0</v>
      </c>
      <c r="X253" s="316">
        <v>0</v>
      </c>
      <c r="Y253" s="316">
        <v>0</v>
      </c>
      <c r="Z253" s="316">
        <v>0</v>
      </c>
      <c r="AA253" s="316">
        <v>0</v>
      </c>
      <c r="AB253" s="316">
        <v>1</v>
      </c>
      <c r="AC253" s="316">
        <v>1</v>
      </c>
      <c r="AD253" s="316">
        <v>1</v>
      </c>
      <c r="AE253" s="316">
        <v>1</v>
      </c>
      <c r="AF253" s="316">
        <v>1</v>
      </c>
      <c r="AG253" s="316">
        <v>1</v>
      </c>
      <c r="AH253" s="316">
        <v>1</v>
      </c>
      <c r="AI253" s="316">
        <v>1</v>
      </c>
      <c r="AJ253" s="316">
        <v>1</v>
      </c>
      <c r="AK253" s="316">
        <v>1</v>
      </c>
      <c r="AL253" s="316">
        <v>1</v>
      </c>
      <c r="AM253" s="316">
        <v>1</v>
      </c>
      <c r="AN253" s="316">
        <v>1</v>
      </c>
      <c r="AO253" s="316">
        <v>1</v>
      </c>
      <c r="AP253" s="316">
        <v>1</v>
      </c>
      <c r="AQ253" s="316">
        <v>1</v>
      </c>
      <c r="AR253" s="316">
        <v>1</v>
      </c>
      <c r="AS253" s="316">
        <v>1</v>
      </c>
      <c r="AT253" s="316">
        <v>1</v>
      </c>
    </row>
    <row r="254" spans="2:46" ht="12.75" hidden="1" customHeight="1" x14ac:dyDescent="0.15">
      <c r="B254" s="318">
        <v>5170</v>
      </c>
      <c r="C254" s="313" t="s">
        <v>429</v>
      </c>
      <c r="D254" s="313" t="s">
        <v>101</v>
      </c>
      <c r="E254" s="313" t="s">
        <v>1793</v>
      </c>
      <c r="F254" s="313" t="s">
        <v>1514</v>
      </c>
      <c r="G254" s="315" t="e">
        <f>_xlfn.XLOOKUP(B254,'WFP Details - 2026'!A:A,'WFP Details - 2026'!Z:Z)</f>
        <v>#N/A</v>
      </c>
      <c r="H254" s="314">
        <v>46645</v>
      </c>
      <c r="I254" s="315">
        <v>9</v>
      </c>
      <c r="J254" s="315">
        <v>2027</v>
      </c>
      <c r="K254" s="316">
        <v>0</v>
      </c>
      <c r="L254" s="316">
        <v>0</v>
      </c>
      <c r="M254" s="316">
        <v>0</v>
      </c>
      <c r="N254" s="316">
        <v>0</v>
      </c>
      <c r="O254" s="316">
        <v>0</v>
      </c>
      <c r="P254" s="316">
        <v>0</v>
      </c>
      <c r="Q254" s="316">
        <v>0</v>
      </c>
      <c r="R254" s="316">
        <v>0</v>
      </c>
      <c r="S254" s="316">
        <v>0</v>
      </c>
      <c r="T254" s="316">
        <v>0</v>
      </c>
      <c r="U254" s="316">
        <v>0</v>
      </c>
      <c r="V254" s="316">
        <v>0</v>
      </c>
      <c r="W254" s="316">
        <v>0</v>
      </c>
      <c r="X254" s="316">
        <v>0</v>
      </c>
      <c r="Y254" s="316">
        <v>0</v>
      </c>
      <c r="Z254" s="316">
        <v>0</v>
      </c>
      <c r="AA254" s="316">
        <v>0</v>
      </c>
      <c r="AB254" s="316">
        <v>0</v>
      </c>
      <c r="AC254" s="316">
        <v>0</v>
      </c>
      <c r="AD254" s="316">
        <v>0</v>
      </c>
      <c r="AE254" s="316">
        <v>1</v>
      </c>
      <c r="AF254" s="316">
        <v>1</v>
      </c>
      <c r="AG254" s="316">
        <v>1</v>
      </c>
      <c r="AH254" s="316">
        <v>1</v>
      </c>
      <c r="AI254" s="316">
        <v>1</v>
      </c>
      <c r="AJ254" s="316">
        <v>1</v>
      </c>
      <c r="AK254" s="316">
        <v>1</v>
      </c>
      <c r="AL254" s="316">
        <v>1</v>
      </c>
      <c r="AM254" s="316">
        <v>1</v>
      </c>
      <c r="AN254" s="316">
        <v>1</v>
      </c>
      <c r="AO254" s="316">
        <v>1</v>
      </c>
      <c r="AP254" s="316">
        <v>1</v>
      </c>
      <c r="AQ254" s="316">
        <v>1</v>
      </c>
      <c r="AR254" s="316">
        <v>1</v>
      </c>
      <c r="AS254" s="316">
        <v>1</v>
      </c>
      <c r="AT254" s="316">
        <v>1</v>
      </c>
    </row>
    <row r="255" spans="2:46" ht="12.75" hidden="1" customHeight="1" x14ac:dyDescent="0.15">
      <c r="B255" s="312">
        <v>5171</v>
      </c>
      <c r="C255" s="313" t="s">
        <v>429</v>
      </c>
      <c r="D255" s="313" t="s">
        <v>101</v>
      </c>
      <c r="E255" s="313" t="s">
        <v>1793</v>
      </c>
      <c r="F255" s="313" t="s">
        <v>1545</v>
      </c>
      <c r="G255" s="315" t="e">
        <f>_xlfn.XLOOKUP(B255,'WFP Details - 2026'!A:A,'WFP Details - 2026'!Z:Z)</f>
        <v>#N/A</v>
      </c>
      <c r="H255" s="314">
        <v>46645</v>
      </c>
      <c r="I255" s="315">
        <v>9</v>
      </c>
      <c r="J255" s="315">
        <v>2027</v>
      </c>
      <c r="K255" s="316">
        <v>0</v>
      </c>
      <c r="L255" s="316">
        <v>0</v>
      </c>
      <c r="M255" s="316">
        <v>0</v>
      </c>
      <c r="N255" s="316">
        <v>0</v>
      </c>
      <c r="O255" s="316">
        <v>0</v>
      </c>
      <c r="P255" s="316">
        <v>0</v>
      </c>
      <c r="Q255" s="316">
        <v>0</v>
      </c>
      <c r="R255" s="316">
        <v>0</v>
      </c>
      <c r="S255" s="316">
        <v>0</v>
      </c>
      <c r="T255" s="316">
        <v>0</v>
      </c>
      <c r="U255" s="316">
        <v>0</v>
      </c>
      <c r="V255" s="316">
        <v>0</v>
      </c>
      <c r="W255" s="316">
        <v>0</v>
      </c>
      <c r="X255" s="316">
        <v>0</v>
      </c>
      <c r="Y255" s="316">
        <v>0</v>
      </c>
      <c r="Z255" s="316">
        <v>0</v>
      </c>
      <c r="AA255" s="316">
        <v>0</v>
      </c>
      <c r="AB255" s="316">
        <v>0</v>
      </c>
      <c r="AC255" s="316">
        <v>0</v>
      </c>
      <c r="AD255" s="316">
        <v>0</v>
      </c>
      <c r="AE255" s="316">
        <v>1</v>
      </c>
      <c r="AF255" s="316">
        <v>1</v>
      </c>
      <c r="AG255" s="316">
        <v>1</v>
      </c>
      <c r="AH255" s="316">
        <v>1</v>
      </c>
      <c r="AI255" s="316">
        <v>1</v>
      </c>
      <c r="AJ255" s="316">
        <v>1</v>
      </c>
      <c r="AK255" s="316">
        <v>1</v>
      </c>
      <c r="AL255" s="316">
        <v>1</v>
      </c>
      <c r="AM255" s="316">
        <v>1</v>
      </c>
      <c r="AN255" s="316">
        <v>1</v>
      </c>
      <c r="AO255" s="316">
        <v>1</v>
      </c>
      <c r="AP255" s="316">
        <v>1</v>
      </c>
      <c r="AQ255" s="316">
        <v>1</v>
      </c>
      <c r="AR255" s="316">
        <v>1</v>
      </c>
      <c r="AS255" s="316">
        <v>1</v>
      </c>
      <c r="AT255" s="316">
        <v>1</v>
      </c>
    </row>
    <row r="256" spans="2:46" ht="12.75" hidden="1" customHeight="1" x14ac:dyDescent="0.15">
      <c r="B256" s="312">
        <v>5173</v>
      </c>
      <c r="C256" s="313" t="s">
        <v>429</v>
      </c>
      <c r="D256" s="313" t="s">
        <v>101</v>
      </c>
      <c r="E256" s="313" t="s">
        <v>1805</v>
      </c>
      <c r="F256" s="313" t="s">
        <v>1424</v>
      </c>
      <c r="G256" s="315" t="e">
        <f>_xlfn.XLOOKUP(B256,'WFP Details - 2026'!A:A,'WFP Details - 2026'!Z:Z)</f>
        <v>#N/A</v>
      </c>
      <c r="H256" s="314">
        <v>46736</v>
      </c>
      <c r="I256" s="315">
        <v>12</v>
      </c>
      <c r="J256" s="315">
        <v>2027</v>
      </c>
      <c r="K256" s="316">
        <v>0</v>
      </c>
      <c r="L256" s="316">
        <v>0</v>
      </c>
      <c r="M256" s="316">
        <v>0</v>
      </c>
      <c r="N256" s="316">
        <v>0</v>
      </c>
      <c r="O256" s="316">
        <v>0</v>
      </c>
      <c r="P256" s="316">
        <v>0</v>
      </c>
      <c r="Q256" s="316">
        <v>0</v>
      </c>
      <c r="R256" s="316">
        <v>0</v>
      </c>
      <c r="S256" s="316">
        <v>0</v>
      </c>
      <c r="T256" s="316">
        <v>0</v>
      </c>
      <c r="U256" s="316">
        <v>0</v>
      </c>
      <c r="V256" s="316">
        <v>0</v>
      </c>
      <c r="W256" s="316">
        <v>0</v>
      </c>
      <c r="X256" s="316">
        <v>0</v>
      </c>
      <c r="Y256" s="316">
        <v>0</v>
      </c>
      <c r="Z256" s="316">
        <v>0</v>
      </c>
      <c r="AA256" s="316">
        <v>0</v>
      </c>
      <c r="AB256" s="316">
        <v>0</v>
      </c>
      <c r="AC256" s="316">
        <v>0</v>
      </c>
      <c r="AD256" s="316">
        <v>0</v>
      </c>
      <c r="AE256" s="316">
        <v>0</v>
      </c>
      <c r="AF256" s="316">
        <v>0</v>
      </c>
      <c r="AG256" s="316">
        <v>0</v>
      </c>
      <c r="AH256" s="316">
        <v>1</v>
      </c>
      <c r="AI256" s="316">
        <v>1</v>
      </c>
      <c r="AJ256" s="316">
        <v>1</v>
      </c>
      <c r="AK256" s="316">
        <v>1</v>
      </c>
      <c r="AL256" s="316">
        <v>1</v>
      </c>
      <c r="AM256" s="316">
        <v>1</v>
      </c>
      <c r="AN256" s="316">
        <v>1</v>
      </c>
      <c r="AO256" s="316">
        <v>1</v>
      </c>
      <c r="AP256" s="316">
        <v>1</v>
      </c>
      <c r="AQ256" s="316">
        <v>1</v>
      </c>
      <c r="AR256" s="316">
        <v>1</v>
      </c>
      <c r="AS256" s="316">
        <v>1</v>
      </c>
      <c r="AT256" s="316">
        <v>1</v>
      </c>
    </row>
    <row r="257" spans="2:46" ht="12.75" customHeight="1" x14ac:dyDescent="0.15">
      <c r="B257" s="318">
        <v>1119</v>
      </c>
      <c r="C257" s="319" t="s">
        <v>667</v>
      </c>
      <c r="D257" s="313" t="s">
        <v>1162</v>
      </c>
      <c r="E257" s="319" t="s">
        <v>1792</v>
      </c>
      <c r="F257" s="319" t="s">
        <v>1873</v>
      </c>
      <c r="G257" s="315" t="str">
        <f>_xlfn.XLOOKUP(B257,'WFP Details - 2026'!A:A,'WFP Details - 2026'!Z:Z)</f>
        <v>x</v>
      </c>
      <c r="H257" s="314">
        <v>45440</v>
      </c>
      <c r="I257" s="315">
        <v>5</v>
      </c>
      <c r="J257" s="315">
        <v>2024</v>
      </c>
      <c r="K257" s="316">
        <v>1</v>
      </c>
      <c r="L257" s="316">
        <v>1</v>
      </c>
      <c r="M257" s="316">
        <v>1</v>
      </c>
      <c r="N257" s="316">
        <v>1</v>
      </c>
      <c r="O257" s="316">
        <v>1</v>
      </c>
      <c r="P257" s="316">
        <v>1</v>
      </c>
      <c r="Q257" s="316">
        <v>1</v>
      </c>
      <c r="R257" s="316">
        <v>1</v>
      </c>
      <c r="S257" s="316">
        <v>1</v>
      </c>
      <c r="T257" s="316">
        <v>1</v>
      </c>
      <c r="U257" s="316">
        <v>1</v>
      </c>
      <c r="V257" s="316">
        <v>1</v>
      </c>
      <c r="W257" s="316">
        <v>1</v>
      </c>
      <c r="X257" s="316">
        <v>1</v>
      </c>
      <c r="Y257" s="316">
        <v>1</v>
      </c>
      <c r="Z257" s="316">
        <v>1</v>
      </c>
      <c r="AA257" s="316">
        <v>1</v>
      </c>
      <c r="AB257" s="316">
        <v>1</v>
      </c>
      <c r="AC257" s="316">
        <v>1</v>
      </c>
      <c r="AD257" s="316">
        <v>1</v>
      </c>
      <c r="AE257" s="316">
        <v>1</v>
      </c>
      <c r="AF257" s="316">
        <v>1</v>
      </c>
      <c r="AG257" s="316">
        <v>1</v>
      </c>
      <c r="AH257" s="316">
        <v>1</v>
      </c>
      <c r="AI257" s="316">
        <v>1</v>
      </c>
      <c r="AJ257" s="316">
        <v>1</v>
      </c>
      <c r="AK257" s="316">
        <v>1</v>
      </c>
      <c r="AL257" s="316">
        <v>1</v>
      </c>
      <c r="AM257" s="316">
        <v>1</v>
      </c>
      <c r="AN257" s="316">
        <v>1</v>
      </c>
      <c r="AO257" s="316">
        <v>1</v>
      </c>
      <c r="AP257" s="316">
        <v>1</v>
      </c>
      <c r="AQ257" s="316">
        <v>1</v>
      </c>
      <c r="AR257" s="316">
        <v>1</v>
      </c>
      <c r="AS257" s="316">
        <v>1</v>
      </c>
      <c r="AT257" s="316">
        <v>1</v>
      </c>
    </row>
    <row r="258" spans="2:46" ht="12.75" customHeight="1" x14ac:dyDescent="0.15">
      <c r="B258" s="318">
        <v>1115</v>
      </c>
      <c r="C258" s="319" t="s">
        <v>667</v>
      </c>
      <c r="D258" s="313" t="s">
        <v>1874</v>
      </c>
      <c r="E258" s="319" t="s">
        <v>1805</v>
      </c>
      <c r="F258" s="319" t="s">
        <v>1875</v>
      </c>
      <c r="G258" s="315" t="str">
        <f>_xlfn.XLOOKUP(B258,'WFP Details - 2026'!A:A,'WFP Details - 2026'!Z:Z)</f>
        <v>x</v>
      </c>
      <c r="H258" s="314">
        <v>45488</v>
      </c>
      <c r="I258" s="315">
        <v>7</v>
      </c>
      <c r="J258" s="315">
        <v>2024</v>
      </c>
      <c r="K258" s="316">
        <v>1</v>
      </c>
      <c r="L258" s="316">
        <v>1</v>
      </c>
      <c r="M258" s="316">
        <v>1</v>
      </c>
      <c r="N258" s="316">
        <v>1</v>
      </c>
      <c r="O258" s="316">
        <v>1</v>
      </c>
      <c r="P258" s="316">
        <v>1</v>
      </c>
      <c r="Q258" s="316">
        <v>1</v>
      </c>
      <c r="R258" s="316">
        <v>1</v>
      </c>
      <c r="S258" s="316">
        <v>1</v>
      </c>
      <c r="T258" s="316">
        <v>1</v>
      </c>
      <c r="U258" s="316">
        <v>1</v>
      </c>
      <c r="V258" s="316">
        <v>1</v>
      </c>
      <c r="W258" s="316">
        <v>1</v>
      </c>
      <c r="X258" s="316">
        <v>1</v>
      </c>
      <c r="Y258" s="316">
        <v>1</v>
      </c>
      <c r="Z258" s="316">
        <v>1</v>
      </c>
      <c r="AA258" s="316">
        <v>1</v>
      </c>
      <c r="AB258" s="316">
        <v>1</v>
      </c>
      <c r="AC258" s="316">
        <v>1</v>
      </c>
      <c r="AD258" s="316">
        <v>1</v>
      </c>
      <c r="AE258" s="316">
        <v>1</v>
      </c>
      <c r="AF258" s="316">
        <v>1</v>
      </c>
      <c r="AG258" s="316">
        <v>1</v>
      </c>
      <c r="AH258" s="316">
        <v>1</v>
      </c>
      <c r="AI258" s="316">
        <v>1</v>
      </c>
      <c r="AJ258" s="316">
        <v>1</v>
      </c>
      <c r="AK258" s="316">
        <v>1</v>
      </c>
      <c r="AL258" s="316">
        <v>1</v>
      </c>
      <c r="AM258" s="316">
        <v>1</v>
      </c>
      <c r="AN258" s="316">
        <v>1</v>
      </c>
      <c r="AO258" s="316">
        <v>1</v>
      </c>
      <c r="AP258" s="316">
        <v>1</v>
      </c>
      <c r="AQ258" s="316">
        <v>1</v>
      </c>
      <c r="AR258" s="316">
        <v>1</v>
      </c>
      <c r="AS258" s="316">
        <v>1</v>
      </c>
      <c r="AT258" s="316">
        <v>1</v>
      </c>
    </row>
    <row r="259" spans="2:46" ht="12.75" customHeight="1" x14ac:dyDescent="0.15">
      <c r="B259" s="318">
        <v>1116</v>
      </c>
      <c r="C259" s="319" t="s">
        <v>667</v>
      </c>
      <c r="D259" s="313" t="s">
        <v>1876</v>
      </c>
      <c r="E259" s="319" t="s">
        <v>1805</v>
      </c>
      <c r="F259" s="319" t="s">
        <v>1877</v>
      </c>
      <c r="G259" s="315" t="str">
        <f>_xlfn.XLOOKUP(B259,'WFP Details - 2026'!A:A,'WFP Details - 2026'!Z:Z)</f>
        <v>x</v>
      </c>
      <c r="H259" s="314">
        <v>45544</v>
      </c>
      <c r="I259" s="315">
        <v>9</v>
      </c>
      <c r="J259" s="315">
        <v>2024</v>
      </c>
      <c r="K259" s="316">
        <v>1</v>
      </c>
      <c r="L259" s="316">
        <v>1</v>
      </c>
      <c r="M259" s="316">
        <v>1</v>
      </c>
      <c r="N259" s="316">
        <v>1</v>
      </c>
      <c r="O259" s="316">
        <v>1</v>
      </c>
      <c r="P259" s="316">
        <v>1</v>
      </c>
      <c r="Q259" s="316">
        <v>1</v>
      </c>
      <c r="R259" s="316">
        <v>1</v>
      </c>
      <c r="S259" s="316">
        <v>1</v>
      </c>
      <c r="T259" s="316">
        <v>1</v>
      </c>
      <c r="U259" s="316">
        <v>1</v>
      </c>
      <c r="V259" s="316">
        <v>1</v>
      </c>
      <c r="W259" s="316">
        <v>1</v>
      </c>
      <c r="X259" s="316">
        <v>1</v>
      </c>
      <c r="Y259" s="316">
        <v>1</v>
      </c>
      <c r="Z259" s="316">
        <v>1</v>
      </c>
      <c r="AA259" s="316">
        <v>1</v>
      </c>
      <c r="AB259" s="316">
        <v>1</v>
      </c>
      <c r="AC259" s="316">
        <v>1</v>
      </c>
      <c r="AD259" s="316">
        <v>1</v>
      </c>
      <c r="AE259" s="316">
        <v>1</v>
      </c>
      <c r="AF259" s="316">
        <v>1</v>
      </c>
      <c r="AG259" s="316">
        <v>1</v>
      </c>
      <c r="AH259" s="316">
        <v>1</v>
      </c>
      <c r="AI259" s="316">
        <v>1</v>
      </c>
      <c r="AJ259" s="316">
        <v>1</v>
      </c>
      <c r="AK259" s="316">
        <v>1</v>
      </c>
      <c r="AL259" s="316">
        <v>1</v>
      </c>
      <c r="AM259" s="316">
        <v>1</v>
      </c>
      <c r="AN259" s="316">
        <v>1</v>
      </c>
      <c r="AO259" s="316">
        <v>1</v>
      </c>
      <c r="AP259" s="316">
        <v>1</v>
      </c>
      <c r="AQ259" s="316">
        <v>1</v>
      </c>
      <c r="AR259" s="316">
        <v>1</v>
      </c>
      <c r="AS259" s="316">
        <v>1</v>
      </c>
      <c r="AT259" s="316">
        <v>1</v>
      </c>
    </row>
    <row r="260" spans="2:46" ht="12.75" customHeight="1" x14ac:dyDescent="0.15">
      <c r="B260" s="315">
        <v>1114</v>
      </c>
      <c r="C260" s="319" t="s">
        <v>667</v>
      </c>
      <c r="D260" s="313" t="s">
        <v>1878</v>
      </c>
      <c r="E260" s="319" t="s">
        <v>1793</v>
      </c>
      <c r="F260" s="319" t="s">
        <v>1879</v>
      </c>
      <c r="G260" s="315" t="str">
        <f>_xlfn.XLOOKUP(B260,'WFP Details - 2026'!A:A,'WFP Details - 2026'!Z:Z)</f>
        <v>x</v>
      </c>
      <c r="H260" s="314">
        <v>45684</v>
      </c>
      <c r="I260" s="315">
        <v>1</v>
      </c>
      <c r="J260" s="315">
        <v>2025</v>
      </c>
      <c r="K260" s="316">
        <v>1</v>
      </c>
      <c r="L260" s="316">
        <v>1</v>
      </c>
      <c r="M260" s="316">
        <v>1</v>
      </c>
      <c r="N260" s="316">
        <v>1</v>
      </c>
      <c r="O260" s="316">
        <v>1</v>
      </c>
      <c r="P260" s="316">
        <v>1</v>
      </c>
      <c r="Q260" s="316">
        <v>1</v>
      </c>
      <c r="R260" s="316">
        <v>1</v>
      </c>
      <c r="S260" s="316">
        <v>1</v>
      </c>
      <c r="T260" s="316">
        <v>1</v>
      </c>
      <c r="U260" s="316">
        <v>1</v>
      </c>
      <c r="V260" s="316">
        <v>1</v>
      </c>
      <c r="W260" s="316">
        <v>1</v>
      </c>
      <c r="X260" s="316">
        <v>1</v>
      </c>
      <c r="Y260" s="316">
        <v>1</v>
      </c>
      <c r="Z260" s="316">
        <v>1</v>
      </c>
      <c r="AA260" s="316">
        <v>1</v>
      </c>
      <c r="AB260" s="316">
        <v>1</v>
      </c>
      <c r="AC260" s="316">
        <v>1</v>
      </c>
      <c r="AD260" s="316">
        <v>1</v>
      </c>
      <c r="AE260" s="316">
        <v>1</v>
      </c>
      <c r="AF260" s="316">
        <v>1</v>
      </c>
      <c r="AG260" s="316">
        <v>1</v>
      </c>
      <c r="AH260" s="316">
        <v>1</v>
      </c>
      <c r="AI260" s="316">
        <v>1</v>
      </c>
      <c r="AJ260" s="316">
        <v>1</v>
      </c>
      <c r="AK260" s="316">
        <v>1</v>
      </c>
      <c r="AL260" s="316">
        <v>1</v>
      </c>
      <c r="AM260" s="316">
        <v>1</v>
      </c>
      <c r="AN260" s="316">
        <v>1</v>
      </c>
      <c r="AO260" s="316">
        <v>1</v>
      </c>
      <c r="AP260" s="316">
        <v>1</v>
      </c>
      <c r="AQ260" s="316">
        <v>1</v>
      </c>
      <c r="AR260" s="316">
        <v>1</v>
      </c>
      <c r="AS260" s="316">
        <v>1</v>
      </c>
      <c r="AT260" s="316">
        <v>1</v>
      </c>
    </row>
    <row r="261" spans="2:46" ht="12.75" customHeight="1" x14ac:dyDescent="0.15">
      <c r="B261" s="318">
        <v>1117</v>
      </c>
      <c r="C261" s="319" t="s">
        <v>667</v>
      </c>
      <c r="D261" s="309" t="s">
        <v>1880</v>
      </c>
      <c r="E261" s="319" t="s">
        <v>1805</v>
      </c>
      <c r="F261" s="319" t="s">
        <v>1881</v>
      </c>
      <c r="G261" s="315" t="str">
        <f>_xlfn.XLOOKUP(B261,'WFP Details - 2026'!A:A,'WFP Details - 2026'!Z:Z)</f>
        <v>x</v>
      </c>
      <c r="H261" s="314">
        <v>45740</v>
      </c>
      <c r="I261" s="315">
        <v>3</v>
      </c>
      <c r="J261" s="315">
        <v>2025</v>
      </c>
      <c r="K261" s="316">
        <v>1</v>
      </c>
      <c r="L261" s="316">
        <v>1</v>
      </c>
      <c r="M261" s="316">
        <v>1</v>
      </c>
      <c r="N261" s="316">
        <v>1</v>
      </c>
      <c r="O261" s="316">
        <v>1</v>
      </c>
      <c r="P261" s="316">
        <v>1</v>
      </c>
      <c r="Q261" s="316">
        <v>1</v>
      </c>
      <c r="R261" s="316">
        <v>1</v>
      </c>
      <c r="S261" s="316">
        <v>1</v>
      </c>
      <c r="T261" s="316">
        <v>1</v>
      </c>
      <c r="U261" s="316">
        <v>1</v>
      </c>
      <c r="V261" s="316">
        <v>1</v>
      </c>
      <c r="W261" s="316">
        <v>1</v>
      </c>
      <c r="X261" s="316">
        <v>1</v>
      </c>
      <c r="Y261" s="316">
        <v>1</v>
      </c>
      <c r="Z261" s="316">
        <v>1</v>
      </c>
      <c r="AA261" s="316">
        <v>1</v>
      </c>
      <c r="AB261" s="316">
        <v>1</v>
      </c>
      <c r="AC261" s="316">
        <v>1</v>
      </c>
      <c r="AD261" s="316">
        <v>1</v>
      </c>
      <c r="AE261" s="316">
        <v>1</v>
      </c>
      <c r="AF261" s="316">
        <v>1</v>
      </c>
      <c r="AG261" s="316">
        <v>1</v>
      </c>
      <c r="AH261" s="316">
        <v>1</v>
      </c>
      <c r="AI261" s="316">
        <v>1</v>
      </c>
      <c r="AJ261" s="316">
        <v>1</v>
      </c>
      <c r="AK261" s="316">
        <v>1</v>
      </c>
      <c r="AL261" s="316">
        <v>1</v>
      </c>
      <c r="AM261" s="316">
        <v>1</v>
      </c>
      <c r="AN261" s="316">
        <v>1</v>
      </c>
      <c r="AO261" s="316">
        <v>1</v>
      </c>
      <c r="AP261" s="316">
        <v>1</v>
      </c>
      <c r="AQ261" s="316">
        <v>1</v>
      </c>
      <c r="AR261" s="316">
        <v>1</v>
      </c>
      <c r="AS261" s="316">
        <v>1</v>
      </c>
      <c r="AT261" s="316">
        <v>1</v>
      </c>
    </row>
    <row r="262" spans="2:46" ht="12.75" customHeight="1" x14ac:dyDescent="0.15">
      <c r="B262" s="318">
        <v>5354</v>
      </c>
      <c r="C262" s="319" t="s">
        <v>667</v>
      </c>
      <c r="D262" s="309" t="s">
        <v>1882</v>
      </c>
      <c r="E262" s="319" t="s">
        <v>1817</v>
      </c>
      <c r="F262" s="319" t="s">
        <v>1883</v>
      </c>
      <c r="G262" s="315" t="str">
        <f>_xlfn.XLOOKUP(B262,'WFP Details - 2026'!A:A,'WFP Details - 2026'!Z:Z)</f>
        <v>x</v>
      </c>
      <c r="H262" s="314">
        <v>45929</v>
      </c>
      <c r="I262" s="315">
        <v>9</v>
      </c>
      <c r="J262" s="315">
        <v>2025</v>
      </c>
      <c r="K262" s="316">
        <v>1</v>
      </c>
      <c r="L262" s="316">
        <v>1</v>
      </c>
      <c r="M262" s="316">
        <v>1</v>
      </c>
      <c r="N262" s="316">
        <v>1</v>
      </c>
      <c r="O262" s="316">
        <v>1</v>
      </c>
      <c r="P262" s="316">
        <v>1</v>
      </c>
      <c r="Q262" s="316">
        <v>1</v>
      </c>
      <c r="R262" s="316">
        <v>1</v>
      </c>
      <c r="S262" s="316">
        <v>1</v>
      </c>
      <c r="T262" s="316">
        <v>1</v>
      </c>
      <c r="U262" s="316">
        <v>1</v>
      </c>
      <c r="V262" s="316">
        <v>1</v>
      </c>
      <c r="W262" s="316">
        <v>1</v>
      </c>
      <c r="X262" s="316">
        <v>1</v>
      </c>
      <c r="Y262" s="316">
        <v>1</v>
      </c>
      <c r="Z262" s="316">
        <v>1</v>
      </c>
      <c r="AA262" s="316">
        <v>1</v>
      </c>
      <c r="AB262" s="316">
        <v>1</v>
      </c>
      <c r="AC262" s="316">
        <v>1</v>
      </c>
      <c r="AD262" s="316">
        <v>1</v>
      </c>
      <c r="AE262" s="316">
        <v>1</v>
      </c>
      <c r="AF262" s="316">
        <v>1</v>
      </c>
      <c r="AG262" s="316">
        <v>1</v>
      </c>
      <c r="AH262" s="316">
        <v>1</v>
      </c>
      <c r="AI262" s="316">
        <v>1</v>
      </c>
      <c r="AJ262" s="316">
        <v>1</v>
      </c>
      <c r="AK262" s="316">
        <v>1</v>
      </c>
      <c r="AL262" s="316">
        <v>1</v>
      </c>
      <c r="AM262" s="316">
        <v>1</v>
      </c>
      <c r="AN262" s="316">
        <v>1</v>
      </c>
      <c r="AO262" s="316">
        <v>1</v>
      </c>
      <c r="AP262" s="316">
        <v>1</v>
      </c>
      <c r="AQ262" s="316">
        <v>1</v>
      </c>
      <c r="AR262" s="316">
        <v>1</v>
      </c>
      <c r="AS262" s="316">
        <v>1</v>
      </c>
      <c r="AT262" s="316">
        <v>1</v>
      </c>
    </row>
    <row r="263" spans="2:46" ht="12.75" customHeight="1" x14ac:dyDescent="0.15">
      <c r="B263" s="318">
        <v>1385</v>
      </c>
      <c r="C263" s="319" t="s">
        <v>667</v>
      </c>
      <c r="D263" s="313" t="s">
        <v>101</v>
      </c>
      <c r="E263" s="319" t="s">
        <v>1805</v>
      </c>
      <c r="F263" s="319" t="s">
        <v>690</v>
      </c>
      <c r="G263" s="315" t="str">
        <f>_xlfn.XLOOKUP(B263,'WFP Details - 2026'!A:A,'WFP Details - 2026'!Z:Z)</f>
        <v>x</v>
      </c>
      <c r="H263" s="314">
        <v>46096</v>
      </c>
      <c r="I263" s="315">
        <v>3</v>
      </c>
      <c r="J263" s="315">
        <v>2026</v>
      </c>
      <c r="K263" s="316">
        <v>0</v>
      </c>
      <c r="L263" s="316">
        <v>0</v>
      </c>
      <c r="M263" s="316">
        <v>1</v>
      </c>
      <c r="N263" s="316">
        <v>1</v>
      </c>
      <c r="O263" s="316">
        <v>1</v>
      </c>
      <c r="P263" s="316">
        <v>1</v>
      </c>
      <c r="Q263" s="316">
        <v>1</v>
      </c>
      <c r="R263" s="316">
        <v>1</v>
      </c>
      <c r="S263" s="316">
        <v>1</v>
      </c>
      <c r="T263" s="316">
        <v>1</v>
      </c>
      <c r="U263" s="316">
        <v>1</v>
      </c>
      <c r="V263" s="316">
        <v>1</v>
      </c>
      <c r="W263" s="316">
        <v>1</v>
      </c>
      <c r="X263" s="316">
        <v>1</v>
      </c>
      <c r="Y263" s="316">
        <v>1</v>
      </c>
      <c r="Z263" s="316">
        <v>1</v>
      </c>
      <c r="AA263" s="316">
        <v>1</v>
      </c>
      <c r="AB263" s="316">
        <v>1</v>
      </c>
      <c r="AC263" s="316">
        <v>1</v>
      </c>
      <c r="AD263" s="316">
        <v>1</v>
      </c>
      <c r="AE263" s="316">
        <v>1</v>
      </c>
      <c r="AF263" s="316">
        <v>1</v>
      </c>
      <c r="AG263" s="316">
        <v>1</v>
      </c>
      <c r="AH263" s="316">
        <v>1</v>
      </c>
      <c r="AI263" s="316">
        <v>1</v>
      </c>
      <c r="AJ263" s="316">
        <v>1</v>
      </c>
      <c r="AK263" s="316">
        <v>1</v>
      </c>
      <c r="AL263" s="316">
        <v>1</v>
      </c>
      <c r="AM263" s="316">
        <v>1</v>
      </c>
      <c r="AN263" s="316">
        <v>1</v>
      </c>
      <c r="AO263" s="316">
        <v>1</v>
      </c>
      <c r="AP263" s="316">
        <v>1</v>
      </c>
      <c r="AQ263" s="316">
        <v>1</v>
      </c>
      <c r="AR263" s="316">
        <v>1</v>
      </c>
      <c r="AS263" s="316">
        <v>1</v>
      </c>
      <c r="AT263" s="316">
        <v>1</v>
      </c>
    </row>
    <row r="264" spans="2:46" ht="12.75" customHeight="1" x14ac:dyDescent="0.15">
      <c r="B264" s="318">
        <v>1380</v>
      </c>
      <c r="C264" s="319" t="s">
        <v>667</v>
      </c>
      <c r="D264" s="313" t="s">
        <v>101</v>
      </c>
      <c r="E264" s="319" t="s">
        <v>1831</v>
      </c>
      <c r="F264" s="319" t="s">
        <v>1884</v>
      </c>
      <c r="G264" s="315" t="str">
        <f>_xlfn.XLOOKUP(B264,'WFP Details - 2026'!A:A,'WFP Details - 2026'!Z:Z)</f>
        <v>x</v>
      </c>
      <c r="H264" s="314">
        <v>46096</v>
      </c>
      <c r="I264" s="315">
        <v>3</v>
      </c>
      <c r="J264" s="315">
        <v>2026</v>
      </c>
      <c r="K264" s="316">
        <v>0</v>
      </c>
      <c r="L264" s="316">
        <v>0</v>
      </c>
      <c r="M264" s="316">
        <v>1</v>
      </c>
      <c r="N264" s="316">
        <v>1</v>
      </c>
      <c r="O264" s="316">
        <v>1</v>
      </c>
      <c r="P264" s="316">
        <v>1</v>
      </c>
      <c r="Q264" s="316">
        <v>1</v>
      </c>
      <c r="R264" s="316">
        <v>1</v>
      </c>
      <c r="S264" s="316">
        <v>1</v>
      </c>
      <c r="T264" s="316">
        <v>1</v>
      </c>
      <c r="U264" s="316">
        <v>1</v>
      </c>
      <c r="V264" s="316">
        <v>1</v>
      </c>
      <c r="W264" s="316">
        <v>1</v>
      </c>
      <c r="X264" s="316">
        <v>1</v>
      </c>
      <c r="Y264" s="316">
        <v>1</v>
      </c>
      <c r="Z264" s="316">
        <v>1</v>
      </c>
      <c r="AA264" s="316">
        <v>1</v>
      </c>
      <c r="AB264" s="316">
        <v>1</v>
      </c>
      <c r="AC264" s="316">
        <v>1</v>
      </c>
      <c r="AD264" s="316">
        <v>1</v>
      </c>
      <c r="AE264" s="316">
        <v>1</v>
      </c>
      <c r="AF264" s="316">
        <v>1</v>
      </c>
      <c r="AG264" s="316">
        <v>1</v>
      </c>
      <c r="AH264" s="316">
        <v>1</v>
      </c>
      <c r="AI264" s="316">
        <v>1</v>
      </c>
      <c r="AJ264" s="316">
        <v>1</v>
      </c>
      <c r="AK264" s="316">
        <v>1</v>
      </c>
      <c r="AL264" s="316">
        <v>1</v>
      </c>
      <c r="AM264" s="316">
        <v>1</v>
      </c>
      <c r="AN264" s="316">
        <v>1</v>
      </c>
      <c r="AO264" s="316">
        <v>1</v>
      </c>
      <c r="AP264" s="316">
        <v>1</v>
      </c>
      <c r="AQ264" s="316">
        <v>1</v>
      </c>
      <c r="AR264" s="316">
        <v>1</v>
      </c>
      <c r="AS264" s="316">
        <v>1</v>
      </c>
      <c r="AT264" s="316">
        <v>1</v>
      </c>
    </row>
    <row r="265" spans="2:46" ht="12.75" customHeight="1" x14ac:dyDescent="0.15">
      <c r="B265" s="318">
        <v>5217</v>
      </c>
      <c r="C265" s="319" t="s">
        <v>667</v>
      </c>
      <c r="D265" s="313" t="s">
        <v>101</v>
      </c>
      <c r="E265" s="319" t="s">
        <v>1793</v>
      </c>
      <c r="F265" s="319" t="s">
        <v>1885</v>
      </c>
      <c r="G265" s="315" t="str">
        <f>_xlfn.XLOOKUP(B265,'WFP Details - 2026'!A:A,'WFP Details - 2026'!Z:Z)</f>
        <v>x</v>
      </c>
      <c r="H265" s="314">
        <v>46371</v>
      </c>
      <c r="I265" s="315">
        <v>12</v>
      </c>
      <c r="J265" s="315">
        <v>2026</v>
      </c>
      <c r="K265" s="316">
        <v>0</v>
      </c>
      <c r="L265" s="316">
        <v>0</v>
      </c>
      <c r="M265" s="316">
        <v>0</v>
      </c>
      <c r="N265" s="316">
        <v>0</v>
      </c>
      <c r="O265" s="316">
        <v>0</v>
      </c>
      <c r="P265" s="316">
        <v>0</v>
      </c>
      <c r="Q265" s="316">
        <v>0</v>
      </c>
      <c r="R265" s="316">
        <v>0</v>
      </c>
      <c r="S265" s="316">
        <v>0</v>
      </c>
      <c r="T265" s="316">
        <v>0</v>
      </c>
      <c r="U265" s="316">
        <v>0</v>
      </c>
      <c r="V265" s="316">
        <v>1</v>
      </c>
      <c r="W265" s="316">
        <v>1</v>
      </c>
      <c r="X265" s="316">
        <v>1</v>
      </c>
      <c r="Y265" s="316">
        <v>1</v>
      </c>
      <c r="Z265" s="316">
        <v>1</v>
      </c>
      <c r="AA265" s="316">
        <v>1</v>
      </c>
      <c r="AB265" s="316">
        <v>1</v>
      </c>
      <c r="AC265" s="316">
        <v>1</v>
      </c>
      <c r="AD265" s="316">
        <v>1</v>
      </c>
      <c r="AE265" s="316">
        <v>1</v>
      </c>
      <c r="AF265" s="316">
        <v>1</v>
      </c>
      <c r="AG265" s="316">
        <v>1</v>
      </c>
      <c r="AH265" s="316">
        <v>1</v>
      </c>
      <c r="AI265" s="316">
        <v>1</v>
      </c>
      <c r="AJ265" s="316">
        <v>1</v>
      </c>
      <c r="AK265" s="316">
        <v>1</v>
      </c>
      <c r="AL265" s="316">
        <v>1</v>
      </c>
      <c r="AM265" s="316">
        <v>1</v>
      </c>
      <c r="AN265" s="316">
        <v>1</v>
      </c>
      <c r="AO265" s="316">
        <v>1</v>
      </c>
      <c r="AP265" s="316">
        <v>1</v>
      </c>
      <c r="AQ265" s="316">
        <v>1</v>
      </c>
      <c r="AR265" s="316">
        <v>1</v>
      </c>
      <c r="AS265" s="316">
        <v>1</v>
      </c>
      <c r="AT265" s="316">
        <v>1</v>
      </c>
    </row>
    <row r="266" spans="2:46" ht="12.75" hidden="1" customHeight="1" x14ac:dyDescent="0.15">
      <c r="B266" s="315">
        <v>5220</v>
      </c>
      <c r="C266" s="319" t="s">
        <v>667</v>
      </c>
      <c r="D266" s="313" t="s">
        <v>101</v>
      </c>
      <c r="E266" s="313" t="s">
        <v>1817</v>
      </c>
      <c r="F266" s="319" t="s">
        <v>1164</v>
      </c>
      <c r="G266" s="315" t="e">
        <f>_xlfn.XLOOKUP(B266,'WFP Details - 2026'!A:A,'WFP Details - 2026'!Z:Z)</f>
        <v>#N/A</v>
      </c>
      <c r="H266" s="314">
        <v>46553</v>
      </c>
      <c r="I266" s="315">
        <v>6</v>
      </c>
      <c r="J266" s="315">
        <v>2027</v>
      </c>
      <c r="K266" s="316">
        <v>0</v>
      </c>
      <c r="L266" s="316">
        <v>0</v>
      </c>
      <c r="M266" s="316">
        <v>0</v>
      </c>
      <c r="N266" s="316">
        <v>0</v>
      </c>
      <c r="O266" s="316">
        <v>0</v>
      </c>
      <c r="P266" s="316">
        <v>0</v>
      </c>
      <c r="Q266" s="316">
        <v>0</v>
      </c>
      <c r="R266" s="316">
        <v>0</v>
      </c>
      <c r="S266" s="316">
        <v>0</v>
      </c>
      <c r="T266" s="316">
        <v>0</v>
      </c>
      <c r="U266" s="316">
        <v>0</v>
      </c>
      <c r="V266" s="316">
        <v>0</v>
      </c>
      <c r="W266" s="316">
        <v>0</v>
      </c>
      <c r="X266" s="316">
        <v>0</v>
      </c>
      <c r="Y266" s="316">
        <v>0</v>
      </c>
      <c r="Z266" s="316">
        <v>0</v>
      </c>
      <c r="AA266" s="316">
        <v>0</v>
      </c>
      <c r="AB266" s="316">
        <v>1</v>
      </c>
      <c r="AC266" s="316">
        <v>1</v>
      </c>
      <c r="AD266" s="316">
        <v>1</v>
      </c>
      <c r="AE266" s="316">
        <v>1</v>
      </c>
      <c r="AF266" s="316">
        <v>1</v>
      </c>
      <c r="AG266" s="316">
        <v>1</v>
      </c>
      <c r="AH266" s="316">
        <v>1</v>
      </c>
      <c r="AI266" s="316">
        <v>1</v>
      </c>
      <c r="AJ266" s="316">
        <v>1</v>
      </c>
      <c r="AK266" s="316">
        <v>1</v>
      </c>
      <c r="AL266" s="316">
        <v>1</v>
      </c>
      <c r="AM266" s="316">
        <v>1</v>
      </c>
      <c r="AN266" s="316">
        <v>1</v>
      </c>
      <c r="AO266" s="316">
        <v>1</v>
      </c>
      <c r="AP266" s="316">
        <v>1</v>
      </c>
      <c r="AQ266" s="316">
        <v>1</v>
      </c>
      <c r="AR266" s="316">
        <v>1</v>
      </c>
      <c r="AS266" s="316">
        <v>1</v>
      </c>
      <c r="AT266" s="316">
        <v>1</v>
      </c>
    </row>
    <row r="267" spans="2:46" ht="12.75" hidden="1" customHeight="1" x14ac:dyDescent="0.15">
      <c r="B267" s="315">
        <v>5221</v>
      </c>
      <c r="C267" s="319" t="s">
        <v>667</v>
      </c>
      <c r="D267" s="309" t="s">
        <v>101</v>
      </c>
      <c r="E267" s="313" t="s">
        <v>1805</v>
      </c>
      <c r="F267" s="319" t="s">
        <v>1164</v>
      </c>
      <c r="G267" s="315" t="e">
        <f>_xlfn.XLOOKUP(B267,'WFP Details - 2026'!A:A,'WFP Details - 2026'!Z:Z)</f>
        <v>#N/A</v>
      </c>
      <c r="H267" s="314">
        <v>46553</v>
      </c>
      <c r="I267" s="315">
        <v>6</v>
      </c>
      <c r="J267" s="315">
        <v>2027</v>
      </c>
      <c r="K267" s="316">
        <v>0</v>
      </c>
      <c r="L267" s="316">
        <v>0</v>
      </c>
      <c r="M267" s="316">
        <v>0</v>
      </c>
      <c r="N267" s="316">
        <v>0</v>
      </c>
      <c r="O267" s="316">
        <v>0</v>
      </c>
      <c r="P267" s="316">
        <v>0</v>
      </c>
      <c r="Q267" s="316">
        <v>0</v>
      </c>
      <c r="R267" s="316">
        <v>0</v>
      </c>
      <c r="S267" s="316">
        <v>0</v>
      </c>
      <c r="T267" s="316">
        <v>0</v>
      </c>
      <c r="U267" s="316">
        <v>0</v>
      </c>
      <c r="V267" s="316">
        <v>0</v>
      </c>
      <c r="W267" s="316">
        <v>0</v>
      </c>
      <c r="X267" s="316">
        <v>0</v>
      </c>
      <c r="Y267" s="316">
        <v>0</v>
      </c>
      <c r="Z267" s="316">
        <v>0</v>
      </c>
      <c r="AA267" s="316">
        <v>0</v>
      </c>
      <c r="AB267" s="316">
        <v>1</v>
      </c>
      <c r="AC267" s="316">
        <v>1</v>
      </c>
      <c r="AD267" s="316">
        <v>1</v>
      </c>
      <c r="AE267" s="316">
        <v>1</v>
      </c>
      <c r="AF267" s="316">
        <v>1</v>
      </c>
      <c r="AG267" s="316">
        <v>1</v>
      </c>
      <c r="AH267" s="316">
        <v>1</v>
      </c>
      <c r="AI267" s="316">
        <v>1</v>
      </c>
      <c r="AJ267" s="316">
        <v>1</v>
      </c>
      <c r="AK267" s="316">
        <v>1</v>
      </c>
      <c r="AL267" s="316">
        <v>1</v>
      </c>
      <c r="AM267" s="316">
        <v>1</v>
      </c>
      <c r="AN267" s="316">
        <v>1</v>
      </c>
      <c r="AO267" s="316">
        <v>1</v>
      </c>
      <c r="AP267" s="316">
        <v>1</v>
      </c>
      <c r="AQ267" s="316">
        <v>1</v>
      </c>
      <c r="AR267" s="316">
        <v>1</v>
      </c>
      <c r="AS267" s="316">
        <v>1</v>
      </c>
      <c r="AT267" s="316">
        <v>1</v>
      </c>
    </row>
    <row r="268" spans="2:46" ht="12.75" hidden="1" customHeight="1" x14ac:dyDescent="0.15">
      <c r="B268" s="315">
        <v>5222</v>
      </c>
      <c r="C268" s="319" t="s">
        <v>667</v>
      </c>
      <c r="D268" s="309" t="s">
        <v>101</v>
      </c>
      <c r="E268" s="313" t="s">
        <v>1805</v>
      </c>
      <c r="F268" s="319" t="s">
        <v>1171</v>
      </c>
      <c r="G268" s="315" t="e">
        <f>_xlfn.XLOOKUP(B268,'WFP Details - 2026'!A:A,'WFP Details - 2026'!Z:Z)</f>
        <v>#N/A</v>
      </c>
      <c r="H268" s="314">
        <v>46553</v>
      </c>
      <c r="I268" s="315">
        <v>6</v>
      </c>
      <c r="J268" s="315">
        <v>2027</v>
      </c>
      <c r="K268" s="316">
        <v>0</v>
      </c>
      <c r="L268" s="316">
        <v>0</v>
      </c>
      <c r="M268" s="316">
        <v>0</v>
      </c>
      <c r="N268" s="316">
        <v>0</v>
      </c>
      <c r="O268" s="316">
        <v>0</v>
      </c>
      <c r="P268" s="316">
        <v>0</v>
      </c>
      <c r="Q268" s="316">
        <v>0</v>
      </c>
      <c r="R268" s="316">
        <v>0</v>
      </c>
      <c r="S268" s="316">
        <v>0</v>
      </c>
      <c r="T268" s="316">
        <v>0</v>
      </c>
      <c r="U268" s="316">
        <v>0</v>
      </c>
      <c r="V268" s="316">
        <v>0</v>
      </c>
      <c r="W268" s="316">
        <v>0</v>
      </c>
      <c r="X268" s="316">
        <v>0</v>
      </c>
      <c r="Y268" s="316">
        <v>0</v>
      </c>
      <c r="Z268" s="316">
        <v>0</v>
      </c>
      <c r="AA268" s="316">
        <v>0</v>
      </c>
      <c r="AB268" s="316">
        <v>1</v>
      </c>
      <c r="AC268" s="316">
        <v>1</v>
      </c>
      <c r="AD268" s="316">
        <v>1</v>
      </c>
      <c r="AE268" s="316">
        <v>1</v>
      </c>
      <c r="AF268" s="316">
        <v>1</v>
      </c>
      <c r="AG268" s="316">
        <v>1</v>
      </c>
      <c r="AH268" s="316">
        <v>1</v>
      </c>
      <c r="AI268" s="316">
        <v>1</v>
      </c>
      <c r="AJ268" s="316">
        <v>1</v>
      </c>
      <c r="AK268" s="316">
        <v>1</v>
      </c>
      <c r="AL268" s="316">
        <v>1</v>
      </c>
      <c r="AM268" s="316">
        <v>1</v>
      </c>
      <c r="AN268" s="316">
        <v>1</v>
      </c>
      <c r="AO268" s="316">
        <v>1</v>
      </c>
      <c r="AP268" s="316">
        <v>1</v>
      </c>
      <c r="AQ268" s="316">
        <v>1</v>
      </c>
      <c r="AR268" s="316">
        <v>1</v>
      </c>
      <c r="AS268" s="316">
        <v>1</v>
      </c>
      <c r="AT268" s="316">
        <v>1</v>
      </c>
    </row>
    <row r="269" spans="2:46" ht="12.75" hidden="1" customHeight="1" x14ac:dyDescent="0.15">
      <c r="B269" s="315">
        <v>5223</v>
      </c>
      <c r="C269" s="319" t="s">
        <v>667</v>
      </c>
      <c r="D269" s="313" t="s">
        <v>101</v>
      </c>
      <c r="E269" s="313" t="s">
        <v>1795</v>
      </c>
      <c r="F269" s="319" t="s">
        <v>1174</v>
      </c>
      <c r="G269" s="315" t="e">
        <f>_xlfn.XLOOKUP(B269,'WFP Details - 2026'!A:A,'WFP Details - 2026'!Z:Z)</f>
        <v>#N/A</v>
      </c>
      <c r="H269" s="314">
        <v>46553</v>
      </c>
      <c r="I269" s="315">
        <v>6</v>
      </c>
      <c r="J269" s="315">
        <v>2027</v>
      </c>
      <c r="K269" s="316">
        <v>0</v>
      </c>
      <c r="L269" s="316">
        <v>0</v>
      </c>
      <c r="M269" s="316">
        <v>0</v>
      </c>
      <c r="N269" s="316">
        <v>0</v>
      </c>
      <c r="O269" s="316">
        <v>0</v>
      </c>
      <c r="P269" s="316">
        <v>0</v>
      </c>
      <c r="Q269" s="316">
        <v>0</v>
      </c>
      <c r="R269" s="316">
        <v>0</v>
      </c>
      <c r="S269" s="316">
        <v>0</v>
      </c>
      <c r="T269" s="316">
        <v>0</v>
      </c>
      <c r="U269" s="316">
        <v>0</v>
      </c>
      <c r="V269" s="316">
        <v>0</v>
      </c>
      <c r="W269" s="316">
        <v>0</v>
      </c>
      <c r="X269" s="316">
        <v>0</v>
      </c>
      <c r="Y269" s="316">
        <v>0</v>
      </c>
      <c r="Z269" s="316">
        <v>0</v>
      </c>
      <c r="AA269" s="316">
        <v>0</v>
      </c>
      <c r="AB269" s="316">
        <v>1</v>
      </c>
      <c r="AC269" s="316">
        <v>1</v>
      </c>
      <c r="AD269" s="316">
        <v>1</v>
      </c>
      <c r="AE269" s="316">
        <v>1</v>
      </c>
      <c r="AF269" s="316">
        <v>1</v>
      </c>
      <c r="AG269" s="316">
        <v>1</v>
      </c>
      <c r="AH269" s="316">
        <v>1</v>
      </c>
      <c r="AI269" s="316">
        <v>1</v>
      </c>
      <c r="AJ269" s="316">
        <v>1</v>
      </c>
      <c r="AK269" s="316">
        <v>1</v>
      </c>
      <c r="AL269" s="316">
        <v>1</v>
      </c>
      <c r="AM269" s="316">
        <v>1</v>
      </c>
      <c r="AN269" s="316">
        <v>1</v>
      </c>
      <c r="AO269" s="316">
        <v>1</v>
      </c>
      <c r="AP269" s="316">
        <v>1</v>
      </c>
      <c r="AQ269" s="316">
        <v>1</v>
      </c>
      <c r="AR269" s="316">
        <v>1</v>
      </c>
      <c r="AS269" s="316">
        <v>1</v>
      </c>
      <c r="AT269" s="316">
        <v>1</v>
      </c>
    </row>
    <row r="270" spans="2:46" ht="12.75" customHeight="1" x14ac:dyDescent="0.15">
      <c r="B270" s="318">
        <v>1153</v>
      </c>
      <c r="C270" s="313" t="s">
        <v>805</v>
      </c>
      <c r="D270" s="313" t="s">
        <v>809</v>
      </c>
      <c r="E270" s="319" t="s">
        <v>1810</v>
      </c>
      <c r="F270" s="319" t="s">
        <v>806</v>
      </c>
      <c r="G270" s="315" t="str">
        <f>_xlfn.XLOOKUP(B270,'WFP Details - 2026'!A:A,'WFP Details - 2026'!Z:Z)</f>
        <v>x</v>
      </c>
      <c r="H270" s="314">
        <v>45413</v>
      </c>
      <c r="I270" s="315">
        <v>5</v>
      </c>
      <c r="J270" s="315">
        <v>2024</v>
      </c>
      <c r="K270" s="316">
        <v>1</v>
      </c>
      <c r="L270" s="316">
        <v>1</v>
      </c>
      <c r="M270" s="316">
        <v>1</v>
      </c>
      <c r="N270" s="316">
        <v>1</v>
      </c>
      <c r="O270" s="316">
        <v>1</v>
      </c>
      <c r="P270" s="316">
        <v>1</v>
      </c>
      <c r="Q270" s="316">
        <v>1</v>
      </c>
      <c r="R270" s="316">
        <v>1</v>
      </c>
      <c r="S270" s="316">
        <v>1</v>
      </c>
      <c r="T270" s="316">
        <v>1</v>
      </c>
      <c r="U270" s="316">
        <v>1</v>
      </c>
      <c r="V270" s="316">
        <v>1</v>
      </c>
      <c r="W270" s="316">
        <v>1</v>
      </c>
      <c r="X270" s="316">
        <v>1</v>
      </c>
      <c r="Y270" s="316">
        <v>1</v>
      </c>
      <c r="Z270" s="316">
        <v>1</v>
      </c>
      <c r="AA270" s="316">
        <v>1</v>
      </c>
      <c r="AB270" s="316">
        <v>1</v>
      </c>
      <c r="AC270" s="316">
        <v>1</v>
      </c>
      <c r="AD270" s="316">
        <v>1</v>
      </c>
      <c r="AE270" s="316">
        <v>1</v>
      </c>
      <c r="AF270" s="316">
        <v>1</v>
      </c>
      <c r="AG270" s="316">
        <v>1</v>
      </c>
      <c r="AH270" s="316">
        <v>1</v>
      </c>
      <c r="AI270" s="316">
        <v>1</v>
      </c>
      <c r="AJ270" s="316">
        <v>1</v>
      </c>
      <c r="AK270" s="316">
        <v>1</v>
      </c>
      <c r="AL270" s="316">
        <v>1</v>
      </c>
      <c r="AM270" s="316">
        <v>1</v>
      </c>
      <c r="AN270" s="316">
        <v>1</v>
      </c>
      <c r="AO270" s="316">
        <v>1</v>
      </c>
      <c r="AP270" s="316">
        <v>1</v>
      </c>
      <c r="AQ270" s="316">
        <v>1</v>
      </c>
      <c r="AR270" s="316">
        <v>1</v>
      </c>
      <c r="AS270" s="316">
        <v>1</v>
      </c>
      <c r="AT270" s="316">
        <v>1</v>
      </c>
    </row>
    <row r="271" spans="2:46" ht="12.75" customHeight="1" x14ac:dyDescent="0.15">
      <c r="B271" s="318">
        <v>1122</v>
      </c>
      <c r="C271" s="313" t="s">
        <v>805</v>
      </c>
      <c r="D271" s="313" t="s">
        <v>819</v>
      </c>
      <c r="E271" s="319" t="s">
        <v>1792</v>
      </c>
      <c r="F271" s="319" t="s">
        <v>1886</v>
      </c>
      <c r="G271" s="315" t="str">
        <f>_xlfn.XLOOKUP(B271,'WFP Details - 2026'!A:A,'WFP Details - 2026'!Z:Z)</f>
        <v>x</v>
      </c>
      <c r="H271" s="314">
        <v>45481</v>
      </c>
      <c r="I271" s="315">
        <v>7</v>
      </c>
      <c r="J271" s="315">
        <v>2024</v>
      </c>
      <c r="K271" s="316">
        <v>1</v>
      </c>
      <c r="L271" s="316">
        <v>1</v>
      </c>
      <c r="M271" s="316">
        <v>1</v>
      </c>
      <c r="N271" s="316">
        <v>1</v>
      </c>
      <c r="O271" s="316">
        <v>1</v>
      </c>
      <c r="P271" s="316">
        <v>1</v>
      </c>
      <c r="Q271" s="316">
        <v>1</v>
      </c>
      <c r="R271" s="316">
        <v>1</v>
      </c>
      <c r="S271" s="316">
        <v>1</v>
      </c>
      <c r="T271" s="316">
        <v>1</v>
      </c>
      <c r="U271" s="316">
        <v>1</v>
      </c>
      <c r="V271" s="316">
        <v>1</v>
      </c>
      <c r="W271" s="316">
        <v>1</v>
      </c>
      <c r="X271" s="316">
        <v>1</v>
      </c>
      <c r="Y271" s="316">
        <v>1</v>
      </c>
      <c r="Z271" s="316">
        <v>1</v>
      </c>
      <c r="AA271" s="316">
        <v>1</v>
      </c>
      <c r="AB271" s="316">
        <v>1</v>
      </c>
      <c r="AC271" s="316">
        <v>1</v>
      </c>
      <c r="AD271" s="316">
        <v>1</v>
      </c>
      <c r="AE271" s="316">
        <v>1</v>
      </c>
      <c r="AF271" s="316">
        <v>1</v>
      </c>
      <c r="AG271" s="316">
        <v>1</v>
      </c>
      <c r="AH271" s="316">
        <v>1</v>
      </c>
      <c r="AI271" s="316">
        <v>1</v>
      </c>
      <c r="AJ271" s="316">
        <v>1</v>
      </c>
      <c r="AK271" s="316">
        <v>1</v>
      </c>
      <c r="AL271" s="316">
        <v>1</v>
      </c>
      <c r="AM271" s="316">
        <v>1</v>
      </c>
      <c r="AN271" s="316">
        <v>1</v>
      </c>
      <c r="AO271" s="316">
        <v>1</v>
      </c>
      <c r="AP271" s="316">
        <v>1</v>
      </c>
      <c r="AQ271" s="316">
        <v>1</v>
      </c>
      <c r="AR271" s="316">
        <v>1</v>
      </c>
      <c r="AS271" s="316">
        <v>1</v>
      </c>
      <c r="AT271" s="316">
        <v>1</v>
      </c>
    </row>
    <row r="272" spans="2:46" ht="12.75" customHeight="1" x14ac:dyDescent="0.15">
      <c r="B272" s="312">
        <v>1121</v>
      </c>
      <c r="C272" s="313" t="s">
        <v>805</v>
      </c>
      <c r="D272" s="313" t="s">
        <v>822</v>
      </c>
      <c r="E272" s="319" t="s">
        <v>1817</v>
      </c>
      <c r="F272" s="319" t="s">
        <v>1887</v>
      </c>
      <c r="G272" s="315" t="str">
        <f>_xlfn.XLOOKUP(B272,'WFP Details - 2026'!A:A,'WFP Details - 2026'!Z:Z)</f>
        <v>x</v>
      </c>
      <c r="H272" s="314">
        <v>45608</v>
      </c>
      <c r="I272" s="315">
        <v>11</v>
      </c>
      <c r="J272" s="315">
        <v>2024</v>
      </c>
      <c r="K272" s="316">
        <v>1</v>
      </c>
      <c r="L272" s="316">
        <v>1</v>
      </c>
      <c r="M272" s="316">
        <v>1</v>
      </c>
      <c r="N272" s="316">
        <v>1</v>
      </c>
      <c r="O272" s="316">
        <v>1</v>
      </c>
      <c r="P272" s="316">
        <v>1</v>
      </c>
      <c r="Q272" s="316">
        <v>1</v>
      </c>
      <c r="R272" s="316">
        <v>1</v>
      </c>
      <c r="S272" s="316">
        <v>1</v>
      </c>
      <c r="T272" s="316">
        <v>1</v>
      </c>
      <c r="U272" s="316">
        <v>1</v>
      </c>
      <c r="V272" s="316">
        <v>1</v>
      </c>
      <c r="W272" s="316">
        <v>1</v>
      </c>
      <c r="X272" s="316">
        <v>1</v>
      </c>
      <c r="Y272" s="316">
        <v>1</v>
      </c>
      <c r="Z272" s="316">
        <v>1</v>
      </c>
      <c r="AA272" s="316">
        <v>1</v>
      </c>
      <c r="AB272" s="316">
        <v>1</v>
      </c>
      <c r="AC272" s="316">
        <v>1</v>
      </c>
      <c r="AD272" s="316">
        <v>1</v>
      </c>
      <c r="AE272" s="316">
        <v>1</v>
      </c>
      <c r="AF272" s="316">
        <v>1</v>
      </c>
      <c r="AG272" s="316">
        <v>1</v>
      </c>
      <c r="AH272" s="316">
        <v>1</v>
      </c>
      <c r="AI272" s="316">
        <v>1</v>
      </c>
      <c r="AJ272" s="316">
        <v>1</v>
      </c>
      <c r="AK272" s="316">
        <v>1</v>
      </c>
      <c r="AL272" s="316">
        <v>1</v>
      </c>
      <c r="AM272" s="316">
        <v>1</v>
      </c>
      <c r="AN272" s="316">
        <v>1</v>
      </c>
      <c r="AO272" s="316">
        <v>1</v>
      </c>
      <c r="AP272" s="316">
        <v>1</v>
      </c>
      <c r="AQ272" s="316">
        <v>1</v>
      </c>
      <c r="AR272" s="316">
        <v>1</v>
      </c>
      <c r="AS272" s="316">
        <v>1</v>
      </c>
      <c r="AT272" s="316">
        <v>1</v>
      </c>
    </row>
    <row r="273" spans="2:46" ht="12.75" customHeight="1" x14ac:dyDescent="0.15">
      <c r="B273" s="315">
        <v>1124</v>
      </c>
      <c r="C273" s="319" t="s">
        <v>805</v>
      </c>
      <c r="D273" s="313" t="s">
        <v>830</v>
      </c>
      <c r="E273" s="319" t="s">
        <v>1817</v>
      </c>
      <c r="F273" s="319" t="s">
        <v>1888</v>
      </c>
      <c r="G273" s="315" t="str">
        <f>_xlfn.XLOOKUP(B273,'WFP Details - 2026'!A:A,'WFP Details - 2026'!Z:Z)</f>
        <v>x</v>
      </c>
      <c r="H273" s="314">
        <v>45663</v>
      </c>
      <c r="I273" s="315">
        <v>1</v>
      </c>
      <c r="J273" s="315">
        <v>2025</v>
      </c>
      <c r="K273" s="316">
        <v>1</v>
      </c>
      <c r="L273" s="316">
        <v>1</v>
      </c>
      <c r="M273" s="316">
        <v>1</v>
      </c>
      <c r="N273" s="316">
        <v>1</v>
      </c>
      <c r="O273" s="316">
        <v>1</v>
      </c>
      <c r="P273" s="316">
        <v>1</v>
      </c>
      <c r="Q273" s="316">
        <v>1</v>
      </c>
      <c r="R273" s="316">
        <v>1</v>
      </c>
      <c r="S273" s="316">
        <v>1</v>
      </c>
      <c r="T273" s="316">
        <v>1</v>
      </c>
      <c r="U273" s="316">
        <v>1</v>
      </c>
      <c r="V273" s="316">
        <v>1</v>
      </c>
      <c r="W273" s="316">
        <v>1</v>
      </c>
      <c r="X273" s="316">
        <v>1</v>
      </c>
      <c r="Y273" s="316">
        <v>1</v>
      </c>
      <c r="Z273" s="316">
        <v>1</v>
      </c>
      <c r="AA273" s="316">
        <v>1</v>
      </c>
      <c r="AB273" s="316">
        <v>1</v>
      </c>
      <c r="AC273" s="316">
        <v>1</v>
      </c>
      <c r="AD273" s="316">
        <v>1</v>
      </c>
      <c r="AE273" s="316">
        <v>1</v>
      </c>
      <c r="AF273" s="316">
        <v>1</v>
      </c>
      <c r="AG273" s="316">
        <v>1</v>
      </c>
      <c r="AH273" s="316">
        <v>1</v>
      </c>
      <c r="AI273" s="316">
        <v>1</v>
      </c>
      <c r="AJ273" s="316">
        <v>1</v>
      </c>
      <c r="AK273" s="316">
        <v>1</v>
      </c>
      <c r="AL273" s="316">
        <v>1</v>
      </c>
      <c r="AM273" s="316">
        <v>1</v>
      </c>
      <c r="AN273" s="316">
        <v>1</v>
      </c>
      <c r="AO273" s="316">
        <v>1</v>
      </c>
      <c r="AP273" s="316">
        <v>1</v>
      </c>
      <c r="AQ273" s="316">
        <v>1</v>
      </c>
      <c r="AR273" s="316">
        <v>1</v>
      </c>
      <c r="AS273" s="316">
        <v>1</v>
      </c>
      <c r="AT273" s="316">
        <v>1</v>
      </c>
    </row>
    <row r="274" spans="2:46" ht="12.75" customHeight="1" x14ac:dyDescent="0.15">
      <c r="B274" s="315">
        <v>1146</v>
      </c>
      <c r="C274" s="319" t="s">
        <v>805</v>
      </c>
      <c r="D274" s="313" t="s">
        <v>852</v>
      </c>
      <c r="E274" s="319" t="s">
        <v>1795</v>
      </c>
      <c r="F274" s="319" t="s">
        <v>1889</v>
      </c>
      <c r="G274" s="315" t="str">
        <f>_xlfn.XLOOKUP(B274,'WFP Details - 2026'!A:A,'WFP Details - 2026'!Z:Z)</f>
        <v>x</v>
      </c>
      <c r="H274" s="314">
        <v>45670</v>
      </c>
      <c r="I274" s="315">
        <v>1</v>
      </c>
      <c r="J274" s="315">
        <v>2025</v>
      </c>
      <c r="K274" s="316">
        <v>1</v>
      </c>
      <c r="L274" s="316">
        <v>1</v>
      </c>
      <c r="M274" s="316">
        <v>1</v>
      </c>
      <c r="N274" s="316">
        <v>1</v>
      </c>
      <c r="O274" s="316">
        <v>1</v>
      </c>
      <c r="P274" s="316">
        <v>1</v>
      </c>
      <c r="Q274" s="316">
        <v>1</v>
      </c>
      <c r="R274" s="316">
        <v>1</v>
      </c>
      <c r="S274" s="316">
        <v>1</v>
      </c>
      <c r="T274" s="316">
        <v>1</v>
      </c>
      <c r="U274" s="316">
        <v>1</v>
      </c>
      <c r="V274" s="316">
        <v>1</v>
      </c>
      <c r="W274" s="316">
        <v>1</v>
      </c>
      <c r="X274" s="316">
        <v>1</v>
      </c>
      <c r="Y274" s="316">
        <v>1</v>
      </c>
      <c r="Z274" s="316">
        <v>1</v>
      </c>
      <c r="AA274" s="316">
        <v>1</v>
      </c>
      <c r="AB274" s="316">
        <v>1</v>
      </c>
      <c r="AC274" s="316">
        <v>1</v>
      </c>
      <c r="AD274" s="316">
        <v>1</v>
      </c>
      <c r="AE274" s="316">
        <v>1</v>
      </c>
      <c r="AF274" s="316">
        <v>1</v>
      </c>
      <c r="AG274" s="316">
        <v>1</v>
      </c>
      <c r="AH274" s="316">
        <v>1</v>
      </c>
      <c r="AI274" s="316">
        <v>1</v>
      </c>
      <c r="AJ274" s="316">
        <v>1</v>
      </c>
      <c r="AK274" s="316">
        <v>1</v>
      </c>
      <c r="AL274" s="316">
        <v>1</v>
      </c>
      <c r="AM274" s="316">
        <v>1</v>
      </c>
      <c r="AN274" s="316">
        <v>1</v>
      </c>
      <c r="AO274" s="316">
        <v>1</v>
      </c>
      <c r="AP274" s="316">
        <v>1</v>
      </c>
      <c r="AQ274" s="316">
        <v>1</v>
      </c>
      <c r="AR274" s="316">
        <v>1</v>
      </c>
      <c r="AS274" s="316">
        <v>1</v>
      </c>
      <c r="AT274" s="316">
        <v>1</v>
      </c>
    </row>
    <row r="275" spans="2:46" ht="12.75" customHeight="1" x14ac:dyDescent="0.15">
      <c r="B275" s="315">
        <v>1132</v>
      </c>
      <c r="C275" s="319" t="s">
        <v>805</v>
      </c>
      <c r="D275" s="313" t="s">
        <v>1890</v>
      </c>
      <c r="E275" s="319" t="s">
        <v>1805</v>
      </c>
      <c r="F275" s="319" t="s">
        <v>1891</v>
      </c>
      <c r="G275" s="315" t="str">
        <f>_xlfn.XLOOKUP(B275,'WFP Details - 2026'!A:A,'WFP Details - 2026'!Z:Z)</f>
        <v>x</v>
      </c>
      <c r="H275" s="314">
        <v>45740</v>
      </c>
      <c r="I275" s="315">
        <v>3</v>
      </c>
      <c r="J275" s="315">
        <v>2025</v>
      </c>
      <c r="K275" s="316">
        <v>1</v>
      </c>
      <c r="L275" s="316">
        <v>1</v>
      </c>
      <c r="M275" s="316">
        <v>1</v>
      </c>
      <c r="N275" s="316">
        <v>1</v>
      </c>
      <c r="O275" s="316">
        <v>1</v>
      </c>
      <c r="P275" s="316">
        <v>1</v>
      </c>
      <c r="Q275" s="316">
        <v>1</v>
      </c>
      <c r="R275" s="316">
        <v>1</v>
      </c>
      <c r="S275" s="316">
        <v>1</v>
      </c>
      <c r="T275" s="316">
        <v>1</v>
      </c>
      <c r="U275" s="316">
        <v>1</v>
      </c>
      <c r="V275" s="316">
        <v>1</v>
      </c>
      <c r="W275" s="316">
        <v>1</v>
      </c>
      <c r="X275" s="316">
        <v>1</v>
      </c>
      <c r="Y275" s="316">
        <v>1</v>
      </c>
      <c r="Z275" s="316">
        <v>1</v>
      </c>
      <c r="AA275" s="316">
        <v>1</v>
      </c>
      <c r="AB275" s="316">
        <v>1</v>
      </c>
      <c r="AC275" s="316">
        <v>1</v>
      </c>
      <c r="AD275" s="316">
        <v>1</v>
      </c>
      <c r="AE275" s="316">
        <v>1</v>
      </c>
      <c r="AF275" s="316">
        <v>1</v>
      </c>
      <c r="AG275" s="316">
        <v>1</v>
      </c>
      <c r="AH275" s="316">
        <v>1</v>
      </c>
      <c r="AI275" s="316">
        <v>1</v>
      </c>
      <c r="AJ275" s="316">
        <v>1</v>
      </c>
      <c r="AK275" s="316">
        <v>1</v>
      </c>
      <c r="AL275" s="316">
        <v>1</v>
      </c>
      <c r="AM275" s="316">
        <v>1</v>
      </c>
      <c r="AN275" s="316">
        <v>1</v>
      </c>
      <c r="AO275" s="316">
        <v>1</v>
      </c>
      <c r="AP275" s="316">
        <v>1</v>
      </c>
      <c r="AQ275" s="316">
        <v>1</v>
      </c>
      <c r="AR275" s="316">
        <v>1</v>
      </c>
      <c r="AS275" s="316">
        <v>1</v>
      </c>
      <c r="AT275" s="316">
        <v>1</v>
      </c>
    </row>
    <row r="276" spans="2:46" ht="12.75" customHeight="1" x14ac:dyDescent="0.15">
      <c r="B276" s="315">
        <v>1140</v>
      </c>
      <c r="C276" s="319" t="s">
        <v>805</v>
      </c>
      <c r="D276" s="313" t="s">
        <v>864</v>
      </c>
      <c r="E276" s="319" t="s">
        <v>1793</v>
      </c>
      <c r="F276" s="319" t="s">
        <v>1892</v>
      </c>
      <c r="G276" s="315" t="str">
        <f>_xlfn.XLOOKUP(B276,'WFP Details - 2026'!A:A,'WFP Details - 2026'!Z:Z)</f>
        <v>x</v>
      </c>
      <c r="H276" s="314">
        <v>45719</v>
      </c>
      <c r="I276" s="315">
        <v>3</v>
      </c>
      <c r="J276" s="315">
        <v>2025</v>
      </c>
      <c r="K276" s="316">
        <v>1</v>
      </c>
      <c r="L276" s="316">
        <v>1</v>
      </c>
      <c r="M276" s="316">
        <v>1</v>
      </c>
      <c r="N276" s="316">
        <v>1</v>
      </c>
      <c r="O276" s="316">
        <v>1</v>
      </c>
      <c r="P276" s="316">
        <v>1</v>
      </c>
      <c r="Q276" s="316">
        <v>1</v>
      </c>
      <c r="R276" s="316">
        <v>1</v>
      </c>
      <c r="S276" s="316">
        <v>1</v>
      </c>
      <c r="T276" s="316">
        <v>1</v>
      </c>
      <c r="U276" s="316">
        <v>1</v>
      </c>
      <c r="V276" s="316">
        <v>1</v>
      </c>
      <c r="W276" s="316">
        <v>1</v>
      </c>
      <c r="X276" s="316">
        <v>1</v>
      </c>
      <c r="Y276" s="316">
        <v>1</v>
      </c>
      <c r="Z276" s="316">
        <v>1</v>
      </c>
      <c r="AA276" s="316">
        <v>1</v>
      </c>
      <c r="AB276" s="316">
        <v>1</v>
      </c>
      <c r="AC276" s="316">
        <v>1</v>
      </c>
      <c r="AD276" s="316">
        <v>1</v>
      </c>
      <c r="AE276" s="316">
        <v>1</v>
      </c>
      <c r="AF276" s="316">
        <v>1</v>
      </c>
      <c r="AG276" s="316">
        <v>1</v>
      </c>
      <c r="AH276" s="316">
        <v>1</v>
      </c>
      <c r="AI276" s="316">
        <v>1</v>
      </c>
      <c r="AJ276" s="316">
        <v>1</v>
      </c>
      <c r="AK276" s="316">
        <v>1</v>
      </c>
      <c r="AL276" s="316">
        <v>1</v>
      </c>
      <c r="AM276" s="316">
        <v>1</v>
      </c>
      <c r="AN276" s="316">
        <v>1</v>
      </c>
      <c r="AO276" s="316">
        <v>1</v>
      </c>
      <c r="AP276" s="316">
        <v>1</v>
      </c>
      <c r="AQ276" s="316">
        <v>1</v>
      </c>
      <c r="AR276" s="316">
        <v>1</v>
      </c>
      <c r="AS276" s="316">
        <v>1</v>
      </c>
      <c r="AT276" s="316">
        <v>1</v>
      </c>
    </row>
    <row r="277" spans="2:46" ht="12.75" customHeight="1" x14ac:dyDescent="0.15">
      <c r="B277" s="315">
        <v>1148</v>
      </c>
      <c r="C277" s="319" t="s">
        <v>805</v>
      </c>
      <c r="D277" s="313" t="s">
        <v>1893</v>
      </c>
      <c r="E277" s="319" t="s">
        <v>1817</v>
      </c>
      <c r="F277" s="319" t="s">
        <v>1894</v>
      </c>
      <c r="G277" s="315" t="str">
        <f>_xlfn.XLOOKUP(B277,'WFP Details - 2026'!A:A,'WFP Details - 2026'!Z:Z)</f>
        <v>x</v>
      </c>
      <c r="H277" s="314">
        <v>45740</v>
      </c>
      <c r="I277" s="315">
        <v>3</v>
      </c>
      <c r="J277" s="315">
        <v>2025</v>
      </c>
      <c r="K277" s="316">
        <v>1</v>
      </c>
      <c r="L277" s="316">
        <v>1</v>
      </c>
      <c r="M277" s="316">
        <v>1</v>
      </c>
      <c r="N277" s="316">
        <v>1</v>
      </c>
      <c r="O277" s="316">
        <v>1</v>
      </c>
      <c r="P277" s="316">
        <v>1</v>
      </c>
      <c r="Q277" s="316">
        <v>1</v>
      </c>
      <c r="R277" s="316">
        <v>1</v>
      </c>
      <c r="S277" s="316">
        <v>1</v>
      </c>
      <c r="T277" s="316">
        <v>1</v>
      </c>
      <c r="U277" s="316">
        <v>1</v>
      </c>
      <c r="V277" s="316">
        <v>1</v>
      </c>
      <c r="W277" s="316">
        <v>1</v>
      </c>
      <c r="X277" s="316">
        <v>1</v>
      </c>
      <c r="Y277" s="316">
        <v>1</v>
      </c>
      <c r="Z277" s="316">
        <v>1</v>
      </c>
      <c r="AA277" s="316">
        <v>1</v>
      </c>
      <c r="AB277" s="316">
        <v>1</v>
      </c>
      <c r="AC277" s="316">
        <v>1</v>
      </c>
      <c r="AD277" s="316">
        <v>1</v>
      </c>
      <c r="AE277" s="316">
        <v>1</v>
      </c>
      <c r="AF277" s="316">
        <v>1</v>
      </c>
      <c r="AG277" s="316">
        <v>1</v>
      </c>
      <c r="AH277" s="316">
        <v>1</v>
      </c>
      <c r="AI277" s="316">
        <v>1</v>
      </c>
      <c r="AJ277" s="316">
        <v>1</v>
      </c>
      <c r="AK277" s="316">
        <v>1</v>
      </c>
      <c r="AL277" s="316">
        <v>1</v>
      </c>
      <c r="AM277" s="316">
        <v>1</v>
      </c>
      <c r="AN277" s="316">
        <v>1</v>
      </c>
      <c r="AO277" s="316">
        <v>1</v>
      </c>
      <c r="AP277" s="316">
        <v>1</v>
      </c>
      <c r="AQ277" s="316">
        <v>1</v>
      </c>
      <c r="AR277" s="316">
        <v>1</v>
      </c>
      <c r="AS277" s="316">
        <v>1</v>
      </c>
      <c r="AT277" s="316">
        <v>1</v>
      </c>
    </row>
    <row r="278" spans="2:46" ht="12.75" customHeight="1" x14ac:dyDescent="0.15">
      <c r="B278" s="315">
        <v>1149</v>
      </c>
      <c r="C278" s="319" t="s">
        <v>805</v>
      </c>
      <c r="D278" s="313" t="s">
        <v>1895</v>
      </c>
      <c r="E278" s="319" t="s">
        <v>1805</v>
      </c>
      <c r="F278" s="319" t="s">
        <v>1896</v>
      </c>
      <c r="G278" s="315" t="str">
        <f>_xlfn.XLOOKUP(B278,'WFP Details - 2026'!A:A,'WFP Details - 2026'!Z:Z)</f>
        <v>x</v>
      </c>
      <c r="H278" s="314">
        <v>45733</v>
      </c>
      <c r="I278" s="315">
        <v>3</v>
      </c>
      <c r="J278" s="315">
        <v>2025</v>
      </c>
      <c r="K278" s="316">
        <v>1</v>
      </c>
      <c r="L278" s="316">
        <v>1</v>
      </c>
      <c r="M278" s="316">
        <v>1</v>
      </c>
      <c r="N278" s="316">
        <v>1</v>
      </c>
      <c r="O278" s="316">
        <v>1</v>
      </c>
      <c r="P278" s="316">
        <v>1</v>
      </c>
      <c r="Q278" s="316">
        <v>1</v>
      </c>
      <c r="R278" s="316">
        <v>1</v>
      </c>
      <c r="S278" s="316">
        <v>1</v>
      </c>
      <c r="T278" s="316">
        <v>1</v>
      </c>
      <c r="U278" s="316">
        <v>1</v>
      </c>
      <c r="V278" s="316">
        <v>1</v>
      </c>
      <c r="W278" s="316">
        <v>1</v>
      </c>
      <c r="X278" s="316">
        <v>1</v>
      </c>
      <c r="Y278" s="316">
        <v>1</v>
      </c>
      <c r="Z278" s="316">
        <v>1</v>
      </c>
      <c r="AA278" s="316">
        <v>1</v>
      </c>
      <c r="AB278" s="316">
        <v>1</v>
      </c>
      <c r="AC278" s="316">
        <v>1</v>
      </c>
      <c r="AD278" s="316">
        <v>1</v>
      </c>
      <c r="AE278" s="316">
        <v>1</v>
      </c>
      <c r="AF278" s="316">
        <v>1</v>
      </c>
      <c r="AG278" s="316">
        <v>1</v>
      </c>
      <c r="AH278" s="316">
        <v>1</v>
      </c>
      <c r="AI278" s="316">
        <v>1</v>
      </c>
      <c r="AJ278" s="316">
        <v>1</v>
      </c>
      <c r="AK278" s="316">
        <v>1</v>
      </c>
      <c r="AL278" s="316">
        <v>1</v>
      </c>
      <c r="AM278" s="316">
        <v>1</v>
      </c>
      <c r="AN278" s="316">
        <v>1</v>
      </c>
      <c r="AO278" s="316">
        <v>1</v>
      </c>
      <c r="AP278" s="316">
        <v>1</v>
      </c>
      <c r="AQ278" s="316">
        <v>1</v>
      </c>
      <c r="AR278" s="316">
        <v>1</v>
      </c>
      <c r="AS278" s="316">
        <v>1</v>
      </c>
      <c r="AT278" s="316">
        <v>1</v>
      </c>
    </row>
    <row r="279" spans="2:46" ht="12.75" customHeight="1" x14ac:dyDescent="0.15">
      <c r="B279" s="315">
        <v>1123</v>
      </c>
      <c r="C279" s="319" t="s">
        <v>805</v>
      </c>
      <c r="D279" s="313" t="s">
        <v>845</v>
      </c>
      <c r="E279" s="319" t="s">
        <v>1817</v>
      </c>
      <c r="F279" s="319" t="s">
        <v>1897</v>
      </c>
      <c r="G279" s="315" t="str">
        <f>_xlfn.XLOOKUP(B279,'WFP Details - 2026'!A:A,'WFP Details - 2026'!Z:Z)</f>
        <v>x</v>
      </c>
      <c r="H279" s="314">
        <v>45824</v>
      </c>
      <c r="I279" s="315">
        <v>6</v>
      </c>
      <c r="J279" s="315">
        <v>2025</v>
      </c>
      <c r="K279" s="316">
        <v>1</v>
      </c>
      <c r="L279" s="316">
        <v>1</v>
      </c>
      <c r="M279" s="316">
        <v>1</v>
      </c>
      <c r="N279" s="316">
        <v>1</v>
      </c>
      <c r="O279" s="316">
        <v>1</v>
      </c>
      <c r="P279" s="316">
        <v>1</v>
      </c>
      <c r="Q279" s="316">
        <v>1</v>
      </c>
      <c r="R279" s="316">
        <v>1</v>
      </c>
      <c r="S279" s="316">
        <v>1</v>
      </c>
      <c r="T279" s="316">
        <v>1</v>
      </c>
      <c r="U279" s="316">
        <v>1</v>
      </c>
      <c r="V279" s="316">
        <v>1</v>
      </c>
      <c r="W279" s="316">
        <v>1</v>
      </c>
      <c r="X279" s="316">
        <v>1</v>
      </c>
      <c r="Y279" s="316">
        <v>1</v>
      </c>
      <c r="Z279" s="316">
        <v>1</v>
      </c>
      <c r="AA279" s="316">
        <v>1</v>
      </c>
      <c r="AB279" s="316">
        <v>1</v>
      </c>
      <c r="AC279" s="316">
        <v>1</v>
      </c>
      <c r="AD279" s="316">
        <v>1</v>
      </c>
      <c r="AE279" s="316">
        <v>1</v>
      </c>
      <c r="AF279" s="316">
        <v>1</v>
      </c>
      <c r="AG279" s="316">
        <v>1</v>
      </c>
      <c r="AH279" s="316">
        <v>1</v>
      </c>
      <c r="AI279" s="316">
        <v>1</v>
      </c>
      <c r="AJ279" s="316">
        <v>1</v>
      </c>
      <c r="AK279" s="316">
        <v>1</v>
      </c>
      <c r="AL279" s="316">
        <v>1</v>
      </c>
      <c r="AM279" s="316">
        <v>1</v>
      </c>
      <c r="AN279" s="316">
        <v>1</v>
      </c>
      <c r="AO279" s="316">
        <v>1</v>
      </c>
      <c r="AP279" s="316">
        <v>1</v>
      </c>
      <c r="AQ279" s="316">
        <v>1</v>
      </c>
      <c r="AR279" s="316">
        <v>1</v>
      </c>
      <c r="AS279" s="316">
        <v>1</v>
      </c>
      <c r="AT279" s="316">
        <v>1</v>
      </c>
    </row>
    <row r="280" spans="2:46" ht="12.75" customHeight="1" x14ac:dyDescent="0.15">
      <c r="B280" s="315">
        <v>1133</v>
      </c>
      <c r="C280" s="319" t="s">
        <v>805</v>
      </c>
      <c r="D280" s="313" t="s">
        <v>1898</v>
      </c>
      <c r="E280" s="319" t="s">
        <v>1805</v>
      </c>
      <c r="F280" s="319" t="s">
        <v>1899</v>
      </c>
      <c r="G280" s="315" t="str">
        <f>_xlfn.XLOOKUP(B280,'WFP Details - 2026'!A:A,'WFP Details - 2026'!Z:Z)</f>
        <v>x</v>
      </c>
      <c r="H280" s="314">
        <v>45929</v>
      </c>
      <c r="I280" s="315">
        <v>9</v>
      </c>
      <c r="J280" s="315">
        <v>2025</v>
      </c>
      <c r="K280" s="316">
        <v>1</v>
      </c>
      <c r="L280" s="316">
        <v>1</v>
      </c>
      <c r="M280" s="316">
        <v>1</v>
      </c>
      <c r="N280" s="316">
        <v>1</v>
      </c>
      <c r="O280" s="316">
        <v>1</v>
      </c>
      <c r="P280" s="316">
        <v>1</v>
      </c>
      <c r="Q280" s="316">
        <v>1</v>
      </c>
      <c r="R280" s="316">
        <v>1</v>
      </c>
      <c r="S280" s="316">
        <v>1</v>
      </c>
      <c r="T280" s="316">
        <v>1</v>
      </c>
      <c r="U280" s="316">
        <v>1</v>
      </c>
      <c r="V280" s="316">
        <v>1</v>
      </c>
      <c r="W280" s="316">
        <v>1</v>
      </c>
      <c r="X280" s="316">
        <v>1</v>
      </c>
      <c r="Y280" s="316">
        <v>1</v>
      </c>
      <c r="Z280" s="316">
        <v>1</v>
      </c>
      <c r="AA280" s="316">
        <v>1</v>
      </c>
      <c r="AB280" s="316">
        <v>1</v>
      </c>
      <c r="AC280" s="316">
        <v>1</v>
      </c>
      <c r="AD280" s="316">
        <v>1</v>
      </c>
      <c r="AE280" s="316">
        <v>1</v>
      </c>
      <c r="AF280" s="316">
        <v>1</v>
      </c>
      <c r="AG280" s="316">
        <v>1</v>
      </c>
      <c r="AH280" s="316">
        <v>1</v>
      </c>
      <c r="AI280" s="316">
        <v>1</v>
      </c>
      <c r="AJ280" s="316">
        <v>1</v>
      </c>
      <c r="AK280" s="316">
        <v>1</v>
      </c>
      <c r="AL280" s="316">
        <v>1</v>
      </c>
      <c r="AM280" s="316">
        <v>1</v>
      </c>
      <c r="AN280" s="316">
        <v>1</v>
      </c>
      <c r="AO280" s="316">
        <v>1</v>
      </c>
      <c r="AP280" s="316">
        <v>1</v>
      </c>
      <c r="AQ280" s="316">
        <v>1</v>
      </c>
      <c r="AR280" s="316">
        <v>1</v>
      </c>
      <c r="AS280" s="316">
        <v>1</v>
      </c>
      <c r="AT280" s="316">
        <v>1</v>
      </c>
    </row>
    <row r="281" spans="2:46" ht="12.75" customHeight="1" x14ac:dyDescent="0.15">
      <c r="B281" s="315">
        <v>1139</v>
      </c>
      <c r="C281" s="319" t="s">
        <v>805</v>
      </c>
      <c r="D281" s="313" t="s">
        <v>884</v>
      </c>
      <c r="E281" s="319" t="s">
        <v>1805</v>
      </c>
      <c r="F281" s="319" t="s">
        <v>1900</v>
      </c>
      <c r="G281" s="315" t="str">
        <f>_xlfn.XLOOKUP(B281,'WFP Details - 2026'!A:A,'WFP Details - 2026'!Z:Z)</f>
        <v>x</v>
      </c>
      <c r="H281" s="314">
        <v>45902</v>
      </c>
      <c r="I281" s="315">
        <v>9</v>
      </c>
      <c r="J281" s="315">
        <v>2025</v>
      </c>
      <c r="K281" s="316">
        <v>1</v>
      </c>
      <c r="L281" s="316">
        <v>1</v>
      </c>
      <c r="M281" s="316">
        <v>1</v>
      </c>
      <c r="N281" s="316">
        <v>1</v>
      </c>
      <c r="O281" s="316">
        <v>1</v>
      </c>
      <c r="P281" s="316">
        <v>1</v>
      </c>
      <c r="Q281" s="316">
        <v>1</v>
      </c>
      <c r="R281" s="316">
        <v>1</v>
      </c>
      <c r="S281" s="316">
        <v>1</v>
      </c>
      <c r="T281" s="316">
        <v>1</v>
      </c>
      <c r="U281" s="316">
        <v>1</v>
      </c>
      <c r="V281" s="316">
        <v>1</v>
      </c>
      <c r="W281" s="316">
        <v>1</v>
      </c>
      <c r="X281" s="316">
        <v>1</v>
      </c>
      <c r="Y281" s="316">
        <v>1</v>
      </c>
      <c r="Z281" s="316">
        <v>1</v>
      </c>
      <c r="AA281" s="316">
        <v>1</v>
      </c>
      <c r="AB281" s="316">
        <v>1</v>
      </c>
      <c r="AC281" s="316">
        <v>1</v>
      </c>
      <c r="AD281" s="316">
        <v>1</v>
      </c>
      <c r="AE281" s="316">
        <v>1</v>
      </c>
      <c r="AF281" s="316">
        <v>1</v>
      </c>
      <c r="AG281" s="316">
        <v>1</v>
      </c>
      <c r="AH281" s="316">
        <v>1</v>
      </c>
      <c r="AI281" s="316">
        <v>1</v>
      </c>
      <c r="AJ281" s="316">
        <v>1</v>
      </c>
      <c r="AK281" s="316">
        <v>1</v>
      </c>
      <c r="AL281" s="316">
        <v>1</v>
      </c>
      <c r="AM281" s="316">
        <v>1</v>
      </c>
      <c r="AN281" s="316">
        <v>1</v>
      </c>
      <c r="AO281" s="316">
        <v>1</v>
      </c>
      <c r="AP281" s="316">
        <v>1</v>
      </c>
      <c r="AQ281" s="316">
        <v>1</v>
      </c>
      <c r="AR281" s="316">
        <v>1</v>
      </c>
      <c r="AS281" s="316">
        <v>1</v>
      </c>
      <c r="AT281" s="316">
        <v>1</v>
      </c>
    </row>
    <row r="282" spans="2:46" ht="12.75" customHeight="1" x14ac:dyDescent="0.15">
      <c r="B282" s="318">
        <v>5225</v>
      </c>
      <c r="C282" s="313" t="s">
        <v>805</v>
      </c>
      <c r="D282" s="313" t="s">
        <v>1901</v>
      </c>
      <c r="E282" s="319" t="s">
        <v>1793</v>
      </c>
      <c r="F282" s="319" t="s">
        <v>1902</v>
      </c>
      <c r="G282" s="315" t="str">
        <f>_xlfn.XLOOKUP(B282,'WFP Details - 2026'!A:A,'WFP Details - 2026'!Z:Z)</f>
        <v>x</v>
      </c>
      <c r="H282" s="314">
        <v>46096</v>
      </c>
      <c r="I282" s="315">
        <v>3</v>
      </c>
      <c r="J282" s="315">
        <v>2026</v>
      </c>
      <c r="K282" s="316">
        <v>0</v>
      </c>
      <c r="L282" s="316">
        <v>0</v>
      </c>
      <c r="M282" s="316">
        <v>1</v>
      </c>
      <c r="N282" s="316">
        <v>1</v>
      </c>
      <c r="O282" s="316">
        <v>1</v>
      </c>
      <c r="P282" s="316">
        <v>1</v>
      </c>
      <c r="Q282" s="316">
        <v>1</v>
      </c>
      <c r="R282" s="316">
        <v>1</v>
      </c>
      <c r="S282" s="316">
        <v>1</v>
      </c>
      <c r="T282" s="316">
        <v>1</v>
      </c>
      <c r="U282" s="316">
        <v>1</v>
      </c>
      <c r="V282" s="316">
        <v>1</v>
      </c>
      <c r="W282" s="316">
        <v>1</v>
      </c>
      <c r="X282" s="316">
        <v>1</v>
      </c>
      <c r="Y282" s="316">
        <v>1</v>
      </c>
      <c r="Z282" s="316">
        <v>1</v>
      </c>
      <c r="AA282" s="316">
        <v>1</v>
      </c>
      <c r="AB282" s="316">
        <v>1</v>
      </c>
      <c r="AC282" s="316">
        <v>1</v>
      </c>
      <c r="AD282" s="316">
        <v>1</v>
      </c>
      <c r="AE282" s="316">
        <v>1</v>
      </c>
      <c r="AF282" s="316">
        <v>1</v>
      </c>
      <c r="AG282" s="316">
        <v>1</v>
      </c>
      <c r="AH282" s="316">
        <v>1</v>
      </c>
      <c r="AI282" s="316">
        <v>1</v>
      </c>
      <c r="AJ282" s="316">
        <v>1</v>
      </c>
      <c r="AK282" s="316">
        <v>1</v>
      </c>
      <c r="AL282" s="316">
        <v>1</v>
      </c>
      <c r="AM282" s="316">
        <v>1</v>
      </c>
      <c r="AN282" s="316">
        <v>1</v>
      </c>
      <c r="AO282" s="316">
        <v>1</v>
      </c>
      <c r="AP282" s="316">
        <v>1</v>
      </c>
      <c r="AQ282" s="316">
        <v>1</v>
      </c>
      <c r="AR282" s="316">
        <v>1</v>
      </c>
      <c r="AS282" s="316">
        <v>1</v>
      </c>
      <c r="AT282" s="316">
        <v>1</v>
      </c>
    </row>
    <row r="283" spans="2:46" ht="12.75" customHeight="1" x14ac:dyDescent="0.15">
      <c r="B283" s="315">
        <v>1127</v>
      </c>
      <c r="C283" s="319" t="s">
        <v>805</v>
      </c>
      <c r="D283" s="313" t="s">
        <v>854</v>
      </c>
      <c r="E283" s="319" t="s">
        <v>1793</v>
      </c>
      <c r="F283" s="319" t="s">
        <v>853</v>
      </c>
      <c r="G283" s="315" t="str">
        <f>_xlfn.XLOOKUP(B283,'WFP Details - 2026'!A:A,'WFP Details - 2026'!Z:Z)</f>
        <v>x</v>
      </c>
      <c r="H283" s="314">
        <v>46188</v>
      </c>
      <c r="I283" s="315">
        <v>6</v>
      </c>
      <c r="J283" s="315">
        <v>2026</v>
      </c>
      <c r="K283" s="316">
        <v>0</v>
      </c>
      <c r="L283" s="316">
        <v>0</v>
      </c>
      <c r="M283" s="316">
        <v>0</v>
      </c>
      <c r="N283" s="316">
        <v>0</v>
      </c>
      <c r="O283" s="316">
        <v>0</v>
      </c>
      <c r="P283" s="316">
        <v>1</v>
      </c>
      <c r="Q283" s="316">
        <v>1</v>
      </c>
      <c r="R283" s="316">
        <v>1</v>
      </c>
      <c r="S283" s="316">
        <v>1</v>
      </c>
      <c r="T283" s="316">
        <v>1</v>
      </c>
      <c r="U283" s="316">
        <v>1</v>
      </c>
      <c r="V283" s="316">
        <v>1</v>
      </c>
      <c r="W283" s="316">
        <v>1</v>
      </c>
      <c r="X283" s="316">
        <v>1</v>
      </c>
      <c r="Y283" s="316">
        <v>1</v>
      </c>
      <c r="Z283" s="316">
        <v>1</v>
      </c>
      <c r="AA283" s="316">
        <v>1</v>
      </c>
      <c r="AB283" s="316">
        <v>1</v>
      </c>
      <c r="AC283" s="316">
        <v>1</v>
      </c>
      <c r="AD283" s="316">
        <v>1</v>
      </c>
      <c r="AE283" s="316">
        <v>1</v>
      </c>
      <c r="AF283" s="316">
        <v>1</v>
      </c>
      <c r="AG283" s="316">
        <v>1</v>
      </c>
      <c r="AH283" s="316">
        <v>1</v>
      </c>
      <c r="AI283" s="316">
        <v>1</v>
      </c>
      <c r="AJ283" s="316">
        <v>1</v>
      </c>
      <c r="AK283" s="316">
        <v>1</v>
      </c>
      <c r="AL283" s="316">
        <v>1</v>
      </c>
      <c r="AM283" s="316">
        <v>1</v>
      </c>
      <c r="AN283" s="316">
        <v>1</v>
      </c>
      <c r="AO283" s="316">
        <v>1</v>
      </c>
      <c r="AP283" s="316">
        <v>1</v>
      </c>
      <c r="AQ283" s="316">
        <v>1</v>
      </c>
      <c r="AR283" s="316">
        <v>1</v>
      </c>
      <c r="AS283" s="316">
        <v>1</v>
      </c>
      <c r="AT283" s="316">
        <v>1</v>
      </c>
    </row>
    <row r="284" spans="2:46" ht="12.75" customHeight="1" x14ac:dyDescent="0.15">
      <c r="B284" s="315">
        <v>1141</v>
      </c>
      <c r="C284" s="319" t="s">
        <v>805</v>
      </c>
      <c r="D284" s="313" t="s">
        <v>859</v>
      </c>
      <c r="E284" s="319" t="s">
        <v>1817</v>
      </c>
      <c r="F284" s="319" t="s">
        <v>858</v>
      </c>
      <c r="G284" s="315" t="str">
        <f>_xlfn.XLOOKUP(B284,'WFP Details - 2026'!A:A,'WFP Details - 2026'!Z:Z)</f>
        <v>x</v>
      </c>
      <c r="H284" s="314">
        <v>46188</v>
      </c>
      <c r="I284" s="315">
        <v>6</v>
      </c>
      <c r="J284" s="315">
        <v>2026</v>
      </c>
      <c r="K284" s="316">
        <v>0</v>
      </c>
      <c r="L284" s="316">
        <v>0</v>
      </c>
      <c r="M284" s="316">
        <v>0</v>
      </c>
      <c r="N284" s="316">
        <v>0</v>
      </c>
      <c r="O284" s="316">
        <v>0</v>
      </c>
      <c r="P284" s="316">
        <v>1</v>
      </c>
      <c r="Q284" s="316">
        <v>1</v>
      </c>
      <c r="R284" s="316">
        <v>1</v>
      </c>
      <c r="S284" s="316">
        <v>1</v>
      </c>
      <c r="T284" s="316">
        <v>1</v>
      </c>
      <c r="U284" s="316">
        <v>1</v>
      </c>
      <c r="V284" s="316">
        <v>1</v>
      </c>
      <c r="W284" s="316">
        <v>1</v>
      </c>
      <c r="X284" s="316">
        <v>1</v>
      </c>
      <c r="Y284" s="316">
        <v>1</v>
      </c>
      <c r="Z284" s="316">
        <v>1</v>
      </c>
      <c r="AA284" s="316">
        <v>1</v>
      </c>
      <c r="AB284" s="316">
        <v>1</v>
      </c>
      <c r="AC284" s="316">
        <v>1</v>
      </c>
      <c r="AD284" s="316">
        <v>1</v>
      </c>
      <c r="AE284" s="316">
        <v>1</v>
      </c>
      <c r="AF284" s="316">
        <v>1</v>
      </c>
      <c r="AG284" s="316">
        <v>1</v>
      </c>
      <c r="AH284" s="316">
        <v>1</v>
      </c>
      <c r="AI284" s="316">
        <v>1</v>
      </c>
      <c r="AJ284" s="316">
        <v>1</v>
      </c>
      <c r="AK284" s="316">
        <v>1</v>
      </c>
      <c r="AL284" s="316">
        <v>1</v>
      </c>
      <c r="AM284" s="316">
        <v>1</v>
      </c>
      <c r="AN284" s="316">
        <v>1</v>
      </c>
      <c r="AO284" s="316">
        <v>1</v>
      </c>
      <c r="AP284" s="316">
        <v>1</v>
      </c>
      <c r="AQ284" s="316">
        <v>1</v>
      </c>
      <c r="AR284" s="316">
        <v>1</v>
      </c>
      <c r="AS284" s="316">
        <v>1</v>
      </c>
      <c r="AT284" s="316">
        <v>1</v>
      </c>
    </row>
    <row r="285" spans="2:46" ht="12.75" customHeight="1" x14ac:dyDescent="0.15">
      <c r="B285" s="315">
        <v>5247</v>
      </c>
      <c r="C285" s="319" t="s">
        <v>805</v>
      </c>
      <c r="D285" s="313" t="s">
        <v>101</v>
      </c>
      <c r="E285" s="319" t="s">
        <v>1805</v>
      </c>
      <c r="F285" s="319" t="s">
        <v>863</v>
      </c>
      <c r="G285" s="315" t="str">
        <f>_xlfn.XLOOKUP(B285,'WFP Details - 2026'!A:A,'WFP Details - 2026'!Z:Z)</f>
        <v>x</v>
      </c>
      <c r="H285" s="314">
        <v>46280</v>
      </c>
      <c r="I285" s="315">
        <v>9</v>
      </c>
      <c r="J285" s="315">
        <v>2026</v>
      </c>
      <c r="K285" s="316">
        <v>0</v>
      </c>
      <c r="L285" s="316">
        <v>0</v>
      </c>
      <c r="M285" s="316">
        <v>0</v>
      </c>
      <c r="N285" s="316">
        <v>0</v>
      </c>
      <c r="O285" s="316">
        <v>0</v>
      </c>
      <c r="P285" s="316">
        <v>0</v>
      </c>
      <c r="Q285" s="316">
        <v>0</v>
      </c>
      <c r="R285" s="316">
        <v>0</v>
      </c>
      <c r="S285" s="316">
        <v>1</v>
      </c>
      <c r="T285" s="316">
        <v>1</v>
      </c>
      <c r="U285" s="316">
        <v>1</v>
      </c>
      <c r="V285" s="316">
        <v>1</v>
      </c>
      <c r="W285" s="316">
        <v>1</v>
      </c>
      <c r="X285" s="316">
        <v>1</v>
      </c>
      <c r="Y285" s="316">
        <v>1</v>
      </c>
      <c r="Z285" s="316">
        <v>1</v>
      </c>
      <c r="AA285" s="316">
        <v>1</v>
      </c>
      <c r="AB285" s="316">
        <v>1</v>
      </c>
      <c r="AC285" s="316">
        <v>1</v>
      </c>
      <c r="AD285" s="316">
        <v>1</v>
      </c>
      <c r="AE285" s="316">
        <v>1</v>
      </c>
      <c r="AF285" s="316">
        <v>1</v>
      </c>
      <c r="AG285" s="316">
        <v>1</v>
      </c>
      <c r="AH285" s="316">
        <v>1</v>
      </c>
      <c r="AI285" s="316">
        <v>1</v>
      </c>
      <c r="AJ285" s="316">
        <v>1</v>
      </c>
      <c r="AK285" s="316">
        <v>1</v>
      </c>
      <c r="AL285" s="316">
        <v>1</v>
      </c>
      <c r="AM285" s="316">
        <v>1</v>
      </c>
      <c r="AN285" s="316">
        <v>1</v>
      </c>
      <c r="AO285" s="316">
        <v>1</v>
      </c>
      <c r="AP285" s="316">
        <v>1</v>
      </c>
      <c r="AQ285" s="316">
        <v>1</v>
      </c>
      <c r="AR285" s="316">
        <v>1</v>
      </c>
      <c r="AS285" s="316">
        <v>1</v>
      </c>
      <c r="AT285" s="316">
        <v>1</v>
      </c>
    </row>
    <row r="286" spans="2:46" ht="12.75" hidden="1" customHeight="1" x14ac:dyDescent="0.15">
      <c r="B286" s="315">
        <v>1135</v>
      </c>
      <c r="C286" s="319" t="s">
        <v>805</v>
      </c>
      <c r="D286" s="313" t="s">
        <v>1903</v>
      </c>
      <c r="E286" s="319" t="s">
        <v>1805</v>
      </c>
      <c r="F286" s="319" t="s">
        <v>874</v>
      </c>
      <c r="G286" s="315">
        <f>_xlfn.XLOOKUP(B286,'WFP Details - 2026'!A:A,'WFP Details - 2026'!Z:Z)</f>
        <v>0</v>
      </c>
      <c r="H286" s="314">
        <v>46461</v>
      </c>
      <c r="I286" s="315">
        <v>3</v>
      </c>
      <c r="J286" s="315">
        <v>2027</v>
      </c>
      <c r="K286" s="316">
        <v>0</v>
      </c>
      <c r="L286" s="316">
        <v>0</v>
      </c>
      <c r="M286" s="316">
        <v>0</v>
      </c>
      <c r="N286" s="316">
        <v>0</v>
      </c>
      <c r="O286" s="316">
        <v>0</v>
      </c>
      <c r="P286" s="316">
        <v>0</v>
      </c>
      <c r="Q286" s="316">
        <v>0</v>
      </c>
      <c r="R286" s="316">
        <v>0</v>
      </c>
      <c r="S286" s="316">
        <v>0</v>
      </c>
      <c r="T286" s="316">
        <v>0</v>
      </c>
      <c r="U286" s="316">
        <v>0</v>
      </c>
      <c r="V286" s="316">
        <v>0</v>
      </c>
      <c r="W286" s="316">
        <v>0</v>
      </c>
      <c r="X286" s="316">
        <v>0</v>
      </c>
      <c r="Y286" s="316">
        <v>1</v>
      </c>
      <c r="Z286" s="316">
        <v>1</v>
      </c>
      <c r="AA286" s="316">
        <v>1</v>
      </c>
      <c r="AB286" s="316">
        <v>1</v>
      </c>
      <c r="AC286" s="316">
        <v>1</v>
      </c>
      <c r="AD286" s="316">
        <v>1</v>
      </c>
      <c r="AE286" s="316">
        <v>1</v>
      </c>
      <c r="AF286" s="316">
        <v>1</v>
      </c>
      <c r="AG286" s="316">
        <v>1</v>
      </c>
      <c r="AH286" s="316">
        <v>1</v>
      </c>
      <c r="AI286" s="316">
        <v>1</v>
      </c>
      <c r="AJ286" s="316">
        <v>1</v>
      </c>
      <c r="AK286" s="316">
        <v>1</v>
      </c>
      <c r="AL286" s="316">
        <v>1</v>
      </c>
      <c r="AM286" s="316">
        <v>1</v>
      </c>
      <c r="AN286" s="316">
        <v>1</v>
      </c>
      <c r="AO286" s="316">
        <v>1</v>
      </c>
      <c r="AP286" s="316">
        <v>1</v>
      </c>
      <c r="AQ286" s="316">
        <v>1</v>
      </c>
      <c r="AR286" s="316">
        <v>1</v>
      </c>
      <c r="AS286" s="316">
        <v>1</v>
      </c>
      <c r="AT286" s="316">
        <v>1</v>
      </c>
    </row>
    <row r="287" spans="2:46" ht="12.75" hidden="1" customHeight="1" x14ac:dyDescent="0.15">
      <c r="B287" s="315">
        <v>1138</v>
      </c>
      <c r="C287" s="319" t="s">
        <v>805</v>
      </c>
      <c r="D287" s="313" t="s">
        <v>1903</v>
      </c>
      <c r="E287" s="319" t="s">
        <v>1805</v>
      </c>
      <c r="F287" s="319" t="s">
        <v>890</v>
      </c>
      <c r="G287" s="315">
        <f>_xlfn.XLOOKUP(B287,'WFP Details - 2026'!A:A,'WFP Details - 2026'!Z:Z)</f>
        <v>0</v>
      </c>
      <c r="H287" s="314">
        <v>46461</v>
      </c>
      <c r="I287" s="315">
        <v>3</v>
      </c>
      <c r="J287" s="315">
        <v>2027</v>
      </c>
      <c r="K287" s="316">
        <v>0</v>
      </c>
      <c r="L287" s="316">
        <v>0</v>
      </c>
      <c r="M287" s="316">
        <v>0</v>
      </c>
      <c r="N287" s="316">
        <v>0</v>
      </c>
      <c r="O287" s="316">
        <v>0</v>
      </c>
      <c r="P287" s="316">
        <v>0</v>
      </c>
      <c r="Q287" s="316">
        <v>0</v>
      </c>
      <c r="R287" s="316">
        <v>0</v>
      </c>
      <c r="S287" s="316">
        <v>0</v>
      </c>
      <c r="T287" s="316">
        <v>0</v>
      </c>
      <c r="U287" s="316">
        <v>0</v>
      </c>
      <c r="V287" s="316">
        <v>0</v>
      </c>
      <c r="W287" s="316">
        <v>0</v>
      </c>
      <c r="X287" s="316">
        <v>0</v>
      </c>
      <c r="Y287" s="316">
        <v>1</v>
      </c>
      <c r="Z287" s="316">
        <v>1</v>
      </c>
      <c r="AA287" s="316">
        <v>1</v>
      </c>
      <c r="AB287" s="316">
        <v>1</v>
      </c>
      <c r="AC287" s="316">
        <v>1</v>
      </c>
      <c r="AD287" s="316">
        <v>1</v>
      </c>
      <c r="AE287" s="316">
        <v>1</v>
      </c>
      <c r="AF287" s="316">
        <v>1</v>
      </c>
      <c r="AG287" s="316">
        <v>1</v>
      </c>
      <c r="AH287" s="316">
        <v>1</v>
      </c>
      <c r="AI287" s="316">
        <v>1</v>
      </c>
      <c r="AJ287" s="316">
        <v>1</v>
      </c>
      <c r="AK287" s="316">
        <v>1</v>
      </c>
      <c r="AL287" s="316">
        <v>1</v>
      </c>
      <c r="AM287" s="316">
        <v>1</v>
      </c>
      <c r="AN287" s="316">
        <v>1</v>
      </c>
      <c r="AO287" s="316">
        <v>1</v>
      </c>
      <c r="AP287" s="316">
        <v>1</v>
      </c>
      <c r="AQ287" s="316">
        <v>1</v>
      </c>
      <c r="AR287" s="316">
        <v>1</v>
      </c>
      <c r="AS287" s="316">
        <v>1</v>
      </c>
      <c r="AT287" s="316">
        <v>1</v>
      </c>
    </row>
    <row r="288" spans="2:46" ht="12.75" hidden="1" customHeight="1" x14ac:dyDescent="0.15">
      <c r="B288" s="318">
        <v>1143</v>
      </c>
      <c r="C288" s="313" t="s">
        <v>805</v>
      </c>
      <c r="D288" s="313" t="s">
        <v>1904</v>
      </c>
      <c r="E288" s="319" t="s">
        <v>1795</v>
      </c>
      <c r="F288" s="319" t="s">
        <v>869</v>
      </c>
      <c r="G288" s="315">
        <f>_xlfn.XLOOKUP(B288,'WFP Details - 2026'!A:A,'WFP Details - 2026'!Z:Z)</f>
        <v>0</v>
      </c>
      <c r="H288" s="314">
        <v>46461</v>
      </c>
      <c r="I288" s="315">
        <v>3</v>
      </c>
      <c r="J288" s="315">
        <v>2027</v>
      </c>
      <c r="K288" s="316">
        <v>0</v>
      </c>
      <c r="L288" s="316">
        <v>0</v>
      </c>
      <c r="M288" s="316">
        <v>0</v>
      </c>
      <c r="N288" s="316">
        <v>0</v>
      </c>
      <c r="O288" s="316">
        <v>0</v>
      </c>
      <c r="P288" s="316">
        <v>0</v>
      </c>
      <c r="Q288" s="316">
        <v>0</v>
      </c>
      <c r="R288" s="316">
        <v>0</v>
      </c>
      <c r="S288" s="316">
        <v>0</v>
      </c>
      <c r="T288" s="316">
        <v>0</v>
      </c>
      <c r="U288" s="316">
        <v>0</v>
      </c>
      <c r="V288" s="316">
        <v>0</v>
      </c>
      <c r="W288" s="316">
        <v>0</v>
      </c>
      <c r="X288" s="316">
        <v>0</v>
      </c>
      <c r="Y288" s="316">
        <v>1</v>
      </c>
      <c r="Z288" s="316">
        <v>1</v>
      </c>
      <c r="AA288" s="316">
        <v>1</v>
      </c>
      <c r="AB288" s="316">
        <v>1</v>
      </c>
      <c r="AC288" s="316">
        <v>1</v>
      </c>
      <c r="AD288" s="316">
        <v>1</v>
      </c>
      <c r="AE288" s="316">
        <v>1</v>
      </c>
      <c r="AF288" s="316">
        <v>1</v>
      </c>
      <c r="AG288" s="316">
        <v>1</v>
      </c>
      <c r="AH288" s="316">
        <v>1</v>
      </c>
      <c r="AI288" s="316">
        <v>1</v>
      </c>
      <c r="AJ288" s="316">
        <v>1</v>
      </c>
      <c r="AK288" s="316">
        <v>1</v>
      </c>
      <c r="AL288" s="316">
        <v>1</v>
      </c>
      <c r="AM288" s="316">
        <v>1</v>
      </c>
      <c r="AN288" s="316">
        <v>1</v>
      </c>
      <c r="AO288" s="316">
        <v>1</v>
      </c>
      <c r="AP288" s="316">
        <v>1</v>
      </c>
      <c r="AQ288" s="316">
        <v>1</v>
      </c>
      <c r="AR288" s="316">
        <v>1</v>
      </c>
      <c r="AS288" s="316">
        <v>1</v>
      </c>
      <c r="AT288" s="316">
        <v>1</v>
      </c>
    </row>
    <row r="289" spans="2:46" ht="12.75" hidden="1" customHeight="1" x14ac:dyDescent="0.15">
      <c r="B289" s="315">
        <v>1150</v>
      </c>
      <c r="C289" s="319" t="s">
        <v>805</v>
      </c>
      <c r="D289" s="313" t="s">
        <v>1903</v>
      </c>
      <c r="E289" s="319" t="s">
        <v>1805</v>
      </c>
      <c r="F289" s="319" t="s">
        <v>876</v>
      </c>
      <c r="G289" s="315">
        <f>_xlfn.XLOOKUP(B289,'WFP Details - 2026'!A:A,'WFP Details - 2026'!Z:Z)</f>
        <v>0</v>
      </c>
      <c r="H289" s="314">
        <v>46461</v>
      </c>
      <c r="I289" s="315">
        <v>3</v>
      </c>
      <c r="J289" s="315">
        <v>2027</v>
      </c>
      <c r="K289" s="316">
        <v>0</v>
      </c>
      <c r="L289" s="316">
        <v>0</v>
      </c>
      <c r="M289" s="316">
        <v>0</v>
      </c>
      <c r="N289" s="316">
        <v>0</v>
      </c>
      <c r="O289" s="316">
        <v>0</v>
      </c>
      <c r="P289" s="316">
        <v>0</v>
      </c>
      <c r="Q289" s="316">
        <v>0</v>
      </c>
      <c r="R289" s="316">
        <v>0</v>
      </c>
      <c r="S289" s="316">
        <v>0</v>
      </c>
      <c r="T289" s="316">
        <v>0</v>
      </c>
      <c r="U289" s="316">
        <v>0</v>
      </c>
      <c r="V289" s="316">
        <v>0</v>
      </c>
      <c r="W289" s="316">
        <v>0</v>
      </c>
      <c r="X289" s="316">
        <v>0</v>
      </c>
      <c r="Y289" s="316">
        <v>1</v>
      </c>
      <c r="Z289" s="316">
        <v>1</v>
      </c>
      <c r="AA289" s="316">
        <v>1</v>
      </c>
      <c r="AB289" s="316">
        <v>1</v>
      </c>
      <c r="AC289" s="316">
        <v>1</v>
      </c>
      <c r="AD289" s="316">
        <v>1</v>
      </c>
      <c r="AE289" s="316">
        <v>1</v>
      </c>
      <c r="AF289" s="316">
        <v>1</v>
      </c>
      <c r="AG289" s="316">
        <v>1</v>
      </c>
      <c r="AH289" s="316">
        <v>1</v>
      </c>
      <c r="AI289" s="316">
        <v>1</v>
      </c>
      <c r="AJ289" s="316">
        <v>1</v>
      </c>
      <c r="AK289" s="316">
        <v>1</v>
      </c>
      <c r="AL289" s="316">
        <v>1</v>
      </c>
      <c r="AM289" s="316">
        <v>1</v>
      </c>
      <c r="AN289" s="316">
        <v>1</v>
      </c>
      <c r="AO289" s="316">
        <v>1</v>
      </c>
      <c r="AP289" s="316">
        <v>1</v>
      </c>
      <c r="AQ289" s="316">
        <v>1</v>
      </c>
      <c r="AR289" s="316">
        <v>1</v>
      </c>
      <c r="AS289" s="316">
        <v>1</v>
      </c>
      <c r="AT289" s="316">
        <v>1</v>
      </c>
    </row>
    <row r="290" spans="2:46" ht="12.75" hidden="1" customHeight="1" x14ac:dyDescent="0.15">
      <c r="B290" s="315">
        <v>5230</v>
      </c>
      <c r="C290" s="319" t="s">
        <v>805</v>
      </c>
      <c r="D290" s="313" t="s">
        <v>1903</v>
      </c>
      <c r="E290" s="319" t="s">
        <v>1793</v>
      </c>
      <c r="F290" s="319" t="s">
        <v>885</v>
      </c>
      <c r="G290" s="315">
        <f>_xlfn.XLOOKUP(B290,'WFP Details - 2026'!A:A,'WFP Details - 2026'!Z:Z)</f>
        <v>0</v>
      </c>
      <c r="H290" s="314">
        <v>46461</v>
      </c>
      <c r="I290" s="315">
        <v>3</v>
      </c>
      <c r="J290" s="315">
        <v>2027</v>
      </c>
      <c r="K290" s="316">
        <v>0</v>
      </c>
      <c r="L290" s="316">
        <v>0</v>
      </c>
      <c r="M290" s="316">
        <v>0</v>
      </c>
      <c r="N290" s="316">
        <v>0</v>
      </c>
      <c r="O290" s="316">
        <v>0</v>
      </c>
      <c r="P290" s="316">
        <v>0</v>
      </c>
      <c r="Q290" s="316">
        <v>0</v>
      </c>
      <c r="R290" s="316">
        <v>0</v>
      </c>
      <c r="S290" s="316">
        <v>0</v>
      </c>
      <c r="T290" s="316">
        <v>0</v>
      </c>
      <c r="U290" s="316">
        <v>0</v>
      </c>
      <c r="V290" s="316">
        <v>0</v>
      </c>
      <c r="W290" s="316">
        <v>0</v>
      </c>
      <c r="X290" s="316">
        <v>0</v>
      </c>
      <c r="Y290" s="316">
        <v>1</v>
      </c>
      <c r="Z290" s="316">
        <v>1</v>
      </c>
      <c r="AA290" s="316">
        <v>1</v>
      </c>
      <c r="AB290" s="316">
        <v>1</v>
      </c>
      <c r="AC290" s="316">
        <v>1</v>
      </c>
      <c r="AD290" s="316">
        <v>1</v>
      </c>
      <c r="AE290" s="316">
        <v>1</v>
      </c>
      <c r="AF290" s="316">
        <v>1</v>
      </c>
      <c r="AG290" s="316">
        <v>1</v>
      </c>
      <c r="AH290" s="316">
        <v>1</v>
      </c>
      <c r="AI290" s="316">
        <v>1</v>
      </c>
      <c r="AJ290" s="316">
        <v>1</v>
      </c>
      <c r="AK290" s="316">
        <v>1</v>
      </c>
      <c r="AL290" s="316">
        <v>1</v>
      </c>
      <c r="AM290" s="316">
        <v>1</v>
      </c>
      <c r="AN290" s="316">
        <v>1</v>
      </c>
      <c r="AO290" s="316">
        <v>1</v>
      </c>
      <c r="AP290" s="316">
        <v>1</v>
      </c>
      <c r="AQ290" s="316">
        <v>1</v>
      </c>
      <c r="AR290" s="316">
        <v>1</v>
      </c>
      <c r="AS290" s="316">
        <v>1</v>
      </c>
      <c r="AT290" s="316">
        <v>1</v>
      </c>
    </row>
    <row r="291" spans="2:46" ht="12.75" hidden="1" customHeight="1" x14ac:dyDescent="0.15">
      <c r="B291" s="315">
        <v>5234</v>
      </c>
      <c r="C291" s="319" t="s">
        <v>805</v>
      </c>
      <c r="D291" s="313" t="s">
        <v>1903</v>
      </c>
      <c r="E291" s="319" t="s">
        <v>1795</v>
      </c>
      <c r="F291" s="319" t="s">
        <v>888</v>
      </c>
      <c r="G291" s="315">
        <f>_xlfn.XLOOKUP(B291,'WFP Details - 2026'!A:A,'WFP Details - 2026'!Z:Z)</f>
        <v>0</v>
      </c>
      <c r="H291" s="314">
        <v>46461</v>
      </c>
      <c r="I291" s="315">
        <v>3</v>
      </c>
      <c r="J291" s="315">
        <v>2027</v>
      </c>
      <c r="K291" s="316">
        <v>0</v>
      </c>
      <c r="L291" s="316">
        <v>0</v>
      </c>
      <c r="M291" s="316">
        <v>0</v>
      </c>
      <c r="N291" s="316">
        <v>0</v>
      </c>
      <c r="O291" s="316">
        <v>0</v>
      </c>
      <c r="P291" s="316">
        <v>0</v>
      </c>
      <c r="Q291" s="316">
        <v>0</v>
      </c>
      <c r="R291" s="316">
        <v>0</v>
      </c>
      <c r="S291" s="316">
        <v>0</v>
      </c>
      <c r="T291" s="316">
        <v>0</v>
      </c>
      <c r="U291" s="316">
        <v>0</v>
      </c>
      <c r="V291" s="316">
        <v>0</v>
      </c>
      <c r="W291" s="316">
        <v>0</v>
      </c>
      <c r="X291" s="316">
        <v>0</v>
      </c>
      <c r="Y291" s="316">
        <v>1</v>
      </c>
      <c r="Z291" s="316">
        <v>1</v>
      </c>
      <c r="AA291" s="316">
        <v>1</v>
      </c>
      <c r="AB291" s="316">
        <v>1</v>
      </c>
      <c r="AC291" s="316">
        <v>1</v>
      </c>
      <c r="AD291" s="316">
        <v>1</v>
      </c>
      <c r="AE291" s="316">
        <v>1</v>
      </c>
      <c r="AF291" s="316">
        <v>1</v>
      </c>
      <c r="AG291" s="316">
        <v>1</v>
      </c>
      <c r="AH291" s="316">
        <v>1</v>
      </c>
      <c r="AI291" s="316">
        <v>1</v>
      </c>
      <c r="AJ291" s="316">
        <v>1</v>
      </c>
      <c r="AK291" s="316">
        <v>1</v>
      </c>
      <c r="AL291" s="316">
        <v>1</v>
      </c>
      <c r="AM291" s="316">
        <v>1</v>
      </c>
      <c r="AN291" s="316">
        <v>1</v>
      </c>
      <c r="AO291" s="316">
        <v>1</v>
      </c>
      <c r="AP291" s="316">
        <v>1</v>
      </c>
      <c r="AQ291" s="316">
        <v>1</v>
      </c>
      <c r="AR291" s="316">
        <v>1</v>
      </c>
      <c r="AS291" s="316">
        <v>1</v>
      </c>
      <c r="AT291" s="316">
        <v>1</v>
      </c>
    </row>
    <row r="292" spans="2:46" ht="12.75" hidden="1" customHeight="1" x14ac:dyDescent="0.15">
      <c r="B292" s="315">
        <v>5244</v>
      </c>
      <c r="C292" s="319" t="s">
        <v>805</v>
      </c>
      <c r="D292" s="313" t="s">
        <v>1903</v>
      </c>
      <c r="E292" s="319" t="s">
        <v>1805</v>
      </c>
      <c r="F292" s="319" t="s">
        <v>879</v>
      </c>
      <c r="G292" s="315">
        <f>_xlfn.XLOOKUP(B292,'WFP Details - 2026'!A:A,'WFP Details - 2026'!Z:Z)</f>
        <v>0</v>
      </c>
      <c r="H292" s="314">
        <v>46461</v>
      </c>
      <c r="I292" s="315">
        <v>3</v>
      </c>
      <c r="J292" s="315">
        <v>2027</v>
      </c>
      <c r="K292" s="316">
        <v>0</v>
      </c>
      <c r="L292" s="316">
        <v>0</v>
      </c>
      <c r="M292" s="316">
        <v>0</v>
      </c>
      <c r="N292" s="316">
        <v>0</v>
      </c>
      <c r="O292" s="316">
        <v>0</v>
      </c>
      <c r="P292" s="316">
        <v>0</v>
      </c>
      <c r="Q292" s="316">
        <v>0</v>
      </c>
      <c r="R292" s="316">
        <v>0</v>
      </c>
      <c r="S292" s="316">
        <v>0</v>
      </c>
      <c r="T292" s="316">
        <v>0</v>
      </c>
      <c r="U292" s="316">
        <v>0</v>
      </c>
      <c r="V292" s="316">
        <v>0</v>
      </c>
      <c r="W292" s="316">
        <v>0</v>
      </c>
      <c r="X292" s="316">
        <v>0</v>
      </c>
      <c r="Y292" s="316">
        <v>1</v>
      </c>
      <c r="Z292" s="316">
        <v>1</v>
      </c>
      <c r="AA292" s="316">
        <v>1</v>
      </c>
      <c r="AB292" s="316">
        <v>1</v>
      </c>
      <c r="AC292" s="316">
        <v>1</v>
      </c>
      <c r="AD292" s="316">
        <v>1</v>
      </c>
      <c r="AE292" s="316">
        <v>1</v>
      </c>
      <c r="AF292" s="316">
        <v>1</v>
      </c>
      <c r="AG292" s="316">
        <v>1</v>
      </c>
      <c r="AH292" s="316">
        <v>1</v>
      </c>
      <c r="AI292" s="316">
        <v>1</v>
      </c>
      <c r="AJ292" s="316">
        <v>1</v>
      </c>
      <c r="AK292" s="316">
        <v>1</v>
      </c>
      <c r="AL292" s="316">
        <v>1</v>
      </c>
      <c r="AM292" s="316">
        <v>1</v>
      </c>
      <c r="AN292" s="316">
        <v>1</v>
      </c>
      <c r="AO292" s="316">
        <v>1</v>
      </c>
      <c r="AP292" s="316">
        <v>1</v>
      </c>
      <c r="AQ292" s="316">
        <v>1</v>
      </c>
      <c r="AR292" s="316">
        <v>1</v>
      </c>
      <c r="AS292" s="316">
        <v>1</v>
      </c>
      <c r="AT292" s="316">
        <v>1</v>
      </c>
    </row>
    <row r="293" spans="2:46" ht="12.75" hidden="1" customHeight="1" x14ac:dyDescent="0.15">
      <c r="B293" s="315">
        <v>1144</v>
      </c>
      <c r="C293" s="319" t="s">
        <v>805</v>
      </c>
      <c r="D293" s="313" t="s">
        <v>101</v>
      </c>
      <c r="E293" s="313" t="s">
        <v>1793</v>
      </c>
      <c r="F293" s="319" t="s">
        <v>1632</v>
      </c>
      <c r="G293" s="315" t="e">
        <f>_xlfn.XLOOKUP(B293,'WFP Details - 2026'!A:A,'WFP Details - 2026'!Z:Z)</f>
        <v>#N/A</v>
      </c>
      <c r="H293" s="314">
        <v>46461</v>
      </c>
      <c r="I293" s="315">
        <v>3</v>
      </c>
      <c r="J293" s="315">
        <v>2027</v>
      </c>
      <c r="K293" s="316">
        <v>0</v>
      </c>
      <c r="L293" s="316">
        <v>0</v>
      </c>
      <c r="M293" s="316">
        <v>0</v>
      </c>
      <c r="N293" s="316">
        <v>0</v>
      </c>
      <c r="O293" s="316">
        <v>0</v>
      </c>
      <c r="P293" s="316">
        <v>0</v>
      </c>
      <c r="Q293" s="316">
        <v>0</v>
      </c>
      <c r="R293" s="316">
        <v>0</v>
      </c>
      <c r="S293" s="316">
        <v>0</v>
      </c>
      <c r="T293" s="316">
        <v>0</v>
      </c>
      <c r="U293" s="316">
        <v>0</v>
      </c>
      <c r="V293" s="316">
        <v>0</v>
      </c>
      <c r="W293" s="316">
        <v>0</v>
      </c>
      <c r="X293" s="316">
        <v>0</v>
      </c>
      <c r="Y293" s="316">
        <v>1</v>
      </c>
      <c r="Z293" s="316">
        <v>1</v>
      </c>
      <c r="AA293" s="316">
        <v>1</v>
      </c>
      <c r="AB293" s="316">
        <v>1</v>
      </c>
      <c r="AC293" s="316">
        <v>1</v>
      </c>
      <c r="AD293" s="316">
        <v>1</v>
      </c>
      <c r="AE293" s="316">
        <v>1</v>
      </c>
      <c r="AF293" s="316">
        <v>1</v>
      </c>
      <c r="AG293" s="316">
        <v>1</v>
      </c>
      <c r="AH293" s="316">
        <v>1</v>
      </c>
      <c r="AI293" s="316">
        <v>1</v>
      </c>
      <c r="AJ293" s="316">
        <v>1</v>
      </c>
      <c r="AK293" s="316">
        <v>1</v>
      </c>
      <c r="AL293" s="316">
        <v>1</v>
      </c>
      <c r="AM293" s="316">
        <v>1</v>
      </c>
      <c r="AN293" s="316">
        <v>1</v>
      </c>
      <c r="AO293" s="316">
        <v>1</v>
      </c>
      <c r="AP293" s="316">
        <v>1</v>
      </c>
      <c r="AQ293" s="316">
        <v>1</v>
      </c>
      <c r="AR293" s="316">
        <v>1</v>
      </c>
      <c r="AS293" s="316">
        <v>1</v>
      </c>
      <c r="AT293" s="316">
        <v>1</v>
      </c>
    </row>
    <row r="294" spans="2:46" ht="12.75" hidden="1" customHeight="1" x14ac:dyDescent="0.15">
      <c r="B294" s="315">
        <v>1126</v>
      </c>
      <c r="C294" s="319" t="s">
        <v>805</v>
      </c>
      <c r="D294" s="313" t="s">
        <v>101</v>
      </c>
      <c r="E294" s="313" t="s">
        <v>1793</v>
      </c>
      <c r="F294" s="319" t="s">
        <v>853</v>
      </c>
      <c r="G294" s="315" t="e">
        <f>_xlfn.XLOOKUP(B294,'WFP Details - 2026'!A:A,'WFP Details - 2026'!Z:Z)</f>
        <v>#N/A</v>
      </c>
      <c r="H294" s="314">
        <v>46461</v>
      </c>
      <c r="I294" s="315">
        <v>3</v>
      </c>
      <c r="J294" s="315">
        <v>2027</v>
      </c>
      <c r="K294" s="316">
        <v>0</v>
      </c>
      <c r="L294" s="316">
        <v>0</v>
      </c>
      <c r="M294" s="316">
        <v>0</v>
      </c>
      <c r="N294" s="316">
        <v>0</v>
      </c>
      <c r="O294" s="316">
        <v>0</v>
      </c>
      <c r="P294" s="316">
        <v>0</v>
      </c>
      <c r="Q294" s="316">
        <v>0</v>
      </c>
      <c r="R294" s="316">
        <v>0</v>
      </c>
      <c r="S294" s="316">
        <v>0</v>
      </c>
      <c r="T294" s="316">
        <v>0</v>
      </c>
      <c r="U294" s="316">
        <v>0</v>
      </c>
      <c r="V294" s="316">
        <v>0</v>
      </c>
      <c r="W294" s="316">
        <v>0</v>
      </c>
      <c r="X294" s="316">
        <v>0</v>
      </c>
      <c r="Y294" s="316">
        <v>1</v>
      </c>
      <c r="Z294" s="316">
        <v>1</v>
      </c>
      <c r="AA294" s="316">
        <v>1</v>
      </c>
      <c r="AB294" s="316">
        <v>1</v>
      </c>
      <c r="AC294" s="316">
        <v>1</v>
      </c>
      <c r="AD294" s="316">
        <v>1</v>
      </c>
      <c r="AE294" s="316">
        <v>1</v>
      </c>
      <c r="AF294" s="316">
        <v>1</v>
      </c>
      <c r="AG294" s="316">
        <v>1</v>
      </c>
      <c r="AH294" s="316">
        <v>1</v>
      </c>
      <c r="AI294" s="316">
        <v>1</v>
      </c>
      <c r="AJ294" s="316">
        <v>1</v>
      </c>
      <c r="AK294" s="316">
        <v>1</v>
      </c>
      <c r="AL294" s="316">
        <v>1</v>
      </c>
      <c r="AM294" s="316">
        <v>1</v>
      </c>
      <c r="AN294" s="316">
        <v>1</v>
      </c>
      <c r="AO294" s="316">
        <v>1</v>
      </c>
      <c r="AP294" s="316">
        <v>1</v>
      </c>
      <c r="AQ294" s="316">
        <v>1</v>
      </c>
      <c r="AR294" s="316">
        <v>1</v>
      </c>
      <c r="AS294" s="316">
        <v>1</v>
      </c>
      <c r="AT294" s="316">
        <v>1</v>
      </c>
    </row>
    <row r="295" spans="2:46" ht="12.75" hidden="1" customHeight="1" x14ac:dyDescent="0.15">
      <c r="B295" s="315">
        <v>1142</v>
      </c>
      <c r="C295" s="319" t="s">
        <v>805</v>
      </c>
      <c r="D295" s="313" t="s">
        <v>101</v>
      </c>
      <c r="E295" s="313" t="s">
        <v>1805</v>
      </c>
      <c r="F295" s="319" t="s">
        <v>1607</v>
      </c>
      <c r="G295" s="315" t="e">
        <f>_xlfn.XLOOKUP(B295,'WFP Details - 2026'!A:A,'WFP Details - 2026'!Z:Z)</f>
        <v>#N/A</v>
      </c>
      <c r="H295" s="314">
        <v>46461</v>
      </c>
      <c r="I295" s="315">
        <v>3</v>
      </c>
      <c r="J295" s="315">
        <v>2027</v>
      </c>
      <c r="K295" s="316">
        <v>0</v>
      </c>
      <c r="L295" s="316">
        <v>0</v>
      </c>
      <c r="M295" s="316">
        <v>0</v>
      </c>
      <c r="N295" s="316">
        <v>0</v>
      </c>
      <c r="O295" s="316">
        <v>0</v>
      </c>
      <c r="P295" s="316">
        <v>0</v>
      </c>
      <c r="Q295" s="316">
        <v>0</v>
      </c>
      <c r="R295" s="316">
        <v>0</v>
      </c>
      <c r="S295" s="316">
        <v>0</v>
      </c>
      <c r="T295" s="316">
        <v>0</v>
      </c>
      <c r="U295" s="316">
        <v>0</v>
      </c>
      <c r="V295" s="316">
        <v>0</v>
      </c>
      <c r="W295" s="316">
        <v>0</v>
      </c>
      <c r="X295" s="316">
        <v>0</v>
      </c>
      <c r="Y295" s="316">
        <v>1</v>
      </c>
      <c r="Z295" s="316">
        <v>1</v>
      </c>
      <c r="AA295" s="316">
        <v>1</v>
      </c>
      <c r="AB295" s="316">
        <v>1</v>
      </c>
      <c r="AC295" s="316">
        <v>1</v>
      </c>
      <c r="AD295" s="316">
        <v>1</v>
      </c>
      <c r="AE295" s="316">
        <v>1</v>
      </c>
      <c r="AF295" s="316">
        <v>1</v>
      </c>
      <c r="AG295" s="316">
        <v>1</v>
      </c>
      <c r="AH295" s="316">
        <v>1</v>
      </c>
      <c r="AI295" s="316">
        <v>1</v>
      </c>
      <c r="AJ295" s="316">
        <v>1</v>
      </c>
      <c r="AK295" s="316">
        <v>1</v>
      </c>
      <c r="AL295" s="316">
        <v>1</v>
      </c>
      <c r="AM295" s="316">
        <v>1</v>
      </c>
      <c r="AN295" s="316">
        <v>1</v>
      </c>
      <c r="AO295" s="316">
        <v>1</v>
      </c>
      <c r="AP295" s="316">
        <v>1</v>
      </c>
      <c r="AQ295" s="316">
        <v>1</v>
      </c>
      <c r="AR295" s="316">
        <v>1</v>
      </c>
      <c r="AS295" s="316">
        <v>1</v>
      </c>
      <c r="AT295" s="316">
        <v>1</v>
      </c>
    </row>
    <row r="296" spans="2:46" ht="12.75" hidden="1" customHeight="1" x14ac:dyDescent="0.15">
      <c r="B296" s="315">
        <v>1130</v>
      </c>
      <c r="C296" s="319" t="s">
        <v>805</v>
      </c>
      <c r="D296" s="313" t="s">
        <v>101</v>
      </c>
      <c r="E296" s="313" t="s">
        <v>1793</v>
      </c>
      <c r="F296" s="319" t="s">
        <v>1637</v>
      </c>
      <c r="G296" s="315" t="e">
        <f>_xlfn.XLOOKUP(B296,'WFP Details - 2026'!A:A,'WFP Details - 2026'!Z:Z)</f>
        <v>#N/A</v>
      </c>
      <c r="H296" s="314">
        <v>46461</v>
      </c>
      <c r="I296" s="315">
        <v>3</v>
      </c>
      <c r="J296" s="315">
        <v>2027</v>
      </c>
      <c r="K296" s="316">
        <v>0</v>
      </c>
      <c r="L296" s="316">
        <v>0</v>
      </c>
      <c r="M296" s="316">
        <v>0</v>
      </c>
      <c r="N296" s="316">
        <v>0</v>
      </c>
      <c r="O296" s="316">
        <v>0</v>
      </c>
      <c r="P296" s="316">
        <v>0</v>
      </c>
      <c r="Q296" s="316">
        <v>0</v>
      </c>
      <c r="R296" s="316">
        <v>0</v>
      </c>
      <c r="S296" s="316">
        <v>0</v>
      </c>
      <c r="T296" s="316">
        <v>0</v>
      </c>
      <c r="U296" s="316">
        <v>0</v>
      </c>
      <c r="V296" s="316">
        <v>0</v>
      </c>
      <c r="W296" s="316">
        <v>0</v>
      </c>
      <c r="X296" s="316">
        <v>0</v>
      </c>
      <c r="Y296" s="316">
        <v>1</v>
      </c>
      <c r="Z296" s="316">
        <v>1</v>
      </c>
      <c r="AA296" s="316">
        <v>1</v>
      </c>
      <c r="AB296" s="316">
        <v>1</v>
      </c>
      <c r="AC296" s="316">
        <v>1</v>
      </c>
      <c r="AD296" s="316">
        <v>1</v>
      </c>
      <c r="AE296" s="316">
        <v>1</v>
      </c>
      <c r="AF296" s="316">
        <v>1</v>
      </c>
      <c r="AG296" s="316">
        <v>1</v>
      </c>
      <c r="AH296" s="316">
        <v>1</v>
      </c>
      <c r="AI296" s="316">
        <v>1</v>
      </c>
      <c r="AJ296" s="316">
        <v>1</v>
      </c>
      <c r="AK296" s="316">
        <v>1</v>
      </c>
      <c r="AL296" s="316">
        <v>1</v>
      </c>
      <c r="AM296" s="316">
        <v>1</v>
      </c>
      <c r="AN296" s="316">
        <v>1</v>
      </c>
      <c r="AO296" s="316">
        <v>1</v>
      </c>
      <c r="AP296" s="316">
        <v>1</v>
      </c>
      <c r="AQ296" s="316">
        <v>1</v>
      </c>
      <c r="AR296" s="316">
        <v>1</v>
      </c>
      <c r="AS296" s="316">
        <v>1</v>
      </c>
      <c r="AT296" s="316">
        <v>1</v>
      </c>
    </row>
    <row r="297" spans="2:46" ht="12.75" hidden="1" customHeight="1" x14ac:dyDescent="0.15">
      <c r="B297" s="315">
        <v>5227</v>
      </c>
      <c r="C297" s="319" t="s">
        <v>805</v>
      </c>
      <c r="D297" s="313" t="s">
        <v>101</v>
      </c>
      <c r="E297" s="313" t="s">
        <v>1793</v>
      </c>
      <c r="F297" s="319" t="s">
        <v>1610</v>
      </c>
      <c r="G297" s="315" t="e">
        <f>_xlfn.XLOOKUP(B297,'WFP Details - 2026'!A:A,'WFP Details - 2026'!Z:Z)</f>
        <v>#N/A</v>
      </c>
      <c r="H297" s="314">
        <v>46461</v>
      </c>
      <c r="I297" s="315">
        <v>3</v>
      </c>
      <c r="J297" s="315">
        <v>2027</v>
      </c>
      <c r="K297" s="316">
        <v>0</v>
      </c>
      <c r="L297" s="316">
        <v>0</v>
      </c>
      <c r="M297" s="316">
        <v>0</v>
      </c>
      <c r="N297" s="316">
        <v>0</v>
      </c>
      <c r="O297" s="316">
        <v>0</v>
      </c>
      <c r="P297" s="316">
        <v>0</v>
      </c>
      <c r="Q297" s="316">
        <v>0</v>
      </c>
      <c r="R297" s="316">
        <v>0</v>
      </c>
      <c r="S297" s="316">
        <v>0</v>
      </c>
      <c r="T297" s="316">
        <v>0</v>
      </c>
      <c r="U297" s="316">
        <v>0</v>
      </c>
      <c r="V297" s="316">
        <v>0</v>
      </c>
      <c r="W297" s="316">
        <v>0</v>
      </c>
      <c r="X297" s="316">
        <v>0</v>
      </c>
      <c r="Y297" s="316">
        <v>1</v>
      </c>
      <c r="Z297" s="316">
        <v>1</v>
      </c>
      <c r="AA297" s="316">
        <v>1</v>
      </c>
      <c r="AB297" s="316">
        <v>1</v>
      </c>
      <c r="AC297" s="316">
        <v>1</v>
      </c>
      <c r="AD297" s="316">
        <v>1</v>
      </c>
      <c r="AE297" s="316">
        <v>1</v>
      </c>
      <c r="AF297" s="316">
        <v>1</v>
      </c>
      <c r="AG297" s="316">
        <v>1</v>
      </c>
      <c r="AH297" s="316">
        <v>1</v>
      </c>
      <c r="AI297" s="316">
        <v>1</v>
      </c>
      <c r="AJ297" s="316">
        <v>1</v>
      </c>
      <c r="AK297" s="316">
        <v>1</v>
      </c>
      <c r="AL297" s="316">
        <v>1</v>
      </c>
      <c r="AM297" s="316">
        <v>1</v>
      </c>
      <c r="AN297" s="316">
        <v>1</v>
      </c>
      <c r="AO297" s="316">
        <v>1</v>
      </c>
      <c r="AP297" s="316">
        <v>1</v>
      </c>
      <c r="AQ297" s="316">
        <v>1</v>
      </c>
      <c r="AR297" s="316">
        <v>1</v>
      </c>
      <c r="AS297" s="316">
        <v>1</v>
      </c>
      <c r="AT297" s="316">
        <v>1</v>
      </c>
    </row>
    <row r="298" spans="2:46" ht="12.75" hidden="1" customHeight="1" x14ac:dyDescent="0.15">
      <c r="B298" s="315">
        <v>5229</v>
      </c>
      <c r="C298" s="319" t="s">
        <v>805</v>
      </c>
      <c r="D298" s="313" t="s">
        <v>101</v>
      </c>
      <c r="E298" s="313" t="s">
        <v>1793</v>
      </c>
      <c r="F298" s="319" t="s">
        <v>1639</v>
      </c>
      <c r="G298" s="315" t="e">
        <f>_xlfn.XLOOKUP(B298,'WFP Details - 2026'!A:A,'WFP Details - 2026'!Z:Z)</f>
        <v>#N/A</v>
      </c>
      <c r="H298" s="314">
        <v>46461</v>
      </c>
      <c r="I298" s="315">
        <v>3</v>
      </c>
      <c r="J298" s="315">
        <v>2027</v>
      </c>
      <c r="K298" s="316">
        <v>0</v>
      </c>
      <c r="L298" s="316">
        <v>0</v>
      </c>
      <c r="M298" s="316">
        <v>0</v>
      </c>
      <c r="N298" s="316">
        <v>0</v>
      </c>
      <c r="O298" s="316">
        <v>0</v>
      </c>
      <c r="P298" s="316">
        <v>0</v>
      </c>
      <c r="Q298" s="316">
        <v>0</v>
      </c>
      <c r="R298" s="316">
        <v>0</v>
      </c>
      <c r="S298" s="316">
        <v>0</v>
      </c>
      <c r="T298" s="316">
        <v>0</v>
      </c>
      <c r="U298" s="316">
        <v>0</v>
      </c>
      <c r="V298" s="316">
        <v>0</v>
      </c>
      <c r="W298" s="316">
        <v>0</v>
      </c>
      <c r="X298" s="316">
        <v>0</v>
      </c>
      <c r="Y298" s="316">
        <v>1</v>
      </c>
      <c r="Z298" s="316">
        <v>1</v>
      </c>
      <c r="AA298" s="316">
        <v>1</v>
      </c>
      <c r="AB298" s="316">
        <v>1</v>
      </c>
      <c r="AC298" s="316">
        <v>1</v>
      </c>
      <c r="AD298" s="316">
        <v>1</v>
      </c>
      <c r="AE298" s="316">
        <v>1</v>
      </c>
      <c r="AF298" s="316">
        <v>1</v>
      </c>
      <c r="AG298" s="316">
        <v>1</v>
      </c>
      <c r="AH298" s="316">
        <v>1</v>
      </c>
      <c r="AI298" s="316">
        <v>1</v>
      </c>
      <c r="AJ298" s="316">
        <v>1</v>
      </c>
      <c r="AK298" s="316">
        <v>1</v>
      </c>
      <c r="AL298" s="316">
        <v>1</v>
      </c>
      <c r="AM298" s="316">
        <v>1</v>
      </c>
      <c r="AN298" s="316">
        <v>1</v>
      </c>
      <c r="AO298" s="316">
        <v>1</v>
      </c>
      <c r="AP298" s="316">
        <v>1</v>
      </c>
      <c r="AQ298" s="316">
        <v>1</v>
      </c>
      <c r="AR298" s="316">
        <v>1</v>
      </c>
      <c r="AS298" s="316">
        <v>1</v>
      </c>
      <c r="AT298" s="316">
        <v>1</v>
      </c>
    </row>
    <row r="299" spans="2:46" ht="12.75" hidden="1" customHeight="1" x14ac:dyDescent="0.15">
      <c r="B299" s="315">
        <v>5233</v>
      </c>
      <c r="C299" s="319" t="s">
        <v>805</v>
      </c>
      <c r="D299" s="313" t="s">
        <v>101</v>
      </c>
      <c r="E299" s="313" t="s">
        <v>1793</v>
      </c>
      <c r="F299" s="319" t="s">
        <v>885</v>
      </c>
      <c r="G299" s="315" t="e">
        <f>_xlfn.XLOOKUP(B299,'WFP Details - 2026'!A:A,'WFP Details - 2026'!Z:Z)</f>
        <v>#N/A</v>
      </c>
      <c r="H299" s="314">
        <v>46461</v>
      </c>
      <c r="I299" s="315">
        <v>3</v>
      </c>
      <c r="J299" s="315">
        <v>2027</v>
      </c>
      <c r="K299" s="316">
        <v>0</v>
      </c>
      <c r="L299" s="316">
        <v>0</v>
      </c>
      <c r="M299" s="316">
        <v>0</v>
      </c>
      <c r="N299" s="316">
        <v>0</v>
      </c>
      <c r="O299" s="316">
        <v>0</v>
      </c>
      <c r="P299" s="316">
        <v>0</v>
      </c>
      <c r="Q299" s="316">
        <v>0</v>
      </c>
      <c r="R299" s="316">
        <v>0</v>
      </c>
      <c r="S299" s="316">
        <v>0</v>
      </c>
      <c r="T299" s="316">
        <v>0</v>
      </c>
      <c r="U299" s="316">
        <v>0</v>
      </c>
      <c r="V299" s="316">
        <v>0</v>
      </c>
      <c r="W299" s="316">
        <v>0</v>
      </c>
      <c r="X299" s="316">
        <v>0</v>
      </c>
      <c r="Y299" s="316">
        <v>1</v>
      </c>
      <c r="Z299" s="316">
        <v>1</v>
      </c>
      <c r="AA299" s="316">
        <v>1</v>
      </c>
      <c r="AB299" s="316">
        <v>1</v>
      </c>
      <c r="AC299" s="316">
        <v>1</v>
      </c>
      <c r="AD299" s="316">
        <v>1</v>
      </c>
      <c r="AE299" s="316">
        <v>1</v>
      </c>
      <c r="AF299" s="316">
        <v>1</v>
      </c>
      <c r="AG299" s="316">
        <v>1</v>
      </c>
      <c r="AH299" s="316">
        <v>1</v>
      </c>
      <c r="AI299" s="316">
        <v>1</v>
      </c>
      <c r="AJ299" s="316">
        <v>1</v>
      </c>
      <c r="AK299" s="316">
        <v>1</v>
      </c>
      <c r="AL299" s="316">
        <v>1</v>
      </c>
      <c r="AM299" s="316">
        <v>1</v>
      </c>
      <c r="AN299" s="316">
        <v>1</v>
      </c>
      <c r="AO299" s="316">
        <v>1</v>
      </c>
      <c r="AP299" s="316">
        <v>1</v>
      </c>
      <c r="AQ299" s="316">
        <v>1</v>
      </c>
      <c r="AR299" s="316">
        <v>1</v>
      </c>
      <c r="AS299" s="316">
        <v>1</v>
      </c>
      <c r="AT299" s="316">
        <v>1</v>
      </c>
    </row>
    <row r="300" spans="2:46" ht="12.75" hidden="1" customHeight="1" x14ac:dyDescent="0.15">
      <c r="B300" s="315">
        <v>5235</v>
      </c>
      <c r="C300" s="319" t="s">
        <v>805</v>
      </c>
      <c r="D300" s="313" t="s">
        <v>101</v>
      </c>
      <c r="E300" s="313" t="s">
        <v>1795</v>
      </c>
      <c r="F300" s="319" t="s">
        <v>1647</v>
      </c>
      <c r="G300" s="315" t="e">
        <f>_xlfn.XLOOKUP(B300,'WFP Details - 2026'!A:A,'WFP Details - 2026'!Z:Z)</f>
        <v>#N/A</v>
      </c>
      <c r="H300" s="314">
        <v>46461</v>
      </c>
      <c r="I300" s="315">
        <v>3</v>
      </c>
      <c r="J300" s="315">
        <v>2027</v>
      </c>
      <c r="K300" s="316">
        <v>0</v>
      </c>
      <c r="L300" s="316">
        <v>0</v>
      </c>
      <c r="M300" s="316">
        <v>0</v>
      </c>
      <c r="N300" s="316">
        <v>0</v>
      </c>
      <c r="O300" s="316">
        <v>0</v>
      </c>
      <c r="P300" s="316">
        <v>0</v>
      </c>
      <c r="Q300" s="316">
        <v>0</v>
      </c>
      <c r="R300" s="316">
        <v>0</v>
      </c>
      <c r="S300" s="316">
        <v>0</v>
      </c>
      <c r="T300" s="316">
        <v>0</v>
      </c>
      <c r="U300" s="316">
        <v>0</v>
      </c>
      <c r="V300" s="316">
        <v>0</v>
      </c>
      <c r="W300" s="316">
        <v>0</v>
      </c>
      <c r="X300" s="316">
        <v>0</v>
      </c>
      <c r="Y300" s="316">
        <v>1</v>
      </c>
      <c r="Z300" s="316">
        <v>1</v>
      </c>
      <c r="AA300" s="316">
        <v>1</v>
      </c>
      <c r="AB300" s="316">
        <v>1</v>
      </c>
      <c r="AC300" s="316">
        <v>1</v>
      </c>
      <c r="AD300" s="316">
        <v>1</v>
      </c>
      <c r="AE300" s="316">
        <v>1</v>
      </c>
      <c r="AF300" s="316">
        <v>1</v>
      </c>
      <c r="AG300" s="316">
        <v>1</v>
      </c>
      <c r="AH300" s="316">
        <v>1</v>
      </c>
      <c r="AI300" s="316">
        <v>1</v>
      </c>
      <c r="AJ300" s="316">
        <v>1</v>
      </c>
      <c r="AK300" s="316">
        <v>1</v>
      </c>
      <c r="AL300" s="316">
        <v>1</v>
      </c>
      <c r="AM300" s="316">
        <v>1</v>
      </c>
      <c r="AN300" s="316">
        <v>1</v>
      </c>
      <c r="AO300" s="316">
        <v>1</v>
      </c>
      <c r="AP300" s="316">
        <v>1</v>
      </c>
      <c r="AQ300" s="316">
        <v>1</v>
      </c>
      <c r="AR300" s="316">
        <v>1</v>
      </c>
      <c r="AS300" s="316">
        <v>1</v>
      </c>
      <c r="AT300" s="316">
        <v>1</v>
      </c>
    </row>
    <row r="301" spans="2:46" ht="12.75" hidden="1" customHeight="1" x14ac:dyDescent="0.15">
      <c r="B301" s="315">
        <v>5237</v>
      </c>
      <c r="C301" s="319" t="s">
        <v>805</v>
      </c>
      <c r="D301" s="313" t="s">
        <v>101</v>
      </c>
      <c r="E301" s="313" t="s">
        <v>1793</v>
      </c>
      <c r="F301" s="319" t="s">
        <v>1650</v>
      </c>
      <c r="G301" s="315" t="e">
        <f>_xlfn.XLOOKUP(B301,'WFP Details - 2026'!A:A,'WFP Details - 2026'!Z:Z)</f>
        <v>#N/A</v>
      </c>
      <c r="H301" s="314">
        <v>46461</v>
      </c>
      <c r="I301" s="315">
        <v>3</v>
      </c>
      <c r="J301" s="315">
        <v>2027</v>
      </c>
      <c r="K301" s="316">
        <v>0</v>
      </c>
      <c r="L301" s="316">
        <v>0</v>
      </c>
      <c r="M301" s="316">
        <v>0</v>
      </c>
      <c r="N301" s="316">
        <v>0</v>
      </c>
      <c r="O301" s="316">
        <v>0</v>
      </c>
      <c r="P301" s="316">
        <v>0</v>
      </c>
      <c r="Q301" s="316">
        <v>0</v>
      </c>
      <c r="R301" s="316">
        <v>0</v>
      </c>
      <c r="S301" s="316">
        <v>0</v>
      </c>
      <c r="T301" s="316">
        <v>0</v>
      </c>
      <c r="U301" s="316">
        <v>0</v>
      </c>
      <c r="V301" s="316">
        <v>0</v>
      </c>
      <c r="W301" s="316">
        <v>0</v>
      </c>
      <c r="X301" s="316">
        <v>0</v>
      </c>
      <c r="Y301" s="316">
        <v>1</v>
      </c>
      <c r="Z301" s="316">
        <v>1</v>
      </c>
      <c r="AA301" s="316">
        <v>1</v>
      </c>
      <c r="AB301" s="316">
        <v>1</v>
      </c>
      <c r="AC301" s="316">
        <v>1</v>
      </c>
      <c r="AD301" s="316">
        <v>1</v>
      </c>
      <c r="AE301" s="316">
        <v>1</v>
      </c>
      <c r="AF301" s="316">
        <v>1</v>
      </c>
      <c r="AG301" s="316">
        <v>1</v>
      </c>
      <c r="AH301" s="316">
        <v>1</v>
      </c>
      <c r="AI301" s="316">
        <v>1</v>
      </c>
      <c r="AJ301" s="316">
        <v>1</v>
      </c>
      <c r="AK301" s="316">
        <v>1</v>
      </c>
      <c r="AL301" s="316">
        <v>1</v>
      </c>
      <c r="AM301" s="316">
        <v>1</v>
      </c>
      <c r="AN301" s="316">
        <v>1</v>
      </c>
      <c r="AO301" s="316">
        <v>1</v>
      </c>
      <c r="AP301" s="316">
        <v>1</v>
      </c>
      <c r="AQ301" s="316">
        <v>1</v>
      </c>
      <c r="AR301" s="316">
        <v>1</v>
      </c>
      <c r="AS301" s="316">
        <v>1</v>
      </c>
      <c r="AT301" s="316">
        <v>1</v>
      </c>
    </row>
    <row r="302" spans="2:46" ht="12.75" hidden="1" customHeight="1" x14ac:dyDescent="0.15">
      <c r="B302" s="315">
        <v>5238</v>
      </c>
      <c r="C302" s="319" t="s">
        <v>805</v>
      </c>
      <c r="D302" s="313" t="s">
        <v>101</v>
      </c>
      <c r="E302" s="313" t="s">
        <v>1794</v>
      </c>
      <c r="F302" s="319" t="s">
        <v>1651</v>
      </c>
      <c r="G302" s="315" t="e">
        <f>_xlfn.XLOOKUP(B302,'WFP Details - 2026'!A:A,'WFP Details - 2026'!Z:Z)</f>
        <v>#N/A</v>
      </c>
      <c r="H302" s="314">
        <v>46461</v>
      </c>
      <c r="I302" s="315">
        <v>3</v>
      </c>
      <c r="J302" s="315">
        <v>2027</v>
      </c>
      <c r="K302" s="316">
        <v>0</v>
      </c>
      <c r="L302" s="316">
        <v>0</v>
      </c>
      <c r="M302" s="316">
        <v>0</v>
      </c>
      <c r="N302" s="316">
        <v>0</v>
      </c>
      <c r="O302" s="316">
        <v>0</v>
      </c>
      <c r="P302" s="316">
        <v>0</v>
      </c>
      <c r="Q302" s="316">
        <v>0</v>
      </c>
      <c r="R302" s="316">
        <v>0</v>
      </c>
      <c r="S302" s="316">
        <v>0</v>
      </c>
      <c r="T302" s="316">
        <v>0</v>
      </c>
      <c r="U302" s="316">
        <v>0</v>
      </c>
      <c r="V302" s="316">
        <v>0</v>
      </c>
      <c r="W302" s="316">
        <v>0</v>
      </c>
      <c r="X302" s="316">
        <v>0</v>
      </c>
      <c r="Y302" s="316">
        <v>1</v>
      </c>
      <c r="Z302" s="316">
        <v>1</v>
      </c>
      <c r="AA302" s="316">
        <v>1</v>
      </c>
      <c r="AB302" s="316">
        <v>1</v>
      </c>
      <c r="AC302" s="316">
        <v>1</v>
      </c>
      <c r="AD302" s="316">
        <v>1</v>
      </c>
      <c r="AE302" s="316">
        <v>1</v>
      </c>
      <c r="AF302" s="316">
        <v>1</v>
      </c>
      <c r="AG302" s="316">
        <v>1</v>
      </c>
      <c r="AH302" s="316">
        <v>1</v>
      </c>
      <c r="AI302" s="316">
        <v>1</v>
      </c>
      <c r="AJ302" s="316">
        <v>1</v>
      </c>
      <c r="AK302" s="316">
        <v>1</v>
      </c>
      <c r="AL302" s="316">
        <v>1</v>
      </c>
      <c r="AM302" s="316">
        <v>1</v>
      </c>
      <c r="AN302" s="316">
        <v>1</v>
      </c>
      <c r="AO302" s="316">
        <v>1</v>
      </c>
      <c r="AP302" s="316">
        <v>1</v>
      </c>
      <c r="AQ302" s="316">
        <v>1</v>
      </c>
      <c r="AR302" s="316">
        <v>1</v>
      </c>
      <c r="AS302" s="316">
        <v>1</v>
      </c>
      <c r="AT302" s="316">
        <v>1</v>
      </c>
    </row>
    <row r="303" spans="2:46" ht="12.75" hidden="1" customHeight="1" x14ac:dyDescent="0.15">
      <c r="B303" s="315">
        <v>5245</v>
      </c>
      <c r="C303" s="319" t="s">
        <v>805</v>
      </c>
      <c r="D303" s="313" t="s">
        <v>101</v>
      </c>
      <c r="E303" s="313" t="s">
        <v>1805</v>
      </c>
      <c r="F303" s="319" t="s">
        <v>1613</v>
      </c>
      <c r="G303" s="315" t="e">
        <f>_xlfn.XLOOKUP(B303,'WFP Details - 2026'!A:A,'WFP Details - 2026'!Z:Z)</f>
        <v>#N/A</v>
      </c>
      <c r="H303" s="314">
        <v>46461</v>
      </c>
      <c r="I303" s="315">
        <v>3</v>
      </c>
      <c r="J303" s="315">
        <v>2027</v>
      </c>
      <c r="K303" s="316">
        <v>0</v>
      </c>
      <c r="L303" s="316">
        <v>0</v>
      </c>
      <c r="M303" s="316">
        <v>0</v>
      </c>
      <c r="N303" s="316">
        <v>0</v>
      </c>
      <c r="O303" s="316">
        <v>0</v>
      </c>
      <c r="P303" s="316">
        <v>0</v>
      </c>
      <c r="Q303" s="316">
        <v>0</v>
      </c>
      <c r="R303" s="316">
        <v>0</v>
      </c>
      <c r="S303" s="316">
        <v>0</v>
      </c>
      <c r="T303" s="316">
        <v>0</v>
      </c>
      <c r="U303" s="316">
        <v>0</v>
      </c>
      <c r="V303" s="316">
        <v>0</v>
      </c>
      <c r="W303" s="316">
        <v>0</v>
      </c>
      <c r="X303" s="316">
        <v>0</v>
      </c>
      <c r="Y303" s="316">
        <v>1</v>
      </c>
      <c r="Z303" s="316">
        <v>1</v>
      </c>
      <c r="AA303" s="316">
        <v>1</v>
      </c>
      <c r="AB303" s="316">
        <v>1</v>
      </c>
      <c r="AC303" s="316">
        <v>1</v>
      </c>
      <c r="AD303" s="316">
        <v>1</v>
      </c>
      <c r="AE303" s="316">
        <v>1</v>
      </c>
      <c r="AF303" s="316">
        <v>1</v>
      </c>
      <c r="AG303" s="316">
        <v>1</v>
      </c>
      <c r="AH303" s="316">
        <v>1</v>
      </c>
      <c r="AI303" s="316">
        <v>1</v>
      </c>
      <c r="AJ303" s="316">
        <v>1</v>
      </c>
      <c r="AK303" s="316">
        <v>1</v>
      </c>
      <c r="AL303" s="316">
        <v>1</v>
      </c>
      <c r="AM303" s="316">
        <v>1</v>
      </c>
      <c r="AN303" s="316">
        <v>1</v>
      </c>
      <c r="AO303" s="316">
        <v>1</v>
      </c>
      <c r="AP303" s="316">
        <v>1</v>
      </c>
      <c r="AQ303" s="316">
        <v>1</v>
      </c>
      <c r="AR303" s="316">
        <v>1</v>
      </c>
      <c r="AS303" s="316">
        <v>1</v>
      </c>
      <c r="AT303" s="316">
        <v>1</v>
      </c>
    </row>
    <row r="304" spans="2:46" ht="12.75" hidden="1" customHeight="1" x14ac:dyDescent="0.15">
      <c r="B304" s="315">
        <v>5248</v>
      </c>
      <c r="C304" s="321" t="s">
        <v>805</v>
      </c>
      <c r="D304" s="322" t="s">
        <v>101</v>
      </c>
      <c r="E304" s="322" t="s">
        <v>1795</v>
      </c>
      <c r="F304" s="321" t="s">
        <v>1615</v>
      </c>
      <c r="G304" s="315" t="e">
        <f>_xlfn.XLOOKUP(B304,'WFP Details - 2026'!A:A,'WFP Details - 2026'!Z:Z)</f>
        <v>#N/A</v>
      </c>
      <c r="H304" s="314">
        <v>46461</v>
      </c>
      <c r="I304" s="315">
        <v>3</v>
      </c>
      <c r="J304" s="315">
        <v>2027</v>
      </c>
      <c r="K304" s="316">
        <v>0</v>
      </c>
      <c r="L304" s="316">
        <v>0</v>
      </c>
      <c r="M304" s="316">
        <v>0</v>
      </c>
      <c r="N304" s="316">
        <v>0</v>
      </c>
      <c r="O304" s="316">
        <v>0</v>
      </c>
      <c r="P304" s="316">
        <v>0</v>
      </c>
      <c r="Q304" s="316">
        <v>0</v>
      </c>
      <c r="R304" s="316">
        <v>0</v>
      </c>
      <c r="S304" s="316">
        <v>0</v>
      </c>
      <c r="T304" s="316">
        <v>0</v>
      </c>
      <c r="U304" s="316">
        <v>0</v>
      </c>
      <c r="V304" s="316">
        <v>0</v>
      </c>
      <c r="W304" s="316">
        <v>0</v>
      </c>
      <c r="X304" s="316">
        <v>0</v>
      </c>
      <c r="Y304" s="316">
        <v>1</v>
      </c>
      <c r="Z304" s="316">
        <v>1</v>
      </c>
      <c r="AA304" s="316">
        <v>1</v>
      </c>
      <c r="AB304" s="316">
        <v>1</v>
      </c>
      <c r="AC304" s="316">
        <v>1</v>
      </c>
      <c r="AD304" s="316">
        <v>1</v>
      </c>
      <c r="AE304" s="316">
        <v>1</v>
      </c>
      <c r="AF304" s="316">
        <v>1</v>
      </c>
      <c r="AG304" s="316">
        <v>1</v>
      </c>
      <c r="AH304" s="316">
        <v>1</v>
      </c>
      <c r="AI304" s="316">
        <v>1</v>
      </c>
      <c r="AJ304" s="316">
        <v>1</v>
      </c>
      <c r="AK304" s="316">
        <v>1</v>
      </c>
      <c r="AL304" s="316">
        <v>1</v>
      </c>
      <c r="AM304" s="316">
        <v>1</v>
      </c>
      <c r="AN304" s="316">
        <v>1</v>
      </c>
      <c r="AO304" s="316">
        <v>1</v>
      </c>
      <c r="AP304" s="316">
        <v>1</v>
      </c>
      <c r="AQ304" s="316">
        <v>1</v>
      </c>
      <c r="AR304" s="316">
        <v>1</v>
      </c>
      <c r="AS304" s="316">
        <v>1</v>
      </c>
      <c r="AT304" s="316">
        <v>1</v>
      </c>
    </row>
    <row r="305" spans="2:46" ht="12.75" hidden="1" customHeight="1" x14ac:dyDescent="0.15">
      <c r="B305" s="315">
        <v>5255</v>
      </c>
      <c r="C305" s="319" t="s">
        <v>805</v>
      </c>
      <c r="D305" s="313" t="s">
        <v>101</v>
      </c>
      <c r="E305" s="313" t="s">
        <v>1793</v>
      </c>
      <c r="F305" s="319" t="s">
        <v>1626</v>
      </c>
      <c r="G305" s="315" t="e">
        <f>_xlfn.XLOOKUP(B305,'WFP Details - 2026'!A:A,'WFP Details - 2026'!Z:Z)</f>
        <v>#N/A</v>
      </c>
      <c r="H305" s="314">
        <v>46461</v>
      </c>
      <c r="I305" s="315">
        <v>3</v>
      </c>
      <c r="J305" s="315">
        <v>2027</v>
      </c>
      <c r="K305" s="316">
        <v>0</v>
      </c>
      <c r="L305" s="316">
        <v>0</v>
      </c>
      <c r="M305" s="316">
        <v>0</v>
      </c>
      <c r="N305" s="316">
        <v>0</v>
      </c>
      <c r="O305" s="316">
        <v>0</v>
      </c>
      <c r="P305" s="316">
        <v>0</v>
      </c>
      <c r="Q305" s="316">
        <v>0</v>
      </c>
      <c r="R305" s="316">
        <v>0</v>
      </c>
      <c r="S305" s="316">
        <v>0</v>
      </c>
      <c r="T305" s="316">
        <v>0</v>
      </c>
      <c r="U305" s="316">
        <v>0</v>
      </c>
      <c r="V305" s="316">
        <v>0</v>
      </c>
      <c r="W305" s="316">
        <v>0</v>
      </c>
      <c r="X305" s="316">
        <v>0</v>
      </c>
      <c r="Y305" s="316">
        <v>1</v>
      </c>
      <c r="Z305" s="316">
        <v>1</v>
      </c>
      <c r="AA305" s="316">
        <v>1</v>
      </c>
      <c r="AB305" s="316">
        <v>1</v>
      </c>
      <c r="AC305" s="316">
        <v>1</v>
      </c>
      <c r="AD305" s="316">
        <v>1</v>
      </c>
      <c r="AE305" s="316">
        <v>1</v>
      </c>
      <c r="AF305" s="316">
        <v>1</v>
      </c>
      <c r="AG305" s="316">
        <v>1</v>
      </c>
      <c r="AH305" s="316">
        <v>1</v>
      </c>
      <c r="AI305" s="316">
        <v>1</v>
      </c>
      <c r="AJ305" s="316">
        <v>1</v>
      </c>
      <c r="AK305" s="316">
        <v>1</v>
      </c>
      <c r="AL305" s="316">
        <v>1</v>
      </c>
      <c r="AM305" s="316">
        <v>1</v>
      </c>
      <c r="AN305" s="316">
        <v>1</v>
      </c>
      <c r="AO305" s="316">
        <v>1</v>
      </c>
      <c r="AP305" s="316">
        <v>1</v>
      </c>
      <c r="AQ305" s="316">
        <v>1</v>
      </c>
      <c r="AR305" s="316">
        <v>1</v>
      </c>
      <c r="AS305" s="316">
        <v>1</v>
      </c>
      <c r="AT305" s="316">
        <v>1</v>
      </c>
    </row>
    <row r="306" spans="2:46" ht="12.75" hidden="1" customHeight="1" x14ac:dyDescent="0.15">
      <c r="B306" s="315">
        <v>5257</v>
      </c>
      <c r="C306" s="319" t="s">
        <v>805</v>
      </c>
      <c r="D306" s="313" t="s">
        <v>101</v>
      </c>
      <c r="E306" s="313" t="s">
        <v>1793</v>
      </c>
      <c r="F306" s="319" t="s">
        <v>1629</v>
      </c>
      <c r="G306" s="315" t="e">
        <f>_xlfn.XLOOKUP(B306,'WFP Details - 2026'!A:A,'WFP Details - 2026'!Z:Z)</f>
        <v>#N/A</v>
      </c>
      <c r="H306" s="314">
        <v>46461</v>
      </c>
      <c r="I306" s="315">
        <v>3</v>
      </c>
      <c r="J306" s="315">
        <v>2027</v>
      </c>
      <c r="K306" s="316">
        <v>0</v>
      </c>
      <c r="L306" s="316">
        <v>0</v>
      </c>
      <c r="M306" s="316">
        <v>0</v>
      </c>
      <c r="N306" s="316">
        <v>0</v>
      </c>
      <c r="O306" s="316">
        <v>0</v>
      </c>
      <c r="P306" s="316">
        <v>0</v>
      </c>
      <c r="Q306" s="316">
        <v>0</v>
      </c>
      <c r="R306" s="316">
        <v>0</v>
      </c>
      <c r="S306" s="316">
        <v>0</v>
      </c>
      <c r="T306" s="316">
        <v>0</v>
      </c>
      <c r="U306" s="316">
        <v>0</v>
      </c>
      <c r="V306" s="316">
        <v>0</v>
      </c>
      <c r="W306" s="316">
        <v>0</v>
      </c>
      <c r="X306" s="316">
        <v>0</v>
      </c>
      <c r="Y306" s="316">
        <v>1</v>
      </c>
      <c r="Z306" s="316">
        <v>1</v>
      </c>
      <c r="AA306" s="316">
        <v>1</v>
      </c>
      <c r="AB306" s="316">
        <v>1</v>
      </c>
      <c r="AC306" s="316">
        <v>1</v>
      </c>
      <c r="AD306" s="316">
        <v>1</v>
      </c>
      <c r="AE306" s="316">
        <v>1</v>
      </c>
      <c r="AF306" s="316">
        <v>1</v>
      </c>
      <c r="AG306" s="316">
        <v>1</v>
      </c>
      <c r="AH306" s="316">
        <v>1</v>
      </c>
      <c r="AI306" s="316">
        <v>1</v>
      </c>
      <c r="AJ306" s="316">
        <v>1</v>
      </c>
      <c r="AK306" s="316">
        <v>1</v>
      </c>
      <c r="AL306" s="316">
        <v>1</v>
      </c>
      <c r="AM306" s="316">
        <v>1</v>
      </c>
      <c r="AN306" s="316">
        <v>1</v>
      </c>
      <c r="AO306" s="316">
        <v>1</v>
      </c>
      <c r="AP306" s="316">
        <v>1</v>
      </c>
      <c r="AQ306" s="316">
        <v>1</v>
      </c>
      <c r="AR306" s="316">
        <v>1</v>
      </c>
      <c r="AS306" s="316">
        <v>1</v>
      </c>
      <c r="AT306" s="316">
        <v>1</v>
      </c>
    </row>
    <row r="307" spans="2:46" ht="12.75" hidden="1" customHeight="1" x14ac:dyDescent="0.15">
      <c r="B307" s="315">
        <v>5236</v>
      </c>
      <c r="C307" s="319" t="s">
        <v>805</v>
      </c>
      <c r="D307" s="313" t="s">
        <v>101</v>
      </c>
      <c r="E307" s="313" t="s">
        <v>1793</v>
      </c>
      <c r="F307" s="319" t="s">
        <v>1659</v>
      </c>
      <c r="G307" s="315" t="e">
        <f>_xlfn.XLOOKUP(B307,'WFP Details - 2026'!A:A,'WFP Details - 2026'!Z:Z)</f>
        <v>#N/A</v>
      </c>
      <c r="H307" s="314">
        <v>46553</v>
      </c>
      <c r="I307" s="315">
        <v>6</v>
      </c>
      <c r="J307" s="315">
        <v>2027</v>
      </c>
      <c r="K307" s="316">
        <v>0</v>
      </c>
      <c r="L307" s="316">
        <v>0</v>
      </c>
      <c r="M307" s="316">
        <v>0</v>
      </c>
      <c r="N307" s="316">
        <v>0</v>
      </c>
      <c r="O307" s="316">
        <v>0</v>
      </c>
      <c r="P307" s="316">
        <v>0</v>
      </c>
      <c r="Q307" s="316">
        <v>0</v>
      </c>
      <c r="R307" s="316">
        <v>0</v>
      </c>
      <c r="S307" s="316">
        <v>0</v>
      </c>
      <c r="T307" s="316">
        <v>0</v>
      </c>
      <c r="U307" s="316">
        <v>0</v>
      </c>
      <c r="V307" s="316">
        <v>0</v>
      </c>
      <c r="W307" s="316">
        <v>0</v>
      </c>
      <c r="X307" s="316">
        <v>0</v>
      </c>
      <c r="Y307" s="316">
        <v>0</v>
      </c>
      <c r="Z307" s="316">
        <v>0</v>
      </c>
      <c r="AA307" s="316">
        <v>0</v>
      </c>
      <c r="AB307" s="316">
        <v>1</v>
      </c>
      <c r="AC307" s="316">
        <v>1</v>
      </c>
      <c r="AD307" s="316">
        <v>1</v>
      </c>
      <c r="AE307" s="316">
        <v>1</v>
      </c>
      <c r="AF307" s="316">
        <v>1</v>
      </c>
      <c r="AG307" s="316">
        <v>1</v>
      </c>
      <c r="AH307" s="316">
        <v>1</v>
      </c>
      <c r="AI307" s="316">
        <v>1</v>
      </c>
      <c r="AJ307" s="316">
        <v>1</v>
      </c>
      <c r="AK307" s="316">
        <v>1</v>
      </c>
      <c r="AL307" s="316">
        <v>1</v>
      </c>
      <c r="AM307" s="316">
        <v>1</v>
      </c>
      <c r="AN307" s="316">
        <v>1</v>
      </c>
      <c r="AO307" s="316">
        <v>1</v>
      </c>
      <c r="AP307" s="316">
        <v>1</v>
      </c>
      <c r="AQ307" s="316">
        <v>1</v>
      </c>
      <c r="AR307" s="316">
        <v>1</v>
      </c>
      <c r="AS307" s="316">
        <v>1</v>
      </c>
      <c r="AT307" s="316">
        <v>1</v>
      </c>
    </row>
    <row r="308" spans="2:46" ht="12.75" hidden="1" customHeight="1" x14ac:dyDescent="0.15">
      <c r="B308" s="315">
        <v>1131</v>
      </c>
      <c r="C308" s="319" t="s">
        <v>805</v>
      </c>
      <c r="D308" s="313" t="s">
        <v>101</v>
      </c>
      <c r="E308" s="313" t="s">
        <v>1793</v>
      </c>
      <c r="F308" s="319" t="s">
        <v>853</v>
      </c>
      <c r="G308" s="315" t="e">
        <f>_xlfn.XLOOKUP(B308,'WFP Details - 2026'!A:A,'WFP Details - 2026'!Z:Z)</f>
        <v>#N/A</v>
      </c>
      <c r="H308" s="314">
        <v>46645</v>
      </c>
      <c r="I308" s="315">
        <v>9</v>
      </c>
      <c r="J308" s="315">
        <v>2027</v>
      </c>
      <c r="K308" s="316">
        <v>0</v>
      </c>
      <c r="L308" s="316">
        <v>0</v>
      </c>
      <c r="M308" s="316">
        <v>0</v>
      </c>
      <c r="N308" s="316">
        <v>0</v>
      </c>
      <c r="O308" s="316">
        <v>0</v>
      </c>
      <c r="P308" s="316">
        <v>0</v>
      </c>
      <c r="Q308" s="316">
        <v>0</v>
      </c>
      <c r="R308" s="316">
        <v>0</v>
      </c>
      <c r="S308" s="316">
        <v>0</v>
      </c>
      <c r="T308" s="316">
        <v>0</v>
      </c>
      <c r="U308" s="316">
        <v>0</v>
      </c>
      <c r="V308" s="316">
        <v>0</v>
      </c>
      <c r="W308" s="316">
        <v>0</v>
      </c>
      <c r="X308" s="316">
        <v>0</v>
      </c>
      <c r="Y308" s="316">
        <v>0</v>
      </c>
      <c r="Z308" s="316">
        <v>0</v>
      </c>
      <c r="AA308" s="316">
        <v>0</v>
      </c>
      <c r="AB308" s="316">
        <v>0</v>
      </c>
      <c r="AC308" s="316">
        <v>0</v>
      </c>
      <c r="AD308" s="316">
        <v>0</v>
      </c>
      <c r="AE308" s="316">
        <v>1</v>
      </c>
      <c r="AF308" s="316">
        <v>1</v>
      </c>
      <c r="AG308" s="316">
        <v>1</v>
      </c>
      <c r="AH308" s="316">
        <v>1</v>
      </c>
      <c r="AI308" s="316">
        <v>1</v>
      </c>
      <c r="AJ308" s="316">
        <v>1</v>
      </c>
      <c r="AK308" s="316">
        <v>1</v>
      </c>
      <c r="AL308" s="316">
        <v>1</v>
      </c>
      <c r="AM308" s="316">
        <v>1</v>
      </c>
      <c r="AN308" s="316">
        <v>1</v>
      </c>
      <c r="AO308" s="316">
        <v>1</v>
      </c>
      <c r="AP308" s="316">
        <v>1</v>
      </c>
      <c r="AQ308" s="316">
        <v>1</v>
      </c>
      <c r="AR308" s="316">
        <v>1</v>
      </c>
      <c r="AS308" s="316">
        <v>1</v>
      </c>
      <c r="AT308" s="316">
        <v>1</v>
      </c>
    </row>
    <row r="309" spans="2:46" ht="12.75" hidden="1" customHeight="1" x14ac:dyDescent="0.15">
      <c r="B309" s="315">
        <v>5254</v>
      </c>
      <c r="C309" s="319" t="s">
        <v>805</v>
      </c>
      <c r="D309" s="313" t="s">
        <v>101</v>
      </c>
      <c r="E309" s="313" t="s">
        <v>1793</v>
      </c>
      <c r="F309" s="319" t="s">
        <v>1626</v>
      </c>
      <c r="G309" s="315" t="e">
        <f>_xlfn.XLOOKUP(B309,'WFP Details - 2026'!A:A,'WFP Details - 2026'!Z:Z)</f>
        <v>#N/A</v>
      </c>
      <c r="H309" s="314">
        <v>46645</v>
      </c>
      <c r="I309" s="315">
        <v>9</v>
      </c>
      <c r="J309" s="315">
        <v>2027</v>
      </c>
      <c r="K309" s="316">
        <v>0</v>
      </c>
      <c r="L309" s="316">
        <v>0</v>
      </c>
      <c r="M309" s="316">
        <v>0</v>
      </c>
      <c r="N309" s="316">
        <v>0</v>
      </c>
      <c r="O309" s="316">
        <v>0</v>
      </c>
      <c r="P309" s="316">
        <v>0</v>
      </c>
      <c r="Q309" s="316">
        <v>0</v>
      </c>
      <c r="R309" s="316">
        <v>0</v>
      </c>
      <c r="S309" s="316">
        <v>0</v>
      </c>
      <c r="T309" s="316">
        <v>0</v>
      </c>
      <c r="U309" s="316">
        <v>0</v>
      </c>
      <c r="V309" s="316">
        <v>0</v>
      </c>
      <c r="W309" s="316">
        <v>0</v>
      </c>
      <c r="X309" s="316">
        <v>0</v>
      </c>
      <c r="Y309" s="316">
        <v>0</v>
      </c>
      <c r="Z309" s="316">
        <v>0</v>
      </c>
      <c r="AA309" s="316">
        <v>0</v>
      </c>
      <c r="AB309" s="316">
        <v>0</v>
      </c>
      <c r="AC309" s="316">
        <v>0</v>
      </c>
      <c r="AD309" s="316">
        <v>0</v>
      </c>
      <c r="AE309" s="316">
        <v>1</v>
      </c>
      <c r="AF309" s="316">
        <v>1</v>
      </c>
      <c r="AG309" s="316">
        <v>1</v>
      </c>
      <c r="AH309" s="316">
        <v>1</v>
      </c>
      <c r="AI309" s="316">
        <v>1</v>
      </c>
      <c r="AJ309" s="316">
        <v>1</v>
      </c>
      <c r="AK309" s="316">
        <v>1</v>
      </c>
      <c r="AL309" s="316">
        <v>1</v>
      </c>
      <c r="AM309" s="316">
        <v>1</v>
      </c>
      <c r="AN309" s="316">
        <v>1</v>
      </c>
      <c r="AO309" s="316">
        <v>1</v>
      </c>
      <c r="AP309" s="316">
        <v>1</v>
      </c>
      <c r="AQ309" s="316">
        <v>1</v>
      </c>
      <c r="AR309" s="316">
        <v>1</v>
      </c>
      <c r="AS309" s="316">
        <v>1</v>
      </c>
      <c r="AT309" s="316">
        <v>1</v>
      </c>
    </row>
    <row r="310" spans="2:46" ht="12.75" hidden="1" customHeight="1" x14ac:dyDescent="0.15">
      <c r="B310" s="315">
        <v>5256</v>
      </c>
      <c r="C310" s="319" t="s">
        <v>805</v>
      </c>
      <c r="D310" s="313" t="s">
        <v>101</v>
      </c>
      <c r="E310" s="313" t="s">
        <v>1805</v>
      </c>
      <c r="F310" s="319" t="s">
        <v>1666</v>
      </c>
      <c r="G310" s="315" t="e">
        <f>_xlfn.XLOOKUP(B310,'WFP Details - 2026'!A:A,'WFP Details - 2026'!Z:Z)</f>
        <v>#N/A</v>
      </c>
      <c r="H310" s="314">
        <v>46736</v>
      </c>
      <c r="I310" s="315">
        <v>12</v>
      </c>
      <c r="J310" s="315">
        <v>2027</v>
      </c>
      <c r="K310" s="316">
        <v>0</v>
      </c>
      <c r="L310" s="316">
        <v>0</v>
      </c>
      <c r="M310" s="316">
        <v>0</v>
      </c>
      <c r="N310" s="316">
        <v>0</v>
      </c>
      <c r="O310" s="316">
        <v>0</v>
      </c>
      <c r="P310" s="316">
        <v>0</v>
      </c>
      <c r="Q310" s="316">
        <v>0</v>
      </c>
      <c r="R310" s="316">
        <v>0</v>
      </c>
      <c r="S310" s="316">
        <v>0</v>
      </c>
      <c r="T310" s="316">
        <v>0</v>
      </c>
      <c r="U310" s="316">
        <v>0</v>
      </c>
      <c r="V310" s="316">
        <v>0</v>
      </c>
      <c r="W310" s="316">
        <v>0</v>
      </c>
      <c r="X310" s="316">
        <v>0</v>
      </c>
      <c r="Y310" s="316">
        <v>0</v>
      </c>
      <c r="Z310" s="316">
        <v>0</v>
      </c>
      <c r="AA310" s="316">
        <v>0</v>
      </c>
      <c r="AB310" s="316">
        <v>0</v>
      </c>
      <c r="AC310" s="316">
        <v>0</v>
      </c>
      <c r="AD310" s="316">
        <v>0</v>
      </c>
      <c r="AE310" s="316">
        <v>0</v>
      </c>
      <c r="AF310" s="316">
        <v>0</v>
      </c>
      <c r="AG310" s="316">
        <v>0</v>
      </c>
      <c r="AH310" s="316">
        <v>1</v>
      </c>
      <c r="AI310" s="316">
        <v>1</v>
      </c>
      <c r="AJ310" s="316">
        <v>1</v>
      </c>
      <c r="AK310" s="316">
        <v>1</v>
      </c>
      <c r="AL310" s="316">
        <v>1</v>
      </c>
      <c r="AM310" s="316">
        <v>1</v>
      </c>
      <c r="AN310" s="316">
        <v>1</v>
      </c>
      <c r="AO310" s="316">
        <v>1</v>
      </c>
      <c r="AP310" s="316">
        <v>1</v>
      </c>
      <c r="AQ310" s="316">
        <v>1</v>
      </c>
      <c r="AR310" s="316">
        <v>1</v>
      </c>
      <c r="AS310" s="316">
        <v>1</v>
      </c>
      <c r="AT310" s="316">
        <v>1</v>
      </c>
    </row>
    <row r="311" spans="2:46" ht="12.75" hidden="1" customHeight="1" x14ac:dyDescent="0.15">
      <c r="B311" s="315">
        <v>1152</v>
      </c>
      <c r="C311" s="319" t="s">
        <v>805</v>
      </c>
      <c r="D311" s="313" t="s">
        <v>101</v>
      </c>
      <c r="E311" s="313" t="s">
        <v>1793</v>
      </c>
      <c r="F311" s="319" t="s">
        <v>853</v>
      </c>
      <c r="G311" s="315" t="e">
        <f>_xlfn.XLOOKUP(B311,'WFP Details - 2026'!A:A,'WFP Details - 2026'!Z:Z)</f>
        <v>#N/A</v>
      </c>
      <c r="H311" s="314">
        <v>46827</v>
      </c>
      <c r="I311" s="315">
        <v>3</v>
      </c>
      <c r="J311" s="315">
        <v>2028</v>
      </c>
      <c r="K311" s="316">
        <v>0</v>
      </c>
      <c r="L311" s="316">
        <v>0</v>
      </c>
      <c r="M311" s="316">
        <v>0</v>
      </c>
      <c r="N311" s="316">
        <v>0</v>
      </c>
      <c r="O311" s="316">
        <v>0</v>
      </c>
      <c r="P311" s="316">
        <v>0</v>
      </c>
      <c r="Q311" s="316">
        <v>0</v>
      </c>
      <c r="R311" s="316">
        <v>0</v>
      </c>
      <c r="S311" s="316">
        <v>0</v>
      </c>
      <c r="T311" s="316">
        <v>0</v>
      </c>
      <c r="U311" s="316">
        <v>0</v>
      </c>
      <c r="V311" s="316">
        <v>0</v>
      </c>
      <c r="W311" s="316">
        <v>0</v>
      </c>
      <c r="X311" s="316">
        <v>0</v>
      </c>
      <c r="Y311" s="316">
        <v>0</v>
      </c>
      <c r="Z311" s="316">
        <v>0</v>
      </c>
      <c r="AA311" s="316">
        <v>0</v>
      </c>
      <c r="AB311" s="316">
        <v>0</v>
      </c>
      <c r="AC311" s="316">
        <v>0</v>
      </c>
      <c r="AD311" s="316">
        <v>0</v>
      </c>
      <c r="AE311" s="316">
        <v>0</v>
      </c>
      <c r="AF311" s="316">
        <v>0</v>
      </c>
      <c r="AG311" s="316">
        <v>0</v>
      </c>
      <c r="AH311" s="316">
        <v>0</v>
      </c>
      <c r="AI311" s="316">
        <v>0</v>
      </c>
      <c r="AJ311" s="316">
        <v>0</v>
      </c>
      <c r="AK311" s="316">
        <v>1</v>
      </c>
      <c r="AL311" s="316">
        <v>1</v>
      </c>
      <c r="AM311" s="316">
        <v>1</v>
      </c>
      <c r="AN311" s="316">
        <v>1</v>
      </c>
      <c r="AO311" s="316">
        <v>1</v>
      </c>
      <c r="AP311" s="316">
        <v>1</v>
      </c>
      <c r="AQ311" s="316">
        <v>1</v>
      </c>
      <c r="AR311" s="316">
        <v>1</v>
      </c>
      <c r="AS311" s="316">
        <v>1</v>
      </c>
      <c r="AT311" s="316">
        <v>1</v>
      </c>
    </row>
    <row r="312" spans="2:46" ht="12.75" hidden="1" customHeight="1" x14ac:dyDescent="0.15">
      <c r="B312" s="315">
        <v>1120</v>
      </c>
      <c r="C312" s="319" t="s">
        <v>805</v>
      </c>
      <c r="D312" s="313" t="s">
        <v>101</v>
      </c>
      <c r="E312" s="313" t="s">
        <v>1793</v>
      </c>
      <c r="F312" s="319" t="s">
        <v>853</v>
      </c>
      <c r="G312" s="315" t="e">
        <f>_xlfn.XLOOKUP(B312,'WFP Details - 2026'!A:A,'WFP Details - 2026'!Z:Z)</f>
        <v>#N/A</v>
      </c>
      <c r="H312" s="314">
        <v>46919</v>
      </c>
      <c r="I312" s="315">
        <v>6</v>
      </c>
      <c r="J312" s="315">
        <v>2028</v>
      </c>
      <c r="K312" s="316">
        <v>0</v>
      </c>
      <c r="L312" s="316">
        <v>0</v>
      </c>
      <c r="M312" s="316">
        <v>0</v>
      </c>
      <c r="N312" s="316">
        <v>0</v>
      </c>
      <c r="O312" s="316">
        <v>0</v>
      </c>
      <c r="P312" s="316">
        <v>0</v>
      </c>
      <c r="Q312" s="316">
        <v>0</v>
      </c>
      <c r="R312" s="316">
        <v>0</v>
      </c>
      <c r="S312" s="316">
        <v>0</v>
      </c>
      <c r="T312" s="316">
        <v>0</v>
      </c>
      <c r="U312" s="316">
        <v>0</v>
      </c>
      <c r="V312" s="316">
        <v>0</v>
      </c>
      <c r="W312" s="316">
        <v>0</v>
      </c>
      <c r="X312" s="316">
        <v>0</v>
      </c>
      <c r="Y312" s="316">
        <v>0</v>
      </c>
      <c r="Z312" s="316">
        <v>0</v>
      </c>
      <c r="AA312" s="316">
        <v>0</v>
      </c>
      <c r="AB312" s="316">
        <v>0</v>
      </c>
      <c r="AC312" s="316">
        <v>0</v>
      </c>
      <c r="AD312" s="316">
        <v>0</v>
      </c>
      <c r="AE312" s="316">
        <v>0</v>
      </c>
      <c r="AF312" s="316">
        <v>0</v>
      </c>
      <c r="AG312" s="316">
        <v>0</v>
      </c>
      <c r="AH312" s="316">
        <v>0</v>
      </c>
      <c r="AI312" s="316">
        <v>0</v>
      </c>
      <c r="AJ312" s="316">
        <v>0</v>
      </c>
      <c r="AK312" s="316">
        <v>0</v>
      </c>
      <c r="AL312" s="316">
        <v>0</v>
      </c>
      <c r="AM312" s="316">
        <v>0</v>
      </c>
      <c r="AN312" s="316">
        <v>1</v>
      </c>
      <c r="AO312" s="316">
        <v>1</v>
      </c>
      <c r="AP312" s="316">
        <v>1</v>
      </c>
      <c r="AQ312" s="316">
        <v>1</v>
      </c>
      <c r="AR312" s="316">
        <v>1</v>
      </c>
      <c r="AS312" s="316">
        <v>1</v>
      </c>
      <c r="AT312" s="316">
        <v>1</v>
      </c>
    </row>
    <row r="313" spans="2:46" ht="12.75" customHeight="1" x14ac:dyDescent="0.15">
      <c r="B313" s="315">
        <v>1045</v>
      </c>
      <c r="C313" s="319" t="s">
        <v>1034</v>
      </c>
      <c r="D313" s="313" t="s">
        <v>1905</v>
      </c>
      <c r="E313" s="319" t="s">
        <v>1793</v>
      </c>
      <c r="F313" s="319" t="s">
        <v>1035</v>
      </c>
      <c r="G313" s="315" t="str">
        <f>_xlfn.XLOOKUP(B313,'WFP Details - 2026'!A:A,'WFP Details - 2026'!Z:Z)</f>
        <v>x</v>
      </c>
      <c r="H313" s="314">
        <v>45530</v>
      </c>
      <c r="I313" s="315">
        <v>8</v>
      </c>
      <c r="J313" s="315">
        <v>2024</v>
      </c>
      <c r="K313" s="316">
        <v>1</v>
      </c>
      <c r="L313" s="316">
        <v>1</v>
      </c>
      <c r="M313" s="316">
        <v>1</v>
      </c>
      <c r="N313" s="316">
        <v>1</v>
      </c>
      <c r="O313" s="316">
        <v>1</v>
      </c>
      <c r="P313" s="316">
        <v>1</v>
      </c>
      <c r="Q313" s="316">
        <v>1</v>
      </c>
      <c r="R313" s="316">
        <v>1</v>
      </c>
      <c r="S313" s="316">
        <v>1</v>
      </c>
      <c r="T313" s="316">
        <v>1</v>
      </c>
      <c r="U313" s="316">
        <v>1</v>
      </c>
      <c r="V313" s="316">
        <v>1</v>
      </c>
      <c r="W313" s="316">
        <v>1</v>
      </c>
      <c r="X313" s="316">
        <v>1</v>
      </c>
      <c r="Y313" s="316">
        <v>1</v>
      </c>
      <c r="Z313" s="316">
        <v>1</v>
      </c>
      <c r="AA313" s="316">
        <v>1</v>
      </c>
      <c r="AB313" s="316">
        <v>1</v>
      </c>
      <c r="AC313" s="316">
        <v>1</v>
      </c>
      <c r="AD313" s="316">
        <v>1</v>
      </c>
      <c r="AE313" s="316">
        <v>1</v>
      </c>
      <c r="AF313" s="316">
        <v>1</v>
      </c>
      <c r="AG313" s="316">
        <v>1</v>
      </c>
      <c r="AH313" s="316">
        <v>1</v>
      </c>
      <c r="AI313" s="316">
        <v>1</v>
      </c>
      <c r="AJ313" s="316">
        <v>1</v>
      </c>
      <c r="AK313" s="316">
        <v>1</v>
      </c>
      <c r="AL313" s="316">
        <v>1</v>
      </c>
      <c r="AM313" s="316">
        <v>1</v>
      </c>
      <c r="AN313" s="316">
        <v>1</v>
      </c>
      <c r="AO313" s="316">
        <v>1</v>
      </c>
      <c r="AP313" s="316">
        <v>1</v>
      </c>
      <c r="AQ313" s="316">
        <v>1</v>
      </c>
      <c r="AR313" s="316">
        <v>1</v>
      </c>
      <c r="AS313" s="316">
        <v>1</v>
      </c>
      <c r="AT313" s="316">
        <v>1</v>
      </c>
    </row>
    <row r="314" spans="2:46" ht="12.75" customHeight="1" x14ac:dyDescent="0.15">
      <c r="B314" s="315">
        <v>1222</v>
      </c>
      <c r="C314" s="319" t="s">
        <v>1034</v>
      </c>
      <c r="D314" s="313" t="s">
        <v>1042</v>
      </c>
      <c r="E314" s="319" t="s">
        <v>1810</v>
      </c>
      <c r="F314" s="319" t="s">
        <v>1039</v>
      </c>
      <c r="G314" s="315" t="str">
        <f>_xlfn.XLOOKUP(B314,'WFP Details - 2026'!A:A,'WFP Details - 2026'!Z:Z)</f>
        <v>x</v>
      </c>
      <c r="H314" s="314">
        <v>45593</v>
      </c>
      <c r="I314" s="315">
        <v>10</v>
      </c>
      <c r="J314" s="315">
        <v>2024</v>
      </c>
      <c r="K314" s="316">
        <v>1</v>
      </c>
      <c r="L314" s="316">
        <v>1</v>
      </c>
      <c r="M314" s="316">
        <v>1</v>
      </c>
      <c r="N314" s="316">
        <v>1</v>
      </c>
      <c r="O314" s="316">
        <v>1</v>
      </c>
      <c r="P314" s="316">
        <v>1</v>
      </c>
      <c r="Q314" s="316">
        <v>1</v>
      </c>
      <c r="R314" s="316">
        <v>1</v>
      </c>
      <c r="S314" s="316">
        <v>1</v>
      </c>
      <c r="T314" s="316">
        <v>1</v>
      </c>
      <c r="U314" s="316">
        <v>1</v>
      </c>
      <c r="V314" s="316">
        <v>1</v>
      </c>
      <c r="W314" s="316">
        <v>1</v>
      </c>
      <c r="X314" s="316">
        <v>1</v>
      </c>
      <c r="Y314" s="316">
        <v>1</v>
      </c>
      <c r="Z314" s="316">
        <v>1</v>
      </c>
      <c r="AA314" s="316">
        <v>1</v>
      </c>
      <c r="AB314" s="316">
        <v>1</v>
      </c>
      <c r="AC314" s="316">
        <v>1</v>
      </c>
      <c r="AD314" s="316">
        <v>1</v>
      </c>
      <c r="AE314" s="316">
        <v>1</v>
      </c>
      <c r="AF314" s="316">
        <v>1</v>
      </c>
      <c r="AG314" s="316">
        <v>1</v>
      </c>
      <c r="AH314" s="316">
        <v>1</v>
      </c>
      <c r="AI314" s="316">
        <v>1</v>
      </c>
      <c r="AJ314" s="316">
        <v>1</v>
      </c>
      <c r="AK314" s="316">
        <v>1</v>
      </c>
      <c r="AL314" s="316">
        <v>1</v>
      </c>
      <c r="AM314" s="316">
        <v>1</v>
      </c>
      <c r="AN314" s="316">
        <v>1</v>
      </c>
      <c r="AO314" s="316">
        <v>1</v>
      </c>
      <c r="AP314" s="316">
        <v>1</v>
      </c>
      <c r="AQ314" s="316">
        <v>1</v>
      </c>
      <c r="AR314" s="316">
        <v>1</v>
      </c>
      <c r="AS314" s="316">
        <v>1</v>
      </c>
      <c r="AT314" s="316">
        <v>1</v>
      </c>
    </row>
    <row r="315" spans="2:46" ht="12.75" customHeight="1" x14ac:dyDescent="0.15">
      <c r="B315" s="315">
        <v>1220</v>
      </c>
      <c r="C315" s="319" t="s">
        <v>1034</v>
      </c>
      <c r="D315" s="313" t="s">
        <v>1064</v>
      </c>
      <c r="E315" s="319" t="s">
        <v>1792</v>
      </c>
      <c r="F315" s="319" t="s">
        <v>1906</v>
      </c>
      <c r="G315" s="315" t="str">
        <f>_xlfn.XLOOKUP(B315,'WFP Details - 2026'!A:A,'WFP Details - 2026'!Z:Z)</f>
        <v>x</v>
      </c>
      <c r="H315" s="314">
        <v>45670</v>
      </c>
      <c r="I315" s="315">
        <v>1</v>
      </c>
      <c r="J315" s="315">
        <v>2025</v>
      </c>
      <c r="K315" s="316">
        <v>1</v>
      </c>
      <c r="L315" s="316">
        <v>1</v>
      </c>
      <c r="M315" s="316">
        <v>1</v>
      </c>
      <c r="N315" s="316">
        <v>1</v>
      </c>
      <c r="O315" s="316">
        <v>1</v>
      </c>
      <c r="P315" s="316">
        <v>1</v>
      </c>
      <c r="Q315" s="316">
        <v>1</v>
      </c>
      <c r="R315" s="316">
        <v>1</v>
      </c>
      <c r="S315" s="316">
        <v>1</v>
      </c>
      <c r="T315" s="316">
        <v>1</v>
      </c>
      <c r="U315" s="316">
        <v>1</v>
      </c>
      <c r="V315" s="316">
        <v>1</v>
      </c>
      <c r="W315" s="316">
        <v>1</v>
      </c>
      <c r="X315" s="316">
        <v>1</v>
      </c>
      <c r="Y315" s="316">
        <v>1</v>
      </c>
      <c r="Z315" s="316">
        <v>1</v>
      </c>
      <c r="AA315" s="316">
        <v>1</v>
      </c>
      <c r="AB315" s="316">
        <v>1</v>
      </c>
      <c r="AC315" s="316">
        <v>1</v>
      </c>
      <c r="AD315" s="316">
        <v>1</v>
      </c>
      <c r="AE315" s="316">
        <v>1</v>
      </c>
      <c r="AF315" s="316">
        <v>1</v>
      </c>
      <c r="AG315" s="316">
        <v>1</v>
      </c>
      <c r="AH315" s="316">
        <v>1</v>
      </c>
      <c r="AI315" s="316">
        <v>1</v>
      </c>
      <c r="AJ315" s="316">
        <v>1</v>
      </c>
      <c r="AK315" s="316">
        <v>1</v>
      </c>
      <c r="AL315" s="316">
        <v>1</v>
      </c>
      <c r="AM315" s="316">
        <v>1</v>
      </c>
      <c r="AN315" s="316">
        <v>1</v>
      </c>
      <c r="AO315" s="316">
        <v>1</v>
      </c>
      <c r="AP315" s="316">
        <v>1</v>
      </c>
      <c r="AQ315" s="316">
        <v>1</v>
      </c>
      <c r="AR315" s="316">
        <v>1</v>
      </c>
      <c r="AS315" s="316">
        <v>1</v>
      </c>
      <c r="AT315" s="316">
        <v>1</v>
      </c>
    </row>
    <row r="316" spans="2:46" ht="12.75" customHeight="1" x14ac:dyDescent="0.15">
      <c r="B316" s="315">
        <v>1200</v>
      </c>
      <c r="C316" s="319" t="s">
        <v>1034</v>
      </c>
      <c r="D316" s="313" t="s">
        <v>1907</v>
      </c>
      <c r="E316" s="319" t="s">
        <v>1817</v>
      </c>
      <c r="F316" s="319" t="s">
        <v>1908</v>
      </c>
      <c r="G316" s="315" t="str">
        <f>_xlfn.XLOOKUP(B316,'WFP Details - 2026'!A:A,'WFP Details - 2026'!Z:Z)</f>
        <v>x</v>
      </c>
      <c r="H316" s="314">
        <v>45706</v>
      </c>
      <c r="I316" s="315">
        <v>2</v>
      </c>
      <c r="J316" s="315">
        <v>2025</v>
      </c>
      <c r="K316" s="316">
        <v>1</v>
      </c>
      <c r="L316" s="316">
        <v>1</v>
      </c>
      <c r="M316" s="316">
        <v>1</v>
      </c>
      <c r="N316" s="316">
        <v>1</v>
      </c>
      <c r="O316" s="316">
        <v>1</v>
      </c>
      <c r="P316" s="316">
        <v>1</v>
      </c>
      <c r="Q316" s="316">
        <v>1</v>
      </c>
      <c r="R316" s="316">
        <v>1</v>
      </c>
      <c r="S316" s="316">
        <v>1</v>
      </c>
      <c r="T316" s="316">
        <v>1</v>
      </c>
      <c r="U316" s="316">
        <v>1</v>
      </c>
      <c r="V316" s="316">
        <v>1</v>
      </c>
      <c r="W316" s="316">
        <v>1</v>
      </c>
      <c r="X316" s="316">
        <v>1</v>
      </c>
      <c r="Y316" s="316">
        <v>1</v>
      </c>
      <c r="Z316" s="316">
        <v>1</v>
      </c>
      <c r="AA316" s="316">
        <v>1</v>
      </c>
      <c r="AB316" s="316">
        <v>1</v>
      </c>
      <c r="AC316" s="316">
        <v>1</v>
      </c>
      <c r="AD316" s="316">
        <v>1</v>
      </c>
      <c r="AE316" s="316">
        <v>1</v>
      </c>
      <c r="AF316" s="316">
        <v>1</v>
      </c>
      <c r="AG316" s="316">
        <v>1</v>
      </c>
      <c r="AH316" s="316">
        <v>1</v>
      </c>
      <c r="AI316" s="316">
        <v>1</v>
      </c>
      <c r="AJ316" s="316">
        <v>1</v>
      </c>
      <c r="AK316" s="316">
        <v>1</v>
      </c>
      <c r="AL316" s="316">
        <v>1</v>
      </c>
      <c r="AM316" s="316">
        <v>1</v>
      </c>
      <c r="AN316" s="316">
        <v>1</v>
      </c>
      <c r="AO316" s="316">
        <v>1</v>
      </c>
      <c r="AP316" s="316">
        <v>1</v>
      </c>
      <c r="AQ316" s="316">
        <v>1</v>
      </c>
      <c r="AR316" s="316">
        <v>1</v>
      </c>
      <c r="AS316" s="316">
        <v>1</v>
      </c>
      <c r="AT316" s="316">
        <v>1</v>
      </c>
    </row>
    <row r="317" spans="2:46" ht="12.75" customHeight="1" x14ac:dyDescent="0.15">
      <c r="B317" s="315">
        <v>1221</v>
      </c>
      <c r="C317" s="319" t="s">
        <v>1034</v>
      </c>
      <c r="D317" s="313" t="s">
        <v>1100</v>
      </c>
      <c r="E317" s="319" t="s">
        <v>1817</v>
      </c>
      <c r="F317" s="319" t="s">
        <v>1909</v>
      </c>
      <c r="G317" s="315" t="str">
        <f>_xlfn.XLOOKUP(B317,'WFP Details - 2026'!A:A,'WFP Details - 2026'!Z:Z)</f>
        <v>x</v>
      </c>
      <c r="H317" s="314">
        <v>45712</v>
      </c>
      <c r="I317" s="315">
        <v>2</v>
      </c>
      <c r="J317" s="315">
        <v>2025</v>
      </c>
      <c r="K317" s="316">
        <v>1</v>
      </c>
      <c r="L317" s="316">
        <v>1</v>
      </c>
      <c r="M317" s="316">
        <v>1</v>
      </c>
      <c r="N317" s="316">
        <v>1</v>
      </c>
      <c r="O317" s="316">
        <v>1</v>
      </c>
      <c r="P317" s="316">
        <v>1</v>
      </c>
      <c r="Q317" s="316">
        <v>1</v>
      </c>
      <c r="R317" s="316">
        <v>1</v>
      </c>
      <c r="S317" s="316">
        <v>1</v>
      </c>
      <c r="T317" s="316">
        <v>1</v>
      </c>
      <c r="U317" s="316">
        <v>1</v>
      </c>
      <c r="V317" s="316">
        <v>1</v>
      </c>
      <c r="W317" s="316">
        <v>1</v>
      </c>
      <c r="X317" s="316">
        <v>1</v>
      </c>
      <c r="Y317" s="316">
        <v>1</v>
      </c>
      <c r="Z317" s="316">
        <v>1</v>
      </c>
      <c r="AA317" s="316">
        <v>1</v>
      </c>
      <c r="AB317" s="316">
        <v>1</v>
      </c>
      <c r="AC317" s="316">
        <v>1</v>
      </c>
      <c r="AD317" s="316">
        <v>1</v>
      </c>
      <c r="AE317" s="316">
        <v>1</v>
      </c>
      <c r="AF317" s="316">
        <v>1</v>
      </c>
      <c r="AG317" s="316">
        <v>1</v>
      </c>
      <c r="AH317" s="316">
        <v>1</v>
      </c>
      <c r="AI317" s="316">
        <v>1</v>
      </c>
      <c r="AJ317" s="316">
        <v>1</v>
      </c>
      <c r="AK317" s="316">
        <v>1</v>
      </c>
      <c r="AL317" s="316">
        <v>1</v>
      </c>
      <c r="AM317" s="316">
        <v>1</v>
      </c>
      <c r="AN317" s="316">
        <v>1</v>
      </c>
      <c r="AO317" s="316">
        <v>1</v>
      </c>
      <c r="AP317" s="316">
        <v>1</v>
      </c>
      <c r="AQ317" s="316">
        <v>1</v>
      </c>
      <c r="AR317" s="316">
        <v>1</v>
      </c>
      <c r="AS317" s="316">
        <v>1</v>
      </c>
      <c r="AT317" s="316">
        <v>1</v>
      </c>
    </row>
    <row r="318" spans="2:46" ht="12.75" customHeight="1" x14ac:dyDescent="0.15">
      <c r="B318" s="315">
        <v>1206</v>
      </c>
      <c r="C318" s="319" t="s">
        <v>1034</v>
      </c>
      <c r="D318" s="313" t="s">
        <v>1060</v>
      </c>
      <c r="E318" s="319" t="s">
        <v>1792</v>
      </c>
      <c r="F318" s="319" t="s">
        <v>1910</v>
      </c>
      <c r="G318" s="315" t="str">
        <f>_xlfn.XLOOKUP(B318,'WFP Details - 2026'!A:A,'WFP Details - 2026'!Z:Z)</f>
        <v>x</v>
      </c>
      <c r="H318" s="314">
        <v>45747</v>
      </c>
      <c r="I318" s="315">
        <v>3</v>
      </c>
      <c r="J318" s="315">
        <v>2025</v>
      </c>
      <c r="K318" s="316">
        <v>1</v>
      </c>
      <c r="L318" s="316">
        <v>1</v>
      </c>
      <c r="M318" s="316">
        <v>1</v>
      </c>
      <c r="N318" s="316">
        <v>1</v>
      </c>
      <c r="O318" s="316">
        <v>1</v>
      </c>
      <c r="P318" s="316">
        <v>1</v>
      </c>
      <c r="Q318" s="316">
        <v>1</v>
      </c>
      <c r="R318" s="316">
        <v>1</v>
      </c>
      <c r="S318" s="316">
        <v>1</v>
      </c>
      <c r="T318" s="316">
        <v>1</v>
      </c>
      <c r="U318" s="316">
        <v>1</v>
      </c>
      <c r="V318" s="316">
        <v>1</v>
      </c>
      <c r="W318" s="316">
        <v>1</v>
      </c>
      <c r="X318" s="316">
        <v>1</v>
      </c>
      <c r="Y318" s="316">
        <v>1</v>
      </c>
      <c r="Z318" s="316">
        <v>1</v>
      </c>
      <c r="AA318" s="316">
        <v>1</v>
      </c>
      <c r="AB318" s="316">
        <v>1</v>
      </c>
      <c r="AC318" s="316">
        <v>1</v>
      </c>
      <c r="AD318" s="316">
        <v>1</v>
      </c>
      <c r="AE318" s="316">
        <v>1</v>
      </c>
      <c r="AF318" s="316">
        <v>1</v>
      </c>
      <c r="AG318" s="316">
        <v>1</v>
      </c>
      <c r="AH318" s="316">
        <v>1</v>
      </c>
      <c r="AI318" s="316">
        <v>1</v>
      </c>
      <c r="AJ318" s="316">
        <v>1</v>
      </c>
      <c r="AK318" s="316">
        <v>1</v>
      </c>
      <c r="AL318" s="316">
        <v>1</v>
      </c>
      <c r="AM318" s="316">
        <v>1</v>
      </c>
      <c r="AN318" s="316">
        <v>1</v>
      </c>
      <c r="AO318" s="316">
        <v>1</v>
      </c>
      <c r="AP318" s="316">
        <v>1</v>
      </c>
      <c r="AQ318" s="316">
        <v>1</v>
      </c>
      <c r="AR318" s="316">
        <v>1</v>
      </c>
      <c r="AS318" s="316">
        <v>1</v>
      </c>
      <c r="AT318" s="316">
        <v>1</v>
      </c>
    </row>
    <row r="319" spans="2:46" ht="12.75" customHeight="1" x14ac:dyDescent="0.15">
      <c r="B319" s="315">
        <v>1219</v>
      </c>
      <c r="C319" s="319" t="s">
        <v>1034</v>
      </c>
      <c r="D319" s="313" t="s">
        <v>1177</v>
      </c>
      <c r="E319" s="319" t="s">
        <v>1792</v>
      </c>
      <c r="F319" s="319" t="s">
        <v>1089</v>
      </c>
      <c r="G319" s="315" t="str">
        <f>_xlfn.XLOOKUP(B319,'WFP Details - 2026'!A:A,'WFP Details - 2026'!Z:Z)</f>
        <v>x</v>
      </c>
      <c r="H319" s="314">
        <v>45740</v>
      </c>
      <c r="I319" s="315">
        <v>3</v>
      </c>
      <c r="J319" s="315">
        <v>2025</v>
      </c>
      <c r="K319" s="316">
        <v>1</v>
      </c>
      <c r="L319" s="316">
        <v>1</v>
      </c>
      <c r="M319" s="316">
        <v>1</v>
      </c>
      <c r="N319" s="316">
        <v>1</v>
      </c>
      <c r="O319" s="316">
        <v>1</v>
      </c>
      <c r="P319" s="316">
        <v>1</v>
      </c>
      <c r="Q319" s="316">
        <v>1</v>
      </c>
      <c r="R319" s="316">
        <v>1</v>
      </c>
      <c r="S319" s="316">
        <v>1</v>
      </c>
      <c r="T319" s="316">
        <v>1</v>
      </c>
      <c r="U319" s="316">
        <v>1</v>
      </c>
      <c r="V319" s="316">
        <v>1</v>
      </c>
      <c r="W319" s="316">
        <v>1</v>
      </c>
      <c r="X319" s="316">
        <v>1</v>
      </c>
      <c r="Y319" s="316">
        <v>1</v>
      </c>
      <c r="Z319" s="316">
        <v>1</v>
      </c>
      <c r="AA319" s="316">
        <v>1</v>
      </c>
      <c r="AB319" s="316">
        <v>1</v>
      </c>
      <c r="AC319" s="316">
        <v>1</v>
      </c>
      <c r="AD319" s="316">
        <v>1</v>
      </c>
      <c r="AE319" s="316">
        <v>1</v>
      </c>
      <c r="AF319" s="316">
        <v>1</v>
      </c>
      <c r="AG319" s="316">
        <v>1</v>
      </c>
      <c r="AH319" s="316">
        <v>1</v>
      </c>
      <c r="AI319" s="316">
        <v>1</v>
      </c>
      <c r="AJ319" s="316">
        <v>1</v>
      </c>
      <c r="AK319" s="316">
        <v>1</v>
      </c>
      <c r="AL319" s="316">
        <v>1</v>
      </c>
      <c r="AM319" s="316">
        <v>1</v>
      </c>
      <c r="AN319" s="316">
        <v>1</v>
      </c>
      <c r="AO319" s="316">
        <v>1</v>
      </c>
      <c r="AP319" s="316">
        <v>1</v>
      </c>
      <c r="AQ319" s="316">
        <v>1</v>
      </c>
      <c r="AR319" s="316">
        <v>1</v>
      </c>
      <c r="AS319" s="316">
        <v>1</v>
      </c>
      <c r="AT319" s="316">
        <v>1</v>
      </c>
    </row>
    <row r="320" spans="2:46" ht="12.75" customHeight="1" x14ac:dyDescent="0.15">
      <c r="B320" s="315">
        <v>1218</v>
      </c>
      <c r="C320" s="319" t="s">
        <v>1034</v>
      </c>
      <c r="D320" s="313" t="s">
        <v>1054</v>
      </c>
      <c r="E320" s="319" t="s">
        <v>1792</v>
      </c>
      <c r="F320" s="319" t="s">
        <v>1911</v>
      </c>
      <c r="G320" s="315" t="str">
        <f>_xlfn.XLOOKUP(B320,'WFP Details - 2026'!A:A,'WFP Details - 2026'!Z:Z)</f>
        <v>x</v>
      </c>
      <c r="H320" s="314">
        <v>45733</v>
      </c>
      <c r="I320" s="315">
        <v>3</v>
      </c>
      <c r="J320" s="315">
        <v>2025</v>
      </c>
      <c r="K320" s="316">
        <v>1</v>
      </c>
      <c r="L320" s="316">
        <v>1</v>
      </c>
      <c r="M320" s="316">
        <v>1</v>
      </c>
      <c r="N320" s="316">
        <v>1</v>
      </c>
      <c r="O320" s="316">
        <v>1</v>
      </c>
      <c r="P320" s="316">
        <v>1</v>
      </c>
      <c r="Q320" s="316">
        <v>1</v>
      </c>
      <c r="R320" s="316">
        <v>1</v>
      </c>
      <c r="S320" s="316">
        <v>1</v>
      </c>
      <c r="T320" s="316">
        <v>1</v>
      </c>
      <c r="U320" s="316">
        <v>1</v>
      </c>
      <c r="V320" s="316">
        <v>1</v>
      </c>
      <c r="W320" s="316">
        <v>1</v>
      </c>
      <c r="X320" s="316">
        <v>1</v>
      </c>
      <c r="Y320" s="316">
        <v>1</v>
      </c>
      <c r="Z320" s="316">
        <v>1</v>
      </c>
      <c r="AA320" s="316">
        <v>1</v>
      </c>
      <c r="AB320" s="316">
        <v>1</v>
      </c>
      <c r="AC320" s="316">
        <v>1</v>
      </c>
      <c r="AD320" s="316">
        <v>1</v>
      </c>
      <c r="AE320" s="316">
        <v>1</v>
      </c>
      <c r="AF320" s="316">
        <v>1</v>
      </c>
      <c r="AG320" s="316">
        <v>1</v>
      </c>
      <c r="AH320" s="316">
        <v>1</v>
      </c>
      <c r="AI320" s="316">
        <v>1</v>
      </c>
      <c r="AJ320" s="316">
        <v>1</v>
      </c>
      <c r="AK320" s="316">
        <v>1</v>
      </c>
      <c r="AL320" s="316">
        <v>1</v>
      </c>
      <c r="AM320" s="316">
        <v>1</v>
      </c>
      <c r="AN320" s="316">
        <v>1</v>
      </c>
      <c r="AO320" s="316">
        <v>1</v>
      </c>
      <c r="AP320" s="316">
        <v>1</v>
      </c>
      <c r="AQ320" s="316">
        <v>1</v>
      </c>
      <c r="AR320" s="316">
        <v>1</v>
      </c>
      <c r="AS320" s="316">
        <v>1</v>
      </c>
      <c r="AT320" s="316">
        <v>1</v>
      </c>
    </row>
    <row r="321" spans="2:46" ht="12.75" customHeight="1" x14ac:dyDescent="0.15">
      <c r="B321" s="315">
        <v>1214</v>
      </c>
      <c r="C321" s="319" t="s">
        <v>1034</v>
      </c>
      <c r="D321" s="313" t="s">
        <v>1912</v>
      </c>
      <c r="E321" s="319" t="s">
        <v>1817</v>
      </c>
      <c r="F321" s="319" t="s">
        <v>1913</v>
      </c>
      <c r="G321" s="315" t="str">
        <f>_xlfn.XLOOKUP(B321,'WFP Details - 2026'!A:A,'WFP Details - 2026'!Z:Z)</f>
        <v>x</v>
      </c>
      <c r="H321" s="314">
        <v>45754</v>
      </c>
      <c r="I321" s="315">
        <v>4</v>
      </c>
      <c r="J321" s="315">
        <v>2025</v>
      </c>
      <c r="K321" s="316">
        <v>1</v>
      </c>
      <c r="L321" s="316">
        <v>1</v>
      </c>
      <c r="M321" s="316">
        <v>1</v>
      </c>
      <c r="N321" s="316">
        <v>1</v>
      </c>
      <c r="O321" s="316">
        <v>1</v>
      </c>
      <c r="P321" s="316">
        <v>1</v>
      </c>
      <c r="Q321" s="316">
        <v>1</v>
      </c>
      <c r="R321" s="316">
        <v>1</v>
      </c>
      <c r="S321" s="316">
        <v>1</v>
      </c>
      <c r="T321" s="316">
        <v>1</v>
      </c>
      <c r="U321" s="316">
        <v>1</v>
      </c>
      <c r="V321" s="316">
        <v>1</v>
      </c>
      <c r="W321" s="316">
        <v>1</v>
      </c>
      <c r="X321" s="316">
        <v>1</v>
      </c>
      <c r="Y321" s="316">
        <v>1</v>
      </c>
      <c r="Z321" s="316">
        <v>1</v>
      </c>
      <c r="AA321" s="316">
        <v>1</v>
      </c>
      <c r="AB321" s="316">
        <v>1</v>
      </c>
      <c r="AC321" s="316">
        <v>1</v>
      </c>
      <c r="AD321" s="316">
        <v>1</v>
      </c>
      <c r="AE321" s="316">
        <v>1</v>
      </c>
      <c r="AF321" s="316">
        <v>1</v>
      </c>
      <c r="AG321" s="316">
        <v>1</v>
      </c>
      <c r="AH321" s="316">
        <v>1</v>
      </c>
      <c r="AI321" s="316">
        <v>1</v>
      </c>
      <c r="AJ321" s="316">
        <v>1</v>
      </c>
      <c r="AK321" s="316">
        <v>1</v>
      </c>
      <c r="AL321" s="316">
        <v>1</v>
      </c>
      <c r="AM321" s="316">
        <v>1</v>
      </c>
      <c r="AN321" s="316">
        <v>1</v>
      </c>
      <c r="AO321" s="316">
        <v>1</v>
      </c>
      <c r="AP321" s="316">
        <v>1</v>
      </c>
      <c r="AQ321" s="316">
        <v>1</v>
      </c>
      <c r="AR321" s="316">
        <v>1</v>
      </c>
      <c r="AS321" s="316">
        <v>1</v>
      </c>
      <c r="AT321" s="316">
        <v>1</v>
      </c>
    </row>
    <row r="322" spans="2:46" ht="12.75" customHeight="1" x14ac:dyDescent="0.15">
      <c r="B322" s="315">
        <v>1196</v>
      </c>
      <c r="C322" s="319" t="s">
        <v>1034</v>
      </c>
      <c r="D322" s="313" t="s">
        <v>1026</v>
      </c>
      <c r="E322" s="319" t="s">
        <v>1817</v>
      </c>
      <c r="F322" s="319" t="s">
        <v>1061</v>
      </c>
      <c r="G322" s="315" t="str">
        <f>_xlfn.XLOOKUP(B322,'WFP Details - 2026'!A:A,'WFP Details - 2026'!Z:Z)</f>
        <v>x</v>
      </c>
      <c r="H322" s="314">
        <v>45804</v>
      </c>
      <c r="I322" s="315">
        <v>5</v>
      </c>
      <c r="J322" s="315">
        <v>2025</v>
      </c>
      <c r="K322" s="316">
        <v>1</v>
      </c>
      <c r="L322" s="316">
        <v>1</v>
      </c>
      <c r="M322" s="316">
        <v>1</v>
      </c>
      <c r="N322" s="316">
        <v>1</v>
      </c>
      <c r="O322" s="316">
        <v>1</v>
      </c>
      <c r="P322" s="316">
        <v>1</v>
      </c>
      <c r="Q322" s="316">
        <v>1</v>
      </c>
      <c r="R322" s="316">
        <v>1</v>
      </c>
      <c r="S322" s="316">
        <v>1</v>
      </c>
      <c r="T322" s="316">
        <v>1</v>
      </c>
      <c r="U322" s="316">
        <v>1</v>
      </c>
      <c r="V322" s="316">
        <v>1</v>
      </c>
      <c r="W322" s="316">
        <v>1</v>
      </c>
      <c r="X322" s="316">
        <v>1</v>
      </c>
      <c r="Y322" s="316">
        <v>1</v>
      </c>
      <c r="Z322" s="316">
        <v>1</v>
      </c>
      <c r="AA322" s="316">
        <v>1</v>
      </c>
      <c r="AB322" s="316">
        <v>1</v>
      </c>
      <c r="AC322" s="316">
        <v>1</v>
      </c>
      <c r="AD322" s="316">
        <v>1</v>
      </c>
      <c r="AE322" s="316">
        <v>1</v>
      </c>
      <c r="AF322" s="316">
        <v>1</v>
      </c>
      <c r="AG322" s="316">
        <v>1</v>
      </c>
      <c r="AH322" s="316">
        <v>1</v>
      </c>
      <c r="AI322" s="316">
        <v>1</v>
      </c>
      <c r="AJ322" s="316">
        <v>1</v>
      </c>
      <c r="AK322" s="316">
        <v>1</v>
      </c>
      <c r="AL322" s="316">
        <v>1</v>
      </c>
      <c r="AM322" s="316">
        <v>1</v>
      </c>
      <c r="AN322" s="316">
        <v>1</v>
      </c>
      <c r="AO322" s="316">
        <v>1</v>
      </c>
      <c r="AP322" s="316">
        <v>1</v>
      </c>
      <c r="AQ322" s="316">
        <v>1</v>
      </c>
      <c r="AR322" s="316">
        <v>1</v>
      </c>
      <c r="AS322" s="316">
        <v>1</v>
      </c>
      <c r="AT322" s="316">
        <v>1</v>
      </c>
    </row>
    <row r="323" spans="2:46" ht="12.75" customHeight="1" x14ac:dyDescent="0.15">
      <c r="B323" s="315">
        <v>1197</v>
      </c>
      <c r="C323" s="319" t="s">
        <v>1034</v>
      </c>
      <c r="D323" s="313" t="s">
        <v>1020</v>
      </c>
      <c r="E323" s="319" t="s">
        <v>1817</v>
      </c>
      <c r="F323" s="319" t="s">
        <v>1914</v>
      </c>
      <c r="G323" s="315" t="str">
        <f>_xlfn.XLOOKUP(B323,'WFP Details - 2026'!A:A,'WFP Details - 2026'!Z:Z)</f>
        <v>x</v>
      </c>
      <c r="H323" s="314">
        <v>45824</v>
      </c>
      <c r="I323" s="315">
        <v>6</v>
      </c>
      <c r="J323" s="315">
        <v>2025</v>
      </c>
      <c r="K323" s="316">
        <v>1</v>
      </c>
      <c r="L323" s="316">
        <v>1</v>
      </c>
      <c r="M323" s="316">
        <v>1</v>
      </c>
      <c r="N323" s="316">
        <v>1</v>
      </c>
      <c r="O323" s="316">
        <v>1</v>
      </c>
      <c r="P323" s="316">
        <v>1</v>
      </c>
      <c r="Q323" s="316">
        <v>1</v>
      </c>
      <c r="R323" s="316">
        <v>1</v>
      </c>
      <c r="S323" s="316">
        <v>1</v>
      </c>
      <c r="T323" s="316">
        <v>1</v>
      </c>
      <c r="U323" s="316">
        <v>1</v>
      </c>
      <c r="V323" s="316">
        <v>1</v>
      </c>
      <c r="W323" s="316">
        <v>1</v>
      </c>
      <c r="X323" s="316">
        <v>1</v>
      </c>
      <c r="Y323" s="316">
        <v>1</v>
      </c>
      <c r="Z323" s="316">
        <v>1</v>
      </c>
      <c r="AA323" s="316">
        <v>1</v>
      </c>
      <c r="AB323" s="316">
        <v>1</v>
      </c>
      <c r="AC323" s="316">
        <v>1</v>
      </c>
      <c r="AD323" s="316">
        <v>1</v>
      </c>
      <c r="AE323" s="316">
        <v>1</v>
      </c>
      <c r="AF323" s="316">
        <v>1</v>
      </c>
      <c r="AG323" s="316">
        <v>1</v>
      </c>
      <c r="AH323" s="316">
        <v>1</v>
      </c>
      <c r="AI323" s="316">
        <v>1</v>
      </c>
      <c r="AJ323" s="316">
        <v>1</v>
      </c>
      <c r="AK323" s="316">
        <v>1</v>
      </c>
      <c r="AL323" s="316">
        <v>1</v>
      </c>
      <c r="AM323" s="316">
        <v>1</v>
      </c>
      <c r="AN323" s="316">
        <v>1</v>
      </c>
      <c r="AO323" s="316">
        <v>1</v>
      </c>
      <c r="AP323" s="316">
        <v>1</v>
      </c>
      <c r="AQ323" s="316">
        <v>1</v>
      </c>
      <c r="AR323" s="316">
        <v>1</v>
      </c>
      <c r="AS323" s="316">
        <v>1</v>
      </c>
      <c r="AT323" s="316">
        <v>1</v>
      </c>
    </row>
    <row r="324" spans="2:46" ht="12.75" customHeight="1" x14ac:dyDescent="0.15">
      <c r="B324" s="315">
        <v>1207</v>
      </c>
      <c r="C324" s="319" t="s">
        <v>1034</v>
      </c>
      <c r="D324" s="313" t="s">
        <v>1030</v>
      </c>
      <c r="E324" s="319" t="s">
        <v>1817</v>
      </c>
      <c r="F324" s="319" t="s">
        <v>1069</v>
      </c>
      <c r="G324" s="315" t="str">
        <f>_xlfn.XLOOKUP(B324,'WFP Details - 2026'!A:A,'WFP Details - 2026'!Z:Z)</f>
        <v>x</v>
      </c>
      <c r="H324" s="314">
        <v>45838</v>
      </c>
      <c r="I324" s="315">
        <v>6</v>
      </c>
      <c r="J324" s="315">
        <v>2025</v>
      </c>
      <c r="K324" s="316">
        <v>1</v>
      </c>
      <c r="L324" s="316">
        <v>1</v>
      </c>
      <c r="M324" s="316">
        <v>1</v>
      </c>
      <c r="N324" s="316">
        <v>1</v>
      </c>
      <c r="O324" s="316">
        <v>1</v>
      </c>
      <c r="P324" s="316">
        <v>1</v>
      </c>
      <c r="Q324" s="316">
        <v>1</v>
      </c>
      <c r="R324" s="316">
        <v>1</v>
      </c>
      <c r="S324" s="316">
        <v>1</v>
      </c>
      <c r="T324" s="316">
        <v>1</v>
      </c>
      <c r="U324" s="316">
        <v>1</v>
      </c>
      <c r="V324" s="316">
        <v>1</v>
      </c>
      <c r="W324" s="316">
        <v>1</v>
      </c>
      <c r="X324" s="316">
        <v>1</v>
      </c>
      <c r="Y324" s="316">
        <v>1</v>
      </c>
      <c r="Z324" s="316">
        <v>1</v>
      </c>
      <c r="AA324" s="316">
        <v>1</v>
      </c>
      <c r="AB324" s="316">
        <v>1</v>
      </c>
      <c r="AC324" s="316">
        <v>1</v>
      </c>
      <c r="AD324" s="316">
        <v>1</v>
      </c>
      <c r="AE324" s="316">
        <v>1</v>
      </c>
      <c r="AF324" s="316">
        <v>1</v>
      </c>
      <c r="AG324" s="316">
        <v>1</v>
      </c>
      <c r="AH324" s="316">
        <v>1</v>
      </c>
      <c r="AI324" s="316">
        <v>1</v>
      </c>
      <c r="AJ324" s="316">
        <v>1</v>
      </c>
      <c r="AK324" s="316">
        <v>1</v>
      </c>
      <c r="AL324" s="316">
        <v>1</v>
      </c>
      <c r="AM324" s="316">
        <v>1</v>
      </c>
      <c r="AN324" s="316">
        <v>1</v>
      </c>
      <c r="AO324" s="316">
        <v>1</v>
      </c>
      <c r="AP324" s="316">
        <v>1</v>
      </c>
      <c r="AQ324" s="316">
        <v>1</v>
      </c>
      <c r="AR324" s="316">
        <v>1</v>
      </c>
      <c r="AS324" s="316">
        <v>1</v>
      </c>
      <c r="AT324" s="316">
        <v>1</v>
      </c>
    </row>
    <row r="325" spans="2:46" ht="12.75" customHeight="1" x14ac:dyDescent="0.15">
      <c r="B325" s="315">
        <v>1215</v>
      </c>
      <c r="C325" s="319" t="s">
        <v>1034</v>
      </c>
      <c r="D325" s="313" t="s">
        <v>1915</v>
      </c>
      <c r="E325" s="319" t="s">
        <v>1817</v>
      </c>
      <c r="F325" s="319" t="s">
        <v>1916</v>
      </c>
      <c r="G325" s="315" t="str">
        <f>_xlfn.XLOOKUP(B325,'WFP Details - 2026'!A:A,'WFP Details - 2026'!Z:Z)</f>
        <v>x</v>
      </c>
      <c r="H325" s="314">
        <v>45929</v>
      </c>
      <c r="I325" s="315">
        <v>9</v>
      </c>
      <c r="J325" s="315">
        <v>2025</v>
      </c>
      <c r="K325" s="316">
        <v>1</v>
      </c>
      <c r="L325" s="316">
        <v>1</v>
      </c>
      <c r="M325" s="316">
        <v>1</v>
      </c>
      <c r="N325" s="316">
        <v>1</v>
      </c>
      <c r="O325" s="316">
        <v>1</v>
      </c>
      <c r="P325" s="316">
        <v>1</v>
      </c>
      <c r="Q325" s="316">
        <v>1</v>
      </c>
      <c r="R325" s="316">
        <v>1</v>
      </c>
      <c r="S325" s="316">
        <v>1</v>
      </c>
      <c r="T325" s="316">
        <v>1</v>
      </c>
      <c r="U325" s="316">
        <v>1</v>
      </c>
      <c r="V325" s="316">
        <v>1</v>
      </c>
      <c r="W325" s="316">
        <v>1</v>
      </c>
      <c r="X325" s="316">
        <v>1</v>
      </c>
      <c r="Y325" s="316">
        <v>1</v>
      </c>
      <c r="Z325" s="316">
        <v>1</v>
      </c>
      <c r="AA325" s="316">
        <v>1</v>
      </c>
      <c r="AB325" s="316">
        <v>1</v>
      </c>
      <c r="AC325" s="316">
        <v>1</v>
      </c>
      <c r="AD325" s="316">
        <v>1</v>
      </c>
      <c r="AE325" s="316">
        <v>1</v>
      </c>
      <c r="AF325" s="316">
        <v>1</v>
      </c>
      <c r="AG325" s="316">
        <v>1</v>
      </c>
      <c r="AH325" s="316">
        <v>1</v>
      </c>
      <c r="AI325" s="316">
        <v>1</v>
      </c>
      <c r="AJ325" s="316">
        <v>1</v>
      </c>
      <c r="AK325" s="316">
        <v>1</v>
      </c>
      <c r="AL325" s="316">
        <v>1</v>
      </c>
      <c r="AM325" s="316">
        <v>1</v>
      </c>
      <c r="AN325" s="316">
        <v>1</v>
      </c>
      <c r="AO325" s="316">
        <v>1</v>
      </c>
      <c r="AP325" s="316">
        <v>1</v>
      </c>
      <c r="AQ325" s="316">
        <v>1</v>
      </c>
      <c r="AR325" s="316">
        <v>1</v>
      </c>
      <c r="AS325" s="316">
        <v>1</v>
      </c>
      <c r="AT325" s="316">
        <v>1</v>
      </c>
    </row>
    <row r="326" spans="2:46" ht="12.75" customHeight="1" x14ac:dyDescent="0.15">
      <c r="B326" s="315">
        <v>5318</v>
      </c>
      <c r="C326" s="319" t="s">
        <v>1034</v>
      </c>
      <c r="D326" s="313" t="s">
        <v>1917</v>
      </c>
      <c r="E326" s="319" t="s">
        <v>1793</v>
      </c>
      <c r="F326" s="319" t="s">
        <v>1035</v>
      </c>
      <c r="G326" s="315" t="str">
        <f>_xlfn.XLOOKUP(B326,'WFP Details - 2026'!A:A,'WFP Details - 2026'!Z:Z)</f>
        <v>x</v>
      </c>
      <c r="H326" s="314">
        <v>45978</v>
      </c>
      <c r="I326" s="315">
        <v>11</v>
      </c>
      <c r="J326" s="315">
        <v>2025</v>
      </c>
      <c r="K326" s="316">
        <v>1</v>
      </c>
      <c r="L326" s="316">
        <v>1</v>
      </c>
      <c r="M326" s="316">
        <v>1</v>
      </c>
      <c r="N326" s="316">
        <v>1</v>
      </c>
      <c r="O326" s="316">
        <v>1</v>
      </c>
      <c r="P326" s="316">
        <v>1</v>
      </c>
      <c r="Q326" s="316">
        <v>1</v>
      </c>
      <c r="R326" s="316">
        <v>1</v>
      </c>
      <c r="S326" s="316">
        <v>1</v>
      </c>
      <c r="T326" s="316">
        <v>1</v>
      </c>
      <c r="U326" s="316">
        <v>1</v>
      </c>
      <c r="V326" s="316">
        <v>1</v>
      </c>
      <c r="W326" s="316">
        <v>1</v>
      </c>
      <c r="X326" s="316">
        <v>1</v>
      </c>
      <c r="Y326" s="316">
        <v>1</v>
      </c>
      <c r="Z326" s="316">
        <v>1</v>
      </c>
      <c r="AA326" s="316">
        <v>1</v>
      </c>
      <c r="AB326" s="316">
        <v>1</v>
      </c>
      <c r="AC326" s="316">
        <v>1</v>
      </c>
      <c r="AD326" s="316">
        <v>1</v>
      </c>
      <c r="AE326" s="316">
        <v>1</v>
      </c>
      <c r="AF326" s="316">
        <v>1</v>
      </c>
      <c r="AG326" s="316">
        <v>1</v>
      </c>
      <c r="AH326" s="316">
        <v>1</v>
      </c>
      <c r="AI326" s="316">
        <v>1</v>
      </c>
      <c r="AJ326" s="316">
        <v>1</v>
      </c>
      <c r="AK326" s="316">
        <v>1</v>
      </c>
      <c r="AL326" s="316">
        <v>1</v>
      </c>
      <c r="AM326" s="316">
        <v>1</v>
      </c>
      <c r="AN326" s="316">
        <v>1</v>
      </c>
      <c r="AO326" s="316">
        <v>1</v>
      </c>
      <c r="AP326" s="316">
        <v>1</v>
      </c>
      <c r="AQ326" s="316">
        <v>1</v>
      </c>
      <c r="AR326" s="316">
        <v>1</v>
      </c>
      <c r="AS326" s="316">
        <v>1</v>
      </c>
      <c r="AT326" s="316">
        <v>1</v>
      </c>
    </row>
    <row r="327" spans="2:46" ht="12.75" customHeight="1" x14ac:dyDescent="0.15">
      <c r="B327" s="318">
        <v>1217</v>
      </c>
      <c r="C327" s="313" t="s">
        <v>1034</v>
      </c>
      <c r="D327" s="313" t="s">
        <v>101</v>
      </c>
      <c r="E327" s="319" t="s">
        <v>1805</v>
      </c>
      <c r="F327" s="319" t="s">
        <v>1086</v>
      </c>
      <c r="G327" s="315" t="str">
        <f>_xlfn.XLOOKUP(B327,'WFP Details - 2026'!A:A,'WFP Details - 2026'!Z:Z)</f>
        <v>x</v>
      </c>
      <c r="H327" s="314">
        <v>46006</v>
      </c>
      <c r="I327" s="315">
        <v>12</v>
      </c>
      <c r="J327" s="315">
        <v>2025</v>
      </c>
      <c r="K327" s="316">
        <v>1</v>
      </c>
      <c r="L327" s="316">
        <v>1</v>
      </c>
      <c r="M327" s="316">
        <v>1</v>
      </c>
      <c r="N327" s="316">
        <v>1</v>
      </c>
      <c r="O327" s="316">
        <v>1</v>
      </c>
      <c r="P327" s="316">
        <v>1</v>
      </c>
      <c r="Q327" s="316">
        <v>1</v>
      </c>
      <c r="R327" s="316">
        <v>1</v>
      </c>
      <c r="S327" s="316">
        <v>1</v>
      </c>
      <c r="T327" s="316">
        <v>1</v>
      </c>
      <c r="U327" s="316">
        <v>1</v>
      </c>
      <c r="V327" s="316">
        <v>1</v>
      </c>
      <c r="W327" s="316">
        <v>1</v>
      </c>
      <c r="X327" s="316">
        <v>1</v>
      </c>
      <c r="Y327" s="316">
        <v>1</v>
      </c>
      <c r="Z327" s="316">
        <v>1</v>
      </c>
      <c r="AA327" s="316">
        <v>1</v>
      </c>
      <c r="AB327" s="316">
        <v>1</v>
      </c>
      <c r="AC327" s="316">
        <v>1</v>
      </c>
      <c r="AD327" s="316">
        <v>1</v>
      </c>
      <c r="AE327" s="316">
        <v>1</v>
      </c>
      <c r="AF327" s="316">
        <v>1</v>
      </c>
      <c r="AG327" s="316">
        <v>1</v>
      </c>
      <c r="AH327" s="316">
        <v>1</v>
      </c>
      <c r="AI327" s="316">
        <v>1</v>
      </c>
      <c r="AJ327" s="316">
        <v>1</v>
      </c>
      <c r="AK327" s="316">
        <v>1</v>
      </c>
      <c r="AL327" s="316">
        <v>1</v>
      </c>
      <c r="AM327" s="316">
        <v>1</v>
      </c>
      <c r="AN327" s="316">
        <v>1</v>
      </c>
      <c r="AO327" s="316">
        <v>1</v>
      </c>
      <c r="AP327" s="316">
        <v>1</v>
      </c>
      <c r="AQ327" s="316">
        <v>1</v>
      </c>
      <c r="AR327" s="316">
        <v>1</v>
      </c>
      <c r="AS327" s="316">
        <v>1</v>
      </c>
      <c r="AT327" s="316">
        <v>1</v>
      </c>
    </row>
    <row r="328" spans="2:46" ht="12.75" customHeight="1" x14ac:dyDescent="0.15">
      <c r="B328" s="312">
        <v>1201</v>
      </c>
      <c r="C328" s="313" t="s">
        <v>1034</v>
      </c>
      <c r="D328" s="313" t="s">
        <v>1918</v>
      </c>
      <c r="E328" s="319" t="s">
        <v>1805</v>
      </c>
      <c r="F328" s="319" t="s">
        <v>1078</v>
      </c>
      <c r="G328" s="315" t="str">
        <f>_xlfn.XLOOKUP(B328,'WFP Details - 2026'!A:A,'WFP Details - 2026'!Z:Z)</f>
        <v>x</v>
      </c>
      <c r="H328" s="314">
        <v>46006</v>
      </c>
      <c r="I328" s="315">
        <v>12</v>
      </c>
      <c r="J328" s="315">
        <v>2025</v>
      </c>
      <c r="K328" s="316">
        <v>1</v>
      </c>
      <c r="L328" s="316">
        <v>1</v>
      </c>
      <c r="M328" s="316">
        <v>1</v>
      </c>
      <c r="N328" s="316">
        <v>1</v>
      </c>
      <c r="O328" s="316">
        <v>1</v>
      </c>
      <c r="P328" s="316">
        <v>1</v>
      </c>
      <c r="Q328" s="316">
        <v>1</v>
      </c>
      <c r="R328" s="316">
        <v>1</v>
      </c>
      <c r="S328" s="316">
        <v>1</v>
      </c>
      <c r="T328" s="316">
        <v>1</v>
      </c>
      <c r="U328" s="316">
        <v>1</v>
      </c>
      <c r="V328" s="316">
        <v>1</v>
      </c>
      <c r="W328" s="316">
        <v>1</v>
      </c>
      <c r="X328" s="316">
        <v>1</v>
      </c>
      <c r="Y328" s="316">
        <v>1</v>
      </c>
      <c r="Z328" s="316">
        <v>1</v>
      </c>
      <c r="AA328" s="316">
        <v>1</v>
      </c>
      <c r="AB328" s="316">
        <v>1</v>
      </c>
      <c r="AC328" s="316">
        <v>1</v>
      </c>
      <c r="AD328" s="316">
        <v>1</v>
      </c>
      <c r="AE328" s="316">
        <v>1</v>
      </c>
      <c r="AF328" s="316">
        <v>1</v>
      </c>
      <c r="AG328" s="316">
        <v>1</v>
      </c>
      <c r="AH328" s="316">
        <v>1</v>
      </c>
      <c r="AI328" s="316">
        <v>1</v>
      </c>
      <c r="AJ328" s="316">
        <v>1</v>
      </c>
      <c r="AK328" s="316">
        <v>1</v>
      </c>
      <c r="AL328" s="316">
        <v>1</v>
      </c>
      <c r="AM328" s="316">
        <v>1</v>
      </c>
      <c r="AN328" s="316">
        <v>1</v>
      </c>
      <c r="AO328" s="316">
        <v>1</v>
      </c>
      <c r="AP328" s="316">
        <v>1</v>
      </c>
      <c r="AQ328" s="316">
        <v>1</v>
      </c>
      <c r="AR328" s="316">
        <v>1</v>
      </c>
      <c r="AS328" s="316">
        <v>1</v>
      </c>
      <c r="AT328" s="316">
        <v>1</v>
      </c>
    </row>
    <row r="329" spans="2:46" ht="12.75" customHeight="1" x14ac:dyDescent="0.15">
      <c r="B329" s="318">
        <v>1391</v>
      </c>
      <c r="C329" s="313" t="s">
        <v>1034</v>
      </c>
      <c r="D329" s="313" t="s">
        <v>101</v>
      </c>
      <c r="E329" s="319" t="s">
        <v>1795</v>
      </c>
      <c r="F329" s="319" t="s">
        <v>1092</v>
      </c>
      <c r="G329" s="315" t="str">
        <f>_xlfn.XLOOKUP(B329,'WFP Details - 2026'!A:A,'WFP Details - 2026'!Z:Z)</f>
        <v>x</v>
      </c>
      <c r="H329" s="314">
        <v>46006</v>
      </c>
      <c r="I329" s="315">
        <v>12</v>
      </c>
      <c r="J329" s="315">
        <v>2025</v>
      </c>
      <c r="K329" s="316">
        <v>1</v>
      </c>
      <c r="L329" s="316">
        <v>1</v>
      </c>
      <c r="M329" s="316">
        <v>1</v>
      </c>
      <c r="N329" s="316">
        <v>1</v>
      </c>
      <c r="O329" s="316">
        <v>1</v>
      </c>
      <c r="P329" s="316">
        <v>1</v>
      </c>
      <c r="Q329" s="316">
        <v>1</v>
      </c>
      <c r="R329" s="316">
        <v>1</v>
      </c>
      <c r="S329" s="316">
        <v>1</v>
      </c>
      <c r="T329" s="316">
        <v>1</v>
      </c>
      <c r="U329" s="316">
        <v>1</v>
      </c>
      <c r="V329" s="316">
        <v>1</v>
      </c>
      <c r="W329" s="316">
        <v>1</v>
      </c>
      <c r="X329" s="316">
        <v>1</v>
      </c>
      <c r="Y329" s="316">
        <v>1</v>
      </c>
      <c r="Z329" s="316">
        <v>1</v>
      </c>
      <c r="AA329" s="316">
        <v>1</v>
      </c>
      <c r="AB329" s="316">
        <v>1</v>
      </c>
      <c r="AC329" s="316">
        <v>1</v>
      </c>
      <c r="AD329" s="316">
        <v>1</v>
      </c>
      <c r="AE329" s="316">
        <v>1</v>
      </c>
      <c r="AF329" s="316">
        <v>1</v>
      </c>
      <c r="AG329" s="316">
        <v>1</v>
      </c>
      <c r="AH329" s="316">
        <v>1</v>
      </c>
      <c r="AI329" s="316">
        <v>1</v>
      </c>
      <c r="AJ329" s="316">
        <v>1</v>
      </c>
      <c r="AK329" s="316">
        <v>1</v>
      </c>
      <c r="AL329" s="316">
        <v>1</v>
      </c>
      <c r="AM329" s="316">
        <v>1</v>
      </c>
      <c r="AN329" s="316">
        <v>1</v>
      </c>
      <c r="AO329" s="316">
        <v>1</v>
      </c>
      <c r="AP329" s="316">
        <v>1</v>
      </c>
      <c r="AQ329" s="316">
        <v>1</v>
      </c>
      <c r="AR329" s="316">
        <v>1</v>
      </c>
      <c r="AS329" s="316">
        <v>1</v>
      </c>
      <c r="AT329" s="316">
        <v>1</v>
      </c>
    </row>
    <row r="330" spans="2:46" ht="12.75" customHeight="1" x14ac:dyDescent="0.15">
      <c r="B330" s="315">
        <v>1393</v>
      </c>
      <c r="C330" s="319" t="s">
        <v>1034</v>
      </c>
      <c r="D330" s="313" t="s">
        <v>1919</v>
      </c>
      <c r="E330" s="319" t="s">
        <v>1795</v>
      </c>
      <c r="F330" s="319" t="s">
        <v>1096</v>
      </c>
      <c r="G330" s="315" t="str">
        <f>_xlfn.XLOOKUP(B330,'WFP Details - 2026'!A:A,'WFP Details - 2026'!Z:Z)</f>
        <v>x</v>
      </c>
      <c r="H330" s="314">
        <v>46027</v>
      </c>
      <c r="I330" s="315">
        <v>1</v>
      </c>
      <c r="J330" s="315">
        <v>2026</v>
      </c>
      <c r="K330" s="316">
        <v>1</v>
      </c>
      <c r="L330" s="316">
        <v>1</v>
      </c>
      <c r="M330" s="316">
        <v>1</v>
      </c>
      <c r="N330" s="316">
        <v>1</v>
      </c>
      <c r="O330" s="316">
        <v>1</v>
      </c>
      <c r="P330" s="316">
        <v>1</v>
      </c>
      <c r="Q330" s="316">
        <v>1</v>
      </c>
      <c r="R330" s="316">
        <v>1</v>
      </c>
      <c r="S330" s="316">
        <v>1</v>
      </c>
      <c r="T330" s="316">
        <v>1</v>
      </c>
      <c r="U330" s="316">
        <v>1</v>
      </c>
      <c r="V330" s="316">
        <v>1</v>
      </c>
      <c r="W330" s="316">
        <v>1</v>
      </c>
      <c r="X330" s="316">
        <v>1</v>
      </c>
      <c r="Y330" s="316">
        <v>1</v>
      </c>
      <c r="Z330" s="316">
        <v>1</v>
      </c>
      <c r="AA330" s="316">
        <v>1</v>
      </c>
      <c r="AB330" s="316">
        <v>1</v>
      </c>
      <c r="AC330" s="316">
        <v>1</v>
      </c>
      <c r="AD330" s="316">
        <v>1</v>
      </c>
      <c r="AE330" s="316">
        <v>1</v>
      </c>
      <c r="AF330" s="316">
        <v>1</v>
      </c>
      <c r="AG330" s="316">
        <v>1</v>
      </c>
      <c r="AH330" s="316">
        <v>1</v>
      </c>
      <c r="AI330" s="316">
        <v>1</v>
      </c>
      <c r="AJ330" s="316">
        <v>1</v>
      </c>
      <c r="AK330" s="316">
        <v>1</v>
      </c>
      <c r="AL330" s="316">
        <v>1</v>
      </c>
      <c r="AM330" s="316">
        <v>1</v>
      </c>
      <c r="AN330" s="316">
        <v>1</v>
      </c>
      <c r="AO330" s="316">
        <v>1</v>
      </c>
      <c r="AP330" s="316">
        <v>1</v>
      </c>
      <c r="AQ330" s="316">
        <v>1</v>
      </c>
      <c r="AR330" s="316">
        <v>1</v>
      </c>
      <c r="AS330" s="316">
        <v>1</v>
      </c>
      <c r="AT330" s="316">
        <v>1</v>
      </c>
    </row>
    <row r="331" spans="2:46" ht="12.75" customHeight="1" x14ac:dyDescent="0.15">
      <c r="B331" s="315">
        <v>1216</v>
      </c>
      <c r="C331" s="319" t="s">
        <v>1034</v>
      </c>
      <c r="D331" s="313" t="s">
        <v>1920</v>
      </c>
      <c r="E331" s="319" t="s">
        <v>1817</v>
      </c>
      <c r="F331" s="319" t="s">
        <v>1084</v>
      </c>
      <c r="G331" s="315" t="str">
        <f>_xlfn.XLOOKUP(B331,'WFP Details - 2026'!A:A,'WFP Details - 2026'!Z:Z)</f>
        <v>x</v>
      </c>
      <c r="H331" s="314">
        <v>46096</v>
      </c>
      <c r="I331" s="315">
        <v>3</v>
      </c>
      <c r="J331" s="315">
        <v>2026</v>
      </c>
      <c r="K331" s="316">
        <v>0</v>
      </c>
      <c r="L331" s="316">
        <v>0</v>
      </c>
      <c r="M331" s="316">
        <v>1</v>
      </c>
      <c r="N331" s="316">
        <v>1</v>
      </c>
      <c r="O331" s="316">
        <v>1</v>
      </c>
      <c r="P331" s="316">
        <v>1</v>
      </c>
      <c r="Q331" s="316">
        <v>1</v>
      </c>
      <c r="R331" s="316">
        <v>1</v>
      </c>
      <c r="S331" s="316">
        <v>1</v>
      </c>
      <c r="T331" s="316">
        <v>1</v>
      </c>
      <c r="U331" s="316">
        <v>1</v>
      </c>
      <c r="V331" s="316">
        <v>1</v>
      </c>
      <c r="W331" s="316">
        <v>1</v>
      </c>
      <c r="X331" s="316">
        <v>1</v>
      </c>
      <c r="Y331" s="316">
        <v>1</v>
      </c>
      <c r="Z331" s="316">
        <v>1</v>
      </c>
      <c r="AA331" s="316">
        <v>1</v>
      </c>
      <c r="AB331" s="316">
        <v>1</v>
      </c>
      <c r="AC331" s="316">
        <v>1</v>
      </c>
      <c r="AD331" s="316">
        <v>1</v>
      </c>
      <c r="AE331" s="316">
        <v>1</v>
      </c>
      <c r="AF331" s="316">
        <v>1</v>
      </c>
      <c r="AG331" s="316">
        <v>1</v>
      </c>
      <c r="AH331" s="316">
        <v>1</v>
      </c>
      <c r="AI331" s="316">
        <v>1</v>
      </c>
      <c r="AJ331" s="316">
        <v>1</v>
      </c>
      <c r="AK331" s="316">
        <v>1</v>
      </c>
      <c r="AL331" s="316">
        <v>1</v>
      </c>
      <c r="AM331" s="316">
        <v>1</v>
      </c>
      <c r="AN331" s="316">
        <v>1</v>
      </c>
      <c r="AO331" s="316">
        <v>1</v>
      </c>
      <c r="AP331" s="316">
        <v>1</v>
      </c>
      <c r="AQ331" s="316">
        <v>1</v>
      </c>
      <c r="AR331" s="316">
        <v>1</v>
      </c>
      <c r="AS331" s="316">
        <v>1</v>
      </c>
      <c r="AT331" s="316">
        <v>1</v>
      </c>
    </row>
    <row r="332" spans="2:46" ht="12.75" customHeight="1" x14ac:dyDescent="0.15">
      <c r="B332" s="312">
        <v>5291</v>
      </c>
      <c r="C332" s="313" t="s">
        <v>1034</v>
      </c>
      <c r="D332" s="313" t="s">
        <v>101</v>
      </c>
      <c r="E332" s="319" t="s">
        <v>1793</v>
      </c>
      <c r="F332" s="319" t="s">
        <v>1110</v>
      </c>
      <c r="G332" s="315" t="str">
        <f>_xlfn.XLOOKUP(B332,'WFP Details - 2026'!A:A,'WFP Details - 2026'!Z:Z)</f>
        <v>x</v>
      </c>
      <c r="H332" s="314">
        <v>46096</v>
      </c>
      <c r="I332" s="315">
        <v>3</v>
      </c>
      <c r="J332" s="315">
        <v>2026</v>
      </c>
      <c r="K332" s="316">
        <v>0</v>
      </c>
      <c r="L332" s="316">
        <v>0</v>
      </c>
      <c r="M332" s="316">
        <v>1</v>
      </c>
      <c r="N332" s="316">
        <v>1</v>
      </c>
      <c r="O332" s="316">
        <v>1</v>
      </c>
      <c r="P332" s="316">
        <v>1</v>
      </c>
      <c r="Q332" s="316">
        <v>1</v>
      </c>
      <c r="R332" s="316">
        <v>1</v>
      </c>
      <c r="S332" s="316">
        <v>1</v>
      </c>
      <c r="T332" s="316">
        <v>1</v>
      </c>
      <c r="U332" s="316">
        <v>1</v>
      </c>
      <c r="V332" s="316">
        <v>1</v>
      </c>
      <c r="W332" s="316">
        <v>1</v>
      </c>
      <c r="X332" s="316">
        <v>1</v>
      </c>
      <c r="Y332" s="316">
        <v>1</v>
      </c>
      <c r="Z332" s="316">
        <v>1</v>
      </c>
      <c r="AA332" s="316">
        <v>1</v>
      </c>
      <c r="AB332" s="316">
        <v>1</v>
      </c>
      <c r="AC332" s="316">
        <v>1</v>
      </c>
      <c r="AD332" s="316">
        <v>1</v>
      </c>
      <c r="AE332" s="316">
        <v>1</v>
      </c>
      <c r="AF332" s="316">
        <v>1</v>
      </c>
      <c r="AG332" s="316">
        <v>1</v>
      </c>
      <c r="AH332" s="316">
        <v>1</v>
      </c>
      <c r="AI332" s="316">
        <v>1</v>
      </c>
      <c r="AJ332" s="316">
        <v>1</v>
      </c>
      <c r="AK332" s="316">
        <v>1</v>
      </c>
      <c r="AL332" s="316">
        <v>1</v>
      </c>
      <c r="AM332" s="316">
        <v>1</v>
      </c>
      <c r="AN332" s="316">
        <v>1</v>
      </c>
      <c r="AO332" s="316">
        <v>1</v>
      </c>
      <c r="AP332" s="316">
        <v>1</v>
      </c>
      <c r="AQ332" s="316">
        <v>1</v>
      </c>
      <c r="AR332" s="316">
        <v>1</v>
      </c>
      <c r="AS332" s="316">
        <v>1</v>
      </c>
      <c r="AT332" s="316">
        <v>1</v>
      </c>
    </row>
    <row r="333" spans="2:46" ht="12.75" customHeight="1" x14ac:dyDescent="0.15">
      <c r="B333" s="315">
        <v>5305</v>
      </c>
      <c r="C333" s="319" t="s">
        <v>1034</v>
      </c>
      <c r="D333" s="313" t="s">
        <v>101</v>
      </c>
      <c r="E333" s="319" t="s">
        <v>1795</v>
      </c>
      <c r="F333" s="319" t="s">
        <v>1121</v>
      </c>
      <c r="G333" s="315" t="str">
        <f>_xlfn.XLOOKUP(B333,'WFP Details - 2026'!A:A,'WFP Details - 2026'!Z:Z)</f>
        <v>x</v>
      </c>
      <c r="H333" s="314">
        <v>46096</v>
      </c>
      <c r="I333" s="315">
        <v>3</v>
      </c>
      <c r="J333" s="315">
        <v>2026</v>
      </c>
      <c r="K333" s="316">
        <v>0</v>
      </c>
      <c r="L333" s="316">
        <v>0</v>
      </c>
      <c r="M333" s="316">
        <v>1</v>
      </c>
      <c r="N333" s="316">
        <v>1</v>
      </c>
      <c r="O333" s="316">
        <v>1</v>
      </c>
      <c r="P333" s="316">
        <v>1</v>
      </c>
      <c r="Q333" s="316">
        <v>1</v>
      </c>
      <c r="R333" s="316">
        <v>1</v>
      </c>
      <c r="S333" s="316">
        <v>1</v>
      </c>
      <c r="T333" s="316">
        <v>1</v>
      </c>
      <c r="U333" s="316">
        <v>1</v>
      </c>
      <c r="V333" s="316">
        <v>1</v>
      </c>
      <c r="W333" s="316">
        <v>1</v>
      </c>
      <c r="X333" s="316">
        <v>1</v>
      </c>
      <c r="Y333" s="316">
        <v>1</v>
      </c>
      <c r="Z333" s="316">
        <v>1</v>
      </c>
      <c r="AA333" s="316">
        <v>1</v>
      </c>
      <c r="AB333" s="316">
        <v>1</v>
      </c>
      <c r="AC333" s="316">
        <v>1</v>
      </c>
      <c r="AD333" s="316">
        <v>1</v>
      </c>
      <c r="AE333" s="316">
        <v>1</v>
      </c>
      <c r="AF333" s="316">
        <v>1</v>
      </c>
      <c r="AG333" s="316">
        <v>1</v>
      </c>
      <c r="AH333" s="316">
        <v>1</v>
      </c>
      <c r="AI333" s="316">
        <v>1</v>
      </c>
      <c r="AJ333" s="316">
        <v>1</v>
      </c>
      <c r="AK333" s="316">
        <v>1</v>
      </c>
      <c r="AL333" s="316">
        <v>1</v>
      </c>
      <c r="AM333" s="316">
        <v>1</v>
      </c>
      <c r="AN333" s="316">
        <v>1</v>
      </c>
      <c r="AO333" s="316">
        <v>1</v>
      </c>
      <c r="AP333" s="316">
        <v>1</v>
      </c>
      <c r="AQ333" s="316">
        <v>1</v>
      </c>
      <c r="AR333" s="316">
        <v>1</v>
      </c>
      <c r="AS333" s="316">
        <v>1</v>
      </c>
      <c r="AT333" s="316">
        <v>1</v>
      </c>
    </row>
    <row r="334" spans="2:46" ht="12.75" customHeight="1" x14ac:dyDescent="0.15">
      <c r="B334" s="315">
        <v>5328</v>
      </c>
      <c r="C334" s="319" t="s">
        <v>1034</v>
      </c>
      <c r="D334" s="313" t="s">
        <v>101</v>
      </c>
      <c r="E334" s="319" t="s">
        <v>1793</v>
      </c>
      <c r="F334" s="319" t="s">
        <v>1211</v>
      </c>
      <c r="G334" s="315" t="str">
        <f>_xlfn.XLOOKUP(B334,'WFP Details - 2026'!A:A,'WFP Details - 2026'!Z:Z)</f>
        <v>x</v>
      </c>
      <c r="H334" s="314">
        <v>46096</v>
      </c>
      <c r="I334" s="315">
        <v>3</v>
      </c>
      <c r="J334" s="315">
        <v>2026</v>
      </c>
      <c r="K334" s="316">
        <v>0</v>
      </c>
      <c r="L334" s="316">
        <v>0</v>
      </c>
      <c r="M334" s="316">
        <v>1</v>
      </c>
      <c r="N334" s="316">
        <v>1</v>
      </c>
      <c r="O334" s="316">
        <v>1</v>
      </c>
      <c r="P334" s="316">
        <v>1</v>
      </c>
      <c r="Q334" s="316">
        <v>1</v>
      </c>
      <c r="R334" s="316">
        <v>1</v>
      </c>
      <c r="S334" s="316">
        <v>1</v>
      </c>
      <c r="T334" s="316">
        <v>1</v>
      </c>
      <c r="U334" s="316">
        <v>1</v>
      </c>
      <c r="V334" s="316">
        <v>1</v>
      </c>
      <c r="W334" s="316">
        <v>1</v>
      </c>
      <c r="X334" s="316">
        <v>1</v>
      </c>
      <c r="Y334" s="316">
        <v>1</v>
      </c>
      <c r="Z334" s="316">
        <v>1</v>
      </c>
      <c r="AA334" s="316">
        <v>1</v>
      </c>
      <c r="AB334" s="316">
        <v>1</v>
      </c>
      <c r="AC334" s="316">
        <v>1</v>
      </c>
      <c r="AD334" s="316">
        <v>1</v>
      </c>
      <c r="AE334" s="316">
        <v>1</v>
      </c>
      <c r="AF334" s="316">
        <v>1</v>
      </c>
      <c r="AG334" s="316">
        <v>1</v>
      </c>
      <c r="AH334" s="316">
        <v>1</v>
      </c>
      <c r="AI334" s="316">
        <v>1</v>
      </c>
      <c r="AJ334" s="316">
        <v>1</v>
      </c>
      <c r="AK334" s="316">
        <v>1</v>
      </c>
      <c r="AL334" s="316">
        <v>1</v>
      </c>
      <c r="AM334" s="316">
        <v>1</v>
      </c>
      <c r="AN334" s="316">
        <v>1</v>
      </c>
      <c r="AO334" s="316">
        <v>1</v>
      </c>
      <c r="AP334" s="316">
        <v>1</v>
      </c>
      <c r="AQ334" s="316">
        <v>1</v>
      </c>
      <c r="AR334" s="316">
        <v>1</v>
      </c>
      <c r="AS334" s="316">
        <v>1</v>
      </c>
      <c r="AT334" s="316">
        <v>1</v>
      </c>
    </row>
    <row r="335" spans="2:46" ht="12.75" customHeight="1" x14ac:dyDescent="0.15">
      <c r="B335" s="315">
        <v>5327</v>
      </c>
      <c r="C335" s="319" t="s">
        <v>1034</v>
      </c>
      <c r="D335" s="313" t="s">
        <v>101</v>
      </c>
      <c r="E335" s="319" t="s">
        <v>1817</v>
      </c>
      <c r="F335" s="319" t="s">
        <v>1106</v>
      </c>
      <c r="G335" s="315" t="str">
        <f>_xlfn.XLOOKUP(B335,'WFP Details - 2026'!A:A,'WFP Details - 2026'!Z:Z)</f>
        <v>x</v>
      </c>
      <c r="H335" s="314">
        <v>46188</v>
      </c>
      <c r="I335" s="315">
        <v>6</v>
      </c>
      <c r="J335" s="315">
        <v>2026</v>
      </c>
      <c r="K335" s="316">
        <v>0</v>
      </c>
      <c r="L335" s="316">
        <v>0</v>
      </c>
      <c r="M335" s="316">
        <v>0</v>
      </c>
      <c r="N335" s="316">
        <v>0</v>
      </c>
      <c r="O335" s="316">
        <v>0</v>
      </c>
      <c r="P335" s="316">
        <v>1</v>
      </c>
      <c r="Q335" s="316">
        <v>1</v>
      </c>
      <c r="R335" s="316">
        <v>1</v>
      </c>
      <c r="S335" s="316">
        <v>1</v>
      </c>
      <c r="T335" s="316">
        <v>1</v>
      </c>
      <c r="U335" s="316">
        <v>1</v>
      </c>
      <c r="V335" s="316">
        <v>1</v>
      </c>
      <c r="W335" s="316">
        <v>1</v>
      </c>
      <c r="X335" s="316">
        <v>1</v>
      </c>
      <c r="Y335" s="316">
        <v>1</v>
      </c>
      <c r="Z335" s="316">
        <v>1</v>
      </c>
      <c r="AA335" s="316">
        <v>1</v>
      </c>
      <c r="AB335" s="316">
        <v>1</v>
      </c>
      <c r="AC335" s="316">
        <v>1</v>
      </c>
      <c r="AD335" s="316">
        <v>1</v>
      </c>
      <c r="AE335" s="316">
        <v>1</v>
      </c>
      <c r="AF335" s="316">
        <v>1</v>
      </c>
      <c r="AG335" s="316">
        <v>1</v>
      </c>
      <c r="AH335" s="316">
        <v>1</v>
      </c>
      <c r="AI335" s="316">
        <v>1</v>
      </c>
      <c r="AJ335" s="316">
        <v>1</v>
      </c>
      <c r="AK335" s="316">
        <v>1</v>
      </c>
      <c r="AL335" s="316">
        <v>1</v>
      </c>
      <c r="AM335" s="316">
        <v>1</v>
      </c>
      <c r="AN335" s="316">
        <v>1</v>
      </c>
      <c r="AO335" s="316">
        <v>1</v>
      </c>
      <c r="AP335" s="316">
        <v>1</v>
      </c>
      <c r="AQ335" s="316">
        <v>1</v>
      </c>
      <c r="AR335" s="316">
        <v>1</v>
      </c>
      <c r="AS335" s="316">
        <v>1</v>
      </c>
      <c r="AT335" s="316">
        <v>1</v>
      </c>
    </row>
    <row r="336" spans="2:46" ht="12.75" customHeight="1" x14ac:dyDescent="0.15">
      <c r="B336" s="315">
        <v>5329</v>
      </c>
      <c r="C336" s="319" t="s">
        <v>1034</v>
      </c>
      <c r="D336" s="313" t="s">
        <v>101</v>
      </c>
      <c r="E336" s="319" t="s">
        <v>1817</v>
      </c>
      <c r="F336" s="319" t="s">
        <v>1106</v>
      </c>
      <c r="G336" s="315" t="str">
        <f>_xlfn.XLOOKUP(B336,'WFP Details - 2026'!A:A,'WFP Details - 2026'!Z:Z)</f>
        <v>x</v>
      </c>
      <c r="H336" s="314">
        <v>46188</v>
      </c>
      <c r="I336" s="315">
        <v>6</v>
      </c>
      <c r="J336" s="315">
        <v>2026</v>
      </c>
      <c r="K336" s="316">
        <v>0</v>
      </c>
      <c r="L336" s="316">
        <v>0</v>
      </c>
      <c r="M336" s="316">
        <v>0</v>
      </c>
      <c r="N336" s="316">
        <v>0</v>
      </c>
      <c r="O336" s="316">
        <v>0</v>
      </c>
      <c r="P336" s="316">
        <v>1</v>
      </c>
      <c r="Q336" s="316">
        <v>1</v>
      </c>
      <c r="R336" s="316">
        <v>1</v>
      </c>
      <c r="S336" s="316">
        <v>1</v>
      </c>
      <c r="T336" s="316">
        <v>1</v>
      </c>
      <c r="U336" s="316">
        <v>1</v>
      </c>
      <c r="V336" s="316">
        <v>1</v>
      </c>
      <c r="W336" s="316">
        <v>1</v>
      </c>
      <c r="X336" s="316">
        <v>1</v>
      </c>
      <c r="Y336" s="316">
        <v>1</v>
      </c>
      <c r="Z336" s="316">
        <v>1</v>
      </c>
      <c r="AA336" s="316">
        <v>1</v>
      </c>
      <c r="AB336" s="316">
        <v>1</v>
      </c>
      <c r="AC336" s="316">
        <v>1</v>
      </c>
      <c r="AD336" s="316">
        <v>1</v>
      </c>
      <c r="AE336" s="316">
        <v>1</v>
      </c>
      <c r="AF336" s="316">
        <v>1</v>
      </c>
      <c r="AG336" s="316">
        <v>1</v>
      </c>
      <c r="AH336" s="316">
        <v>1</v>
      </c>
      <c r="AI336" s="316">
        <v>1</v>
      </c>
      <c r="AJ336" s="316">
        <v>1</v>
      </c>
      <c r="AK336" s="316">
        <v>1</v>
      </c>
      <c r="AL336" s="316">
        <v>1</v>
      </c>
      <c r="AM336" s="316">
        <v>1</v>
      </c>
      <c r="AN336" s="316">
        <v>1</v>
      </c>
      <c r="AO336" s="316">
        <v>1</v>
      </c>
      <c r="AP336" s="316">
        <v>1</v>
      </c>
      <c r="AQ336" s="316">
        <v>1</v>
      </c>
      <c r="AR336" s="316">
        <v>1</v>
      </c>
      <c r="AS336" s="316">
        <v>1</v>
      </c>
      <c r="AT336" s="316">
        <v>1</v>
      </c>
    </row>
    <row r="337" spans="2:46" ht="12.75" customHeight="1" x14ac:dyDescent="0.15">
      <c r="B337" s="315">
        <v>5292</v>
      </c>
      <c r="C337" s="319" t="s">
        <v>1034</v>
      </c>
      <c r="D337" s="313" t="s">
        <v>101</v>
      </c>
      <c r="E337" s="319" t="s">
        <v>1795</v>
      </c>
      <c r="F337" s="319" t="s">
        <v>1110</v>
      </c>
      <c r="G337" s="315" t="str">
        <f>_xlfn.XLOOKUP(B337,'WFP Details - 2026'!A:A,'WFP Details - 2026'!Z:Z)</f>
        <v>x</v>
      </c>
      <c r="H337" s="314">
        <v>46280</v>
      </c>
      <c r="I337" s="315">
        <v>9</v>
      </c>
      <c r="J337" s="315">
        <v>2026</v>
      </c>
      <c r="K337" s="316">
        <v>0</v>
      </c>
      <c r="L337" s="316">
        <v>0</v>
      </c>
      <c r="M337" s="316">
        <v>0</v>
      </c>
      <c r="N337" s="316">
        <v>0</v>
      </c>
      <c r="O337" s="316">
        <v>0</v>
      </c>
      <c r="P337" s="316">
        <v>0</v>
      </c>
      <c r="Q337" s="316">
        <v>0</v>
      </c>
      <c r="R337" s="316">
        <v>0</v>
      </c>
      <c r="S337" s="316">
        <v>1</v>
      </c>
      <c r="T337" s="316">
        <v>1</v>
      </c>
      <c r="U337" s="316">
        <v>1</v>
      </c>
      <c r="V337" s="316">
        <v>1</v>
      </c>
      <c r="W337" s="316">
        <v>1</v>
      </c>
      <c r="X337" s="316">
        <v>1</v>
      </c>
      <c r="Y337" s="316">
        <v>1</v>
      </c>
      <c r="Z337" s="316">
        <v>1</v>
      </c>
      <c r="AA337" s="316">
        <v>1</v>
      </c>
      <c r="AB337" s="316">
        <v>1</v>
      </c>
      <c r="AC337" s="316">
        <v>1</v>
      </c>
      <c r="AD337" s="316">
        <v>1</v>
      </c>
      <c r="AE337" s="316">
        <v>1</v>
      </c>
      <c r="AF337" s="316">
        <v>1</v>
      </c>
      <c r="AG337" s="316">
        <v>1</v>
      </c>
      <c r="AH337" s="316">
        <v>1</v>
      </c>
      <c r="AI337" s="316">
        <v>1</v>
      </c>
      <c r="AJ337" s="316">
        <v>1</v>
      </c>
      <c r="AK337" s="316">
        <v>1</v>
      </c>
      <c r="AL337" s="316">
        <v>1</v>
      </c>
      <c r="AM337" s="316">
        <v>1</v>
      </c>
      <c r="AN337" s="316">
        <v>1</v>
      </c>
      <c r="AO337" s="316">
        <v>1</v>
      </c>
      <c r="AP337" s="316">
        <v>1</v>
      </c>
      <c r="AQ337" s="316">
        <v>1</v>
      </c>
      <c r="AR337" s="316">
        <v>1</v>
      </c>
      <c r="AS337" s="316">
        <v>1</v>
      </c>
      <c r="AT337" s="316">
        <v>1</v>
      </c>
    </row>
    <row r="338" spans="2:46" ht="12.75" customHeight="1" x14ac:dyDescent="0.15">
      <c r="B338" s="315">
        <v>5298</v>
      </c>
      <c r="C338" s="319" t="s">
        <v>1034</v>
      </c>
      <c r="D338" s="313" t="s">
        <v>101</v>
      </c>
      <c r="E338" s="319" t="s">
        <v>1805</v>
      </c>
      <c r="F338" s="319" t="s">
        <v>1116</v>
      </c>
      <c r="G338" s="315" t="str">
        <f>_xlfn.XLOOKUP(B338,'WFP Details - 2026'!A:A,'WFP Details - 2026'!Z:Z)</f>
        <v>x</v>
      </c>
      <c r="H338" s="314">
        <v>46280</v>
      </c>
      <c r="I338" s="315">
        <v>9</v>
      </c>
      <c r="J338" s="315">
        <v>2026</v>
      </c>
      <c r="K338" s="316">
        <v>0</v>
      </c>
      <c r="L338" s="316">
        <v>0</v>
      </c>
      <c r="M338" s="316">
        <v>0</v>
      </c>
      <c r="N338" s="316">
        <v>0</v>
      </c>
      <c r="O338" s="316">
        <v>0</v>
      </c>
      <c r="P338" s="316">
        <v>0</v>
      </c>
      <c r="Q338" s="316">
        <v>0</v>
      </c>
      <c r="R338" s="316">
        <v>0</v>
      </c>
      <c r="S338" s="316">
        <v>1</v>
      </c>
      <c r="T338" s="316">
        <v>1</v>
      </c>
      <c r="U338" s="316">
        <v>1</v>
      </c>
      <c r="V338" s="316">
        <v>1</v>
      </c>
      <c r="W338" s="316">
        <v>1</v>
      </c>
      <c r="X338" s="316">
        <v>1</v>
      </c>
      <c r="Y338" s="316">
        <v>1</v>
      </c>
      <c r="Z338" s="316">
        <v>1</v>
      </c>
      <c r="AA338" s="316">
        <v>1</v>
      </c>
      <c r="AB338" s="316">
        <v>1</v>
      </c>
      <c r="AC338" s="316">
        <v>1</v>
      </c>
      <c r="AD338" s="316">
        <v>1</v>
      </c>
      <c r="AE338" s="316">
        <v>1</v>
      </c>
      <c r="AF338" s="316">
        <v>1</v>
      </c>
      <c r="AG338" s="316">
        <v>1</v>
      </c>
      <c r="AH338" s="316">
        <v>1</v>
      </c>
      <c r="AI338" s="316">
        <v>1</v>
      </c>
      <c r="AJ338" s="316">
        <v>1</v>
      </c>
      <c r="AK338" s="316">
        <v>1</v>
      </c>
      <c r="AL338" s="316">
        <v>1</v>
      </c>
      <c r="AM338" s="316">
        <v>1</v>
      </c>
      <c r="AN338" s="316">
        <v>1</v>
      </c>
      <c r="AO338" s="316">
        <v>1</v>
      </c>
      <c r="AP338" s="316">
        <v>1</v>
      </c>
      <c r="AQ338" s="316">
        <v>1</v>
      </c>
      <c r="AR338" s="316">
        <v>1</v>
      </c>
      <c r="AS338" s="316">
        <v>1</v>
      </c>
      <c r="AT338" s="316">
        <v>1</v>
      </c>
    </row>
    <row r="339" spans="2:46" ht="12.75" customHeight="1" x14ac:dyDescent="0.15">
      <c r="B339" s="315">
        <v>5306</v>
      </c>
      <c r="C339" s="319" t="s">
        <v>1034</v>
      </c>
      <c r="D339" s="313" t="s">
        <v>101</v>
      </c>
      <c r="E339" s="319" t="s">
        <v>1795</v>
      </c>
      <c r="F339" s="319" t="s">
        <v>1121</v>
      </c>
      <c r="G339" s="315" t="str">
        <f>_xlfn.XLOOKUP(B339,'WFP Details - 2026'!A:A,'WFP Details - 2026'!Z:Z)</f>
        <v>x</v>
      </c>
      <c r="H339" s="314">
        <v>46280</v>
      </c>
      <c r="I339" s="315">
        <v>9</v>
      </c>
      <c r="J339" s="315">
        <v>2026</v>
      </c>
      <c r="K339" s="316">
        <v>0</v>
      </c>
      <c r="L339" s="316">
        <v>0</v>
      </c>
      <c r="M339" s="316">
        <v>0</v>
      </c>
      <c r="N339" s="316">
        <v>0</v>
      </c>
      <c r="O339" s="316">
        <v>0</v>
      </c>
      <c r="P339" s="316">
        <v>0</v>
      </c>
      <c r="Q339" s="316">
        <v>0</v>
      </c>
      <c r="R339" s="316">
        <v>0</v>
      </c>
      <c r="S339" s="316">
        <v>1</v>
      </c>
      <c r="T339" s="316">
        <v>1</v>
      </c>
      <c r="U339" s="316">
        <v>1</v>
      </c>
      <c r="V339" s="316">
        <v>1</v>
      </c>
      <c r="W339" s="316">
        <v>1</v>
      </c>
      <c r="X339" s="316">
        <v>1</v>
      </c>
      <c r="Y339" s="316">
        <v>1</v>
      </c>
      <c r="Z339" s="316">
        <v>1</v>
      </c>
      <c r="AA339" s="316">
        <v>1</v>
      </c>
      <c r="AB339" s="316">
        <v>1</v>
      </c>
      <c r="AC339" s="316">
        <v>1</v>
      </c>
      <c r="AD339" s="316">
        <v>1</v>
      </c>
      <c r="AE339" s="316">
        <v>1</v>
      </c>
      <c r="AF339" s="316">
        <v>1</v>
      </c>
      <c r="AG339" s="316">
        <v>1</v>
      </c>
      <c r="AH339" s="316">
        <v>1</v>
      </c>
      <c r="AI339" s="316">
        <v>1</v>
      </c>
      <c r="AJ339" s="316">
        <v>1</v>
      </c>
      <c r="AK339" s="316">
        <v>1</v>
      </c>
      <c r="AL339" s="316">
        <v>1</v>
      </c>
      <c r="AM339" s="316">
        <v>1</v>
      </c>
      <c r="AN339" s="316">
        <v>1</v>
      </c>
      <c r="AO339" s="316">
        <v>1</v>
      </c>
      <c r="AP339" s="316">
        <v>1</v>
      </c>
      <c r="AQ339" s="316">
        <v>1</v>
      </c>
      <c r="AR339" s="316">
        <v>1</v>
      </c>
      <c r="AS339" s="316">
        <v>1</v>
      </c>
      <c r="AT339" s="316">
        <v>1</v>
      </c>
    </row>
    <row r="340" spans="2:46" ht="12.75" customHeight="1" x14ac:dyDescent="0.15">
      <c r="B340" s="315">
        <v>1392</v>
      </c>
      <c r="C340" s="319" t="s">
        <v>1034</v>
      </c>
      <c r="D340" s="313" t="s">
        <v>101</v>
      </c>
      <c r="E340" s="319" t="s">
        <v>1805</v>
      </c>
      <c r="F340" s="319" t="s">
        <v>1113</v>
      </c>
      <c r="G340" s="315" t="str">
        <f>_xlfn.XLOOKUP(B340,'WFP Details - 2026'!A:A,'WFP Details - 2026'!Z:Z)</f>
        <v>x</v>
      </c>
      <c r="H340" s="314">
        <v>46280</v>
      </c>
      <c r="I340" s="315">
        <v>9</v>
      </c>
      <c r="J340" s="315">
        <v>2026</v>
      </c>
      <c r="K340" s="316">
        <v>0</v>
      </c>
      <c r="L340" s="316">
        <v>0</v>
      </c>
      <c r="M340" s="316">
        <v>0</v>
      </c>
      <c r="N340" s="316">
        <v>0</v>
      </c>
      <c r="O340" s="316">
        <v>0</v>
      </c>
      <c r="P340" s="316">
        <v>0</v>
      </c>
      <c r="Q340" s="316">
        <v>0</v>
      </c>
      <c r="R340" s="316">
        <v>0</v>
      </c>
      <c r="S340" s="316">
        <v>1</v>
      </c>
      <c r="T340" s="316">
        <v>1</v>
      </c>
      <c r="U340" s="316">
        <v>1</v>
      </c>
      <c r="V340" s="316">
        <v>1</v>
      </c>
      <c r="W340" s="316">
        <v>1</v>
      </c>
      <c r="X340" s="316">
        <v>1</v>
      </c>
      <c r="Y340" s="316">
        <v>1</v>
      </c>
      <c r="Z340" s="316">
        <v>1</v>
      </c>
      <c r="AA340" s="316">
        <v>1</v>
      </c>
      <c r="AB340" s="316">
        <v>1</v>
      </c>
      <c r="AC340" s="316">
        <v>1</v>
      </c>
      <c r="AD340" s="316">
        <v>1</v>
      </c>
      <c r="AE340" s="316">
        <v>1</v>
      </c>
      <c r="AF340" s="316">
        <v>1</v>
      </c>
      <c r="AG340" s="316">
        <v>1</v>
      </c>
      <c r="AH340" s="316">
        <v>1</v>
      </c>
      <c r="AI340" s="316">
        <v>1</v>
      </c>
      <c r="AJ340" s="316">
        <v>1</v>
      </c>
      <c r="AK340" s="316">
        <v>1</v>
      </c>
      <c r="AL340" s="316">
        <v>1</v>
      </c>
      <c r="AM340" s="316">
        <v>1</v>
      </c>
      <c r="AN340" s="316">
        <v>1</v>
      </c>
      <c r="AO340" s="316">
        <v>1</v>
      </c>
      <c r="AP340" s="316">
        <v>1</v>
      </c>
      <c r="AQ340" s="316">
        <v>1</v>
      </c>
      <c r="AR340" s="316">
        <v>1</v>
      </c>
      <c r="AS340" s="316">
        <v>1</v>
      </c>
      <c r="AT340" s="316">
        <v>1</v>
      </c>
    </row>
    <row r="341" spans="2:46" ht="12.75" customHeight="1" x14ac:dyDescent="0.15">
      <c r="B341" s="315">
        <v>5308</v>
      </c>
      <c r="C341" s="319" t="s">
        <v>1034</v>
      </c>
      <c r="D341" s="313" t="s">
        <v>101</v>
      </c>
      <c r="E341" s="319" t="s">
        <v>1795</v>
      </c>
      <c r="F341" s="319" t="s">
        <v>1121</v>
      </c>
      <c r="G341" s="315" t="str">
        <f>_xlfn.XLOOKUP(B341,'WFP Details - 2026'!A:A,'WFP Details - 2026'!Z:Z)</f>
        <v>x</v>
      </c>
      <c r="H341" s="314">
        <v>46280</v>
      </c>
      <c r="I341" s="315">
        <v>9</v>
      </c>
      <c r="J341" s="315">
        <v>2026</v>
      </c>
      <c r="K341" s="316">
        <v>0</v>
      </c>
      <c r="L341" s="316">
        <v>0</v>
      </c>
      <c r="M341" s="316">
        <v>0</v>
      </c>
      <c r="N341" s="316">
        <v>0</v>
      </c>
      <c r="O341" s="316">
        <v>0</v>
      </c>
      <c r="P341" s="316">
        <v>0</v>
      </c>
      <c r="Q341" s="316">
        <v>0</v>
      </c>
      <c r="R341" s="316">
        <v>0</v>
      </c>
      <c r="S341" s="316">
        <v>1</v>
      </c>
      <c r="T341" s="316">
        <v>1</v>
      </c>
      <c r="U341" s="316">
        <v>1</v>
      </c>
      <c r="V341" s="316">
        <v>1</v>
      </c>
      <c r="W341" s="316">
        <v>1</v>
      </c>
      <c r="X341" s="316">
        <v>1</v>
      </c>
      <c r="Y341" s="316">
        <v>1</v>
      </c>
      <c r="Z341" s="316">
        <v>1</v>
      </c>
      <c r="AA341" s="316">
        <v>1</v>
      </c>
      <c r="AB341" s="316">
        <v>1</v>
      </c>
      <c r="AC341" s="316">
        <v>1</v>
      </c>
      <c r="AD341" s="316">
        <v>1</v>
      </c>
      <c r="AE341" s="316">
        <v>1</v>
      </c>
      <c r="AF341" s="316">
        <v>1</v>
      </c>
      <c r="AG341" s="316">
        <v>1</v>
      </c>
      <c r="AH341" s="316">
        <v>1</v>
      </c>
      <c r="AI341" s="316">
        <v>1</v>
      </c>
      <c r="AJ341" s="316">
        <v>1</v>
      </c>
      <c r="AK341" s="316">
        <v>1</v>
      </c>
      <c r="AL341" s="316">
        <v>1</v>
      </c>
      <c r="AM341" s="316">
        <v>1</v>
      </c>
      <c r="AN341" s="316">
        <v>1</v>
      </c>
      <c r="AO341" s="316">
        <v>1</v>
      </c>
      <c r="AP341" s="316">
        <v>1</v>
      </c>
      <c r="AQ341" s="316">
        <v>1</v>
      </c>
      <c r="AR341" s="316">
        <v>1</v>
      </c>
      <c r="AS341" s="316">
        <v>1</v>
      </c>
      <c r="AT341" s="316">
        <v>1</v>
      </c>
    </row>
    <row r="342" spans="2:46" ht="12.75" customHeight="1" x14ac:dyDescent="0.15">
      <c r="B342" s="315">
        <v>5337</v>
      </c>
      <c r="C342" s="319" t="s">
        <v>1034</v>
      </c>
      <c r="D342" s="313" t="s">
        <v>101</v>
      </c>
      <c r="E342" s="319" t="s">
        <v>1805</v>
      </c>
      <c r="F342" s="319" t="s">
        <v>1021</v>
      </c>
      <c r="G342" s="315" t="str">
        <f>_xlfn.XLOOKUP(B342,'WFP Details - 2026'!A:A,'WFP Details - 2026'!Z:Z)</f>
        <v>x</v>
      </c>
      <c r="H342" s="314">
        <v>46371</v>
      </c>
      <c r="I342" s="315">
        <v>12</v>
      </c>
      <c r="J342" s="315">
        <v>2026</v>
      </c>
      <c r="K342" s="316">
        <v>0</v>
      </c>
      <c r="L342" s="316">
        <v>0</v>
      </c>
      <c r="M342" s="316">
        <v>0</v>
      </c>
      <c r="N342" s="316">
        <v>0</v>
      </c>
      <c r="O342" s="316">
        <v>0</v>
      </c>
      <c r="P342" s="316">
        <v>0</v>
      </c>
      <c r="Q342" s="316">
        <v>0</v>
      </c>
      <c r="R342" s="316">
        <v>0</v>
      </c>
      <c r="S342" s="316">
        <v>0</v>
      </c>
      <c r="T342" s="316">
        <v>0</v>
      </c>
      <c r="U342" s="316">
        <v>0</v>
      </c>
      <c r="V342" s="316">
        <v>1</v>
      </c>
      <c r="W342" s="316">
        <v>1</v>
      </c>
      <c r="X342" s="316">
        <v>1</v>
      </c>
      <c r="Y342" s="316">
        <v>1</v>
      </c>
      <c r="Z342" s="316">
        <v>1</v>
      </c>
      <c r="AA342" s="316">
        <v>1</v>
      </c>
      <c r="AB342" s="316">
        <v>1</v>
      </c>
      <c r="AC342" s="316">
        <v>1</v>
      </c>
      <c r="AD342" s="316">
        <v>1</v>
      </c>
      <c r="AE342" s="316">
        <v>1</v>
      </c>
      <c r="AF342" s="316">
        <v>1</v>
      </c>
      <c r="AG342" s="316">
        <v>1</v>
      </c>
      <c r="AH342" s="316">
        <v>1</v>
      </c>
      <c r="AI342" s="316">
        <v>1</v>
      </c>
      <c r="AJ342" s="316">
        <v>1</v>
      </c>
      <c r="AK342" s="316">
        <v>1</v>
      </c>
      <c r="AL342" s="316">
        <v>1</v>
      </c>
      <c r="AM342" s="316">
        <v>1</v>
      </c>
      <c r="AN342" s="316">
        <v>1</v>
      </c>
      <c r="AO342" s="316">
        <v>1</v>
      </c>
      <c r="AP342" s="316">
        <v>1</v>
      </c>
      <c r="AQ342" s="316">
        <v>1</v>
      </c>
      <c r="AR342" s="316">
        <v>1</v>
      </c>
      <c r="AS342" s="316">
        <v>1</v>
      </c>
      <c r="AT342" s="316">
        <v>1</v>
      </c>
    </row>
    <row r="343" spans="2:46" ht="12.75" customHeight="1" x14ac:dyDescent="0.15">
      <c r="B343" s="315">
        <v>5299</v>
      </c>
      <c r="C343" s="319" t="s">
        <v>1034</v>
      </c>
      <c r="D343" s="313" t="s">
        <v>101</v>
      </c>
      <c r="E343" s="319" t="s">
        <v>1805</v>
      </c>
      <c r="F343" s="319" t="s">
        <v>1116</v>
      </c>
      <c r="G343" s="315" t="str">
        <f>_xlfn.XLOOKUP(B343,'WFP Details - 2026'!A:A,'WFP Details - 2026'!Z:Z)</f>
        <v>x</v>
      </c>
      <c r="H343" s="314">
        <v>46371</v>
      </c>
      <c r="I343" s="315">
        <v>12</v>
      </c>
      <c r="J343" s="315">
        <v>2026</v>
      </c>
      <c r="K343" s="316">
        <v>0</v>
      </c>
      <c r="L343" s="316">
        <v>0</v>
      </c>
      <c r="M343" s="316">
        <v>0</v>
      </c>
      <c r="N343" s="316">
        <v>0</v>
      </c>
      <c r="O343" s="316">
        <v>0</v>
      </c>
      <c r="P343" s="316">
        <v>0</v>
      </c>
      <c r="Q343" s="316">
        <v>0</v>
      </c>
      <c r="R343" s="316">
        <v>0</v>
      </c>
      <c r="S343" s="316">
        <v>0</v>
      </c>
      <c r="T343" s="316">
        <v>0</v>
      </c>
      <c r="U343" s="316">
        <v>0</v>
      </c>
      <c r="V343" s="316">
        <v>1</v>
      </c>
      <c r="W343" s="316">
        <v>1</v>
      </c>
      <c r="X343" s="316">
        <v>1</v>
      </c>
      <c r="Y343" s="316">
        <v>1</v>
      </c>
      <c r="Z343" s="316">
        <v>1</v>
      </c>
      <c r="AA343" s="316">
        <v>1</v>
      </c>
      <c r="AB343" s="316">
        <v>1</v>
      </c>
      <c r="AC343" s="316">
        <v>1</v>
      </c>
      <c r="AD343" s="316">
        <v>1</v>
      </c>
      <c r="AE343" s="316">
        <v>1</v>
      </c>
      <c r="AF343" s="316">
        <v>1</v>
      </c>
      <c r="AG343" s="316">
        <v>1</v>
      </c>
      <c r="AH343" s="316">
        <v>1</v>
      </c>
      <c r="AI343" s="316">
        <v>1</v>
      </c>
      <c r="AJ343" s="316">
        <v>1</v>
      </c>
      <c r="AK343" s="316">
        <v>1</v>
      </c>
      <c r="AL343" s="316">
        <v>1</v>
      </c>
      <c r="AM343" s="316">
        <v>1</v>
      </c>
      <c r="AN343" s="316">
        <v>1</v>
      </c>
      <c r="AO343" s="316">
        <v>1</v>
      </c>
      <c r="AP343" s="316">
        <v>1</v>
      </c>
      <c r="AQ343" s="316">
        <v>1</v>
      </c>
      <c r="AR343" s="316">
        <v>1</v>
      </c>
      <c r="AS343" s="316">
        <v>1</v>
      </c>
      <c r="AT343" s="316">
        <v>1</v>
      </c>
    </row>
    <row r="344" spans="2:46" ht="12.75" hidden="1" customHeight="1" x14ac:dyDescent="0.15">
      <c r="B344" s="315">
        <v>5314</v>
      </c>
      <c r="C344" s="319" t="s">
        <v>1034</v>
      </c>
      <c r="D344" s="313" t="s">
        <v>101</v>
      </c>
      <c r="E344" s="313" t="s">
        <v>1795</v>
      </c>
      <c r="F344" s="313" t="s">
        <v>1190</v>
      </c>
      <c r="G344" s="315" t="e">
        <f>_xlfn.XLOOKUP(B344,'WFP Details - 2026'!A:A,'WFP Details - 2026'!Z:Z)</f>
        <v>#N/A</v>
      </c>
      <c r="H344" s="314">
        <v>46461</v>
      </c>
      <c r="I344" s="315">
        <v>3</v>
      </c>
      <c r="J344" s="315">
        <v>2027</v>
      </c>
      <c r="K344" s="316">
        <v>0</v>
      </c>
      <c r="L344" s="316">
        <v>0</v>
      </c>
      <c r="M344" s="316">
        <v>0</v>
      </c>
      <c r="N344" s="316">
        <v>0</v>
      </c>
      <c r="O344" s="316">
        <v>0</v>
      </c>
      <c r="P344" s="316">
        <v>0</v>
      </c>
      <c r="Q344" s="316">
        <v>0</v>
      </c>
      <c r="R344" s="316">
        <v>0</v>
      </c>
      <c r="S344" s="316">
        <v>0</v>
      </c>
      <c r="T344" s="316">
        <v>0</v>
      </c>
      <c r="U344" s="316">
        <v>0</v>
      </c>
      <c r="V344" s="316">
        <v>0</v>
      </c>
      <c r="W344" s="316">
        <v>0</v>
      </c>
      <c r="X344" s="316">
        <v>0</v>
      </c>
      <c r="Y344" s="316">
        <v>1</v>
      </c>
      <c r="Z344" s="316">
        <v>1</v>
      </c>
      <c r="AA344" s="316">
        <v>1</v>
      </c>
      <c r="AB344" s="316">
        <v>1</v>
      </c>
      <c r="AC344" s="316">
        <v>1</v>
      </c>
      <c r="AD344" s="316">
        <v>1</v>
      </c>
      <c r="AE344" s="316">
        <v>1</v>
      </c>
      <c r="AF344" s="316">
        <v>1</v>
      </c>
      <c r="AG344" s="316">
        <v>1</v>
      </c>
      <c r="AH344" s="316">
        <v>1</v>
      </c>
      <c r="AI344" s="316">
        <v>1</v>
      </c>
      <c r="AJ344" s="316">
        <v>1</v>
      </c>
      <c r="AK344" s="316">
        <v>1</v>
      </c>
      <c r="AL344" s="316">
        <v>1</v>
      </c>
      <c r="AM344" s="316">
        <v>1</v>
      </c>
      <c r="AN344" s="316">
        <v>1</v>
      </c>
      <c r="AO344" s="316">
        <v>1</v>
      </c>
      <c r="AP344" s="316">
        <v>1</v>
      </c>
      <c r="AQ344" s="316">
        <v>1</v>
      </c>
      <c r="AR344" s="316">
        <v>1</v>
      </c>
      <c r="AS344" s="316">
        <v>1</v>
      </c>
      <c r="AT344" s="316">
        <v>1</v>
      </c>
    </row>
    <row r="345" spans="2:46" ht="12.75" hidden="1" customHeight="1" x14ac:dyDescent="0.15">
      <c r="B345" s="315">
        <v>1351</v>
      </c>
      <c r="C345" s="319" t="s">
        <v>1034</v>
      </c>
      <c r="D345" s="313" t="s">
        <v>101</v>
      </c>
      <c r="E345" s="313" t="s">
        <v>1795</v>
      </c>
      <c r="F345" s="313" t="s">
        <v>1190</v>
      </c>
      <c r="G345" s="315" t="e">
        <f>_xlfn.XLOOKUP(B345,'WFP Details - 2026'!A:A,'WFP Details - 2026'!Z:Z)</f>
        <v>#N/A</v>
      </c>
      <c r="H345" s="314">
        <v>46461</v>
      </c>
      <c r="I345" s="315">
        <v>3</v>
      </c>
      <c r="J345" s="315">
        <v>2027</v>
      </c>
      <c r="K345" s="316">
        <v>0</v>
      </c>
      <c r="L345" s="316">
        <v>0</v>
      </c>
      <c r="M345" s="316">
        <v>0</v>
      </c>
      <c r="N345" s="316">
        <v>0</v>
      </c>
      <c r="O345" s="316">
        <v>0</v>
      </c>
      <c r="P345" s="316">
        <v>0</v>
      </c>
      <c r="Q345" s="316">
        <v>0</v>
      </c>
      <c r="R345" s="316">
        <v>0</v>
      </c>
      <c r="S345" s="316">
        <v>0</v>
      </c>
      <c r="T345" s="316">
        <v>0</v>
      </c>
      <c r="U345" s="316">
        <v>0</v>
      </c>
      <c r="V345" s="316">
        <v>0</v>
      </c>
      <c r="W345" s="316">
        <v>0</v>
      </c>
      <c r="X345" s="316">
        <v>0</v>
      </c>
      <c r="Y345" s="316">
        <v>1</v>
      </c>
      <c r="Z345" s="316">
        <v>1</v>
      </c>
      <c r="AA345" s="316">
        <v>1</v>
      </c>
      <c r="AB345" s="316">
        <v>1</v>
      </c>
      <c r="AC345" s="316">
        <v>1</v>
      </c>
      <c r="AD345" s="316">
        <v>1</v>
      </c>
      <c r="AE345" s="316">
        <v>1</v>
      </c>
      <c r="AF345" s="316">
        <v>1</v>
      </c>
      <c r="AG345" s="316">
        <v>1</v>
      </c>
      <c r="AH345" s="316">
        <v>1</v>
      </c>
      <c r="AI345" s="316">
        <v>1</v>
      </c>
      <c r="AJ345" s="316">
        <v>1</v>
      </c>
      <c r="AK345" s="316">
        <v>1</v>
      </c>
      <c r="AL345" s="316">
        <v>1</v>
      </c>
      <c r="AM345" s="316">
        <v>1</v>
      </c>
      <c r="AN345" s="316">
        <v>1</v>
      </c>
      <c r="AO345" s="316">
        <v>1</v>
      </c>
      <c r="AP345" s="316">
        <v>1</v>
      </c>
      <c r="AQ345" s="316">
        <v>1</v>
      </c>
      <c r="AR345" s="316">
        <v>1</v>
      </c>
      <c r="AS345" s="316">
        <v>1</v>
      </c>
      <c r="AT345" s="316">
        <v>1</v>
      </c>
    </row>
    <row r="346" spans="2:46" ht="12.75" hidden="1" customHeight="1" x14ac:dyDescent="0.15">
      <c r="B346" s="315">
        <v>5319</v>
      </c>
      <c r="C346" s="319" t="s">
        <v>1034</v>
      </c>
      <c r="D346" s="313" t="s">
        <v>101</v>
      </c>
      <c r="E346" s="313" t="s">
        <v>1801</v>
      </c>
      <c r="F346" s="319" t="s">
        <v>1203</v>
      </c>
      <c r="G346" s="315" t="e">
        <f>_xlfn.XLOOKUP(B346,'WFP Details - 2026'!A:A,'WFP Details - 2026'!Z:Z)</f>
        <v>#N/A</v>
      </c>
      <c r="H346" s="314">
        <v>46461</v>
      </c>
      <c r="I346" s="315">
        <v>3</v>
      </c>
      <c r="J346" s="315">
        <v>2027</v>
      </c>
      <c r="K346" s="316">
        <v>0</v>
      </c>
      <c r="L346" s="316">
        <v>0</v>
      </c>
      <c r="M346" s="316">
        <v>0</v>
      </c>
      <c r="N346" s="316">
        <v>0</v>
      </c>
      <c r="O346" s="316">
        <v>0</v>
      </c>
      <c r="P346" s="316">
        <v>0</v>
      </c>
      <c r="Q346" s="316">
        <v>0</v>
      </c>
      <c r="R346" s="316">
        <v>0</v>
      </c>
      <c r="S346" s="316">
        <v>0</v>
      </c>
      <c r="T346" s="316">
        <v>0</v>
      </c>
      <c r="U346" s="316">
        <v>0</v>
      </c>
      <c r="V346" s="316">
        <v>0</v>
      </c>
      <c r="W346" s="316">
        <v>0</v>
      </c>
      <c r="X346" s="316">
        <v>0</v>
      </c>
      <c r="Y346" s="316">
        <v>1</v>
      </c>
      <c r="Z346" s="316">
        <v>1</v>
      </c>
      <c r="AA346" s="316">
        <v>1</v>
      </c>
      <c r="AB346" s="316">
        <v>1</v>
      </c>
      <c r="AC346" s="316">
        <v>1</v>
      </c>
      <c r="AD346" s="316">
        <v>1</v>
      </c>
      <c r="AE346" s="316">
        <v>1</v>
      </c>
      <c r="AF346" s="316">
        <v>1</v>
      </c>
      <c r="AG346" s="316">
        <v>1</v>
      </c>
      <c r="AH346" s="316">
        <v>1</v>
      </c>
      <c r="AI346" s="316">
        <v>1</v>
      </c>
      <c r="AJ346" s="316">
        <v>1</v>
      </c>
      <c r="AK346" s="316">
        <v>1</v>
      </c>
      <c r="AL346" s="316">
        <v>1</v>
      </c>
      <c r="AM346" s="316">
        <v>1</v>
      </c>
      <c r="AN346" s="316">
        <v>1</v>
      </c>
      <c r="AO346" s="316">
        <v>1</v>
      </c>
      <c r="AP346" s="316">
        <v>1</v>
      </c>
      <c r="AQ346" s="316">
        <v>1</v>
      </c>
      <c r="AR346" s="316">
        <v>1</v>
      </c>
      <c r="AS346" s="316">
        <v>1</v>
      </c>
      <c r="AT346" s="316">
        <v>1</v>
      </c>
    </row>
    <row r="347" spans="2:46" ht="12.75" hidden="1" customHeight="1" x14ac:dyDescent="0.15">
      <c r="B347" s="315">
        <v>5323</v>
      </c>
      <c r="C347" s="319" t="s">
        <v>1034</v>
      </c>
      <c r="D347" s="313" t="s">
        <v>101</v>
      </c>
      <c r="E347" s="313" t="s">
        <v>1793</v>
      </c>
      <c r="F347" s="319" t="s">
        <v>1205</v>
      </c>
      <c r="G347" s="315" t="e">
        <f>_xlfn.XLOOKUP(B347,'WFP Details - 2026'!A:A,'WFP Details - 2026'!Z:Z)</f>
        <v>#N/A</v>
      </c>
      <c r="H347" s="314">
        <v>46461</v>
      </c>
      <c r="I347" s="315">
        <v>3</v>
      </c>
      <c r="J347" s="315">
        <v>2027</v>
      </c>
      <c r="K347" s="316">
        <v>0</v>
      </c>
      <c r="L347" s="316">
        <v>0</v>
      </c>
      <c r="M347" s="316">
        <v>0</v>
      </c>
      <c r="N347" s="316">
        <v>0</v>
      </c>
      <c r="O347" s="316">
        <v>0</v>
      </c>
      <c r="P347" s="316">
        <v>0</v>
      </c>
      <c r="Q347" s="316">
        <v>0</v>
      </c>
      <c r="R347" s="316">
        <v>0</v>
      </c>
      <c r="S347" s="316">
        <v>0</v>
      </c>
      <c r="T347" s="316">
        <v>0</v>
      </c>
      <c r="U347" s="316">
        <v>0</v>
      </c>
      <c r="V347" s="316">
        <v>0</v>
      </c>
      <c r="W347" s="316">
        <v>0</v>
      </c>
      <c r="X347" s="316">
        <v>0</v>
      </c>
      <c r="Y347" s="316">
        <v>1</v>
      </c>
      <c r="Z347" s="316">
        <v>1</v>
      </c>
      <c r="AA347" s="316">
        <v>1</v>
      </c>
      <c r="AB347" s="316">
        <v>1</v>
      </c>
      <c r="AC347" s="316">
        <v>1</v>
      </c>
      <c r="AD347" s="316">
        <v>1</v>
      </c>
      <c r="AE347" s="316">
        <v>1</v>
      </c>
      <c r="AF347" s="316">
        <v>1</v>
      </c>
      <c r="AG347" s="316">
        <v>1</v>
      </c>
      <c r="AH347" s="316">
        <v>1</v>
      </c>
      <c r="AI347" s="316">
        <v>1</v>
      </c>
      <c r="AJ347" s="316">
        <v>1</v>
      </c>
      <c r="AK347" s="316">
        <v>1</v>
      </c>
      <c r="AL347" s="316">
        <v>1</v>
      </c>
      <c r="AM347" s="316">
        <v>1</v>
      </c>
      <c r="AN347" s="316">
        <v>1</v>
      </c>
      <c r="AO347" s="316">
        <v>1</v>
      </c>
      <c r="AP347" s="316">
        <v>1</v>
      </c>
      <c r="AQ347" s="316">
        <v>1</v>
      </c>
      <c r="AR347" s="316">
        <v>1</v>
      </c>
      <c r="AS347" s="316">
        <v>1</v>
      </c>
      <c r="AT347" s="316">
        <v>1</v>
      </c>
    </row>
    <row r="348" spans="2:46" ht="12.75" hidden="1" customHeight="1" x14ac:dyDescent="0.15">
      <c r="B348" s="315">
        <v>5324</v>
      </c>
      <c r="C348" s="319" t="s">
        <v>1034</v>
      </c>
      <c r="D348" s="313" t="s">
        <v>101</v>
      </c>
      <c r="E348" s="313" t="s">
        <v>1817</v>
      </c>
      <c r="F348" s="319" t="s">
        <v>1207</v>
      </c>
      <c r="G348" s="315" t="e">
        <f>_xlfn.XLOOKUP(B348,'WFP Details - 2026'!A:A,'WFP Details - 2026'!Z:Z)</f>
        <v>#N/A</v>
      </c>
      <c r="H348" s="314">
        <v>46461</v>
      </c>
      <c r="I348" s="315">
        <v>3</v>
      </c>
      <c r="J348" s="315">
        <v>2027</v>
      </c>
      <c r="K348" s="316">
        <v>0</v>
      </c>
      <c r="L348" s="316">
        <v>0</v>
      </c>
      <c r="M348" s="316">
        <v>0</v>
      </c>
      <c r="N348" s="316">
        <v>0</v>
      </c>
      <c r="O348" s="316">
        <v>0</v>
      </c>
      <c r="P348" s="316">
        <v>0</v>
      </c>
      <c r="Q348" s="316">
        <v>0</v>
      </c>
      <c r="R348" s="316">
        <v>0</v>
      </c>
      <c r="S348" s="316">
        <v>0</v>
      </c>
      <c r="T348" s="316">
        <v>0</v>
      </c>
      <c r="U348" s="316">
        <v>0</v>
      </c>
      <c r="V348" s="316">
        <v>0</v>
      </c>
      <c r="W348" s="316">
        <v>0</v>
      </c>
      <c r="X348" s="316">
        <v>0</v>
      </c>
      <c r="Y348" s="316">
        <v>1</v>
      </c>
      <c r="Z348" s="316">
        <v>1</v>
      </c>
      <c r="AA348" s="316">
        <v>1</v>
      </c>
      <c r="AB348" s="316">
        <v>1</v>
      </c>
      <c r="AC348" s="316">
        <v>1</v>
      </c>
      <c r="AD348" s="316">
        <v>1</v>
      </c>
      <c r="AE348" s="316">
        <v>1</v>
      </c>
      <c r="AF348" s="316">
        <v>1</v>
      </c>
      <c r="AG348" s="316">
        <v>1</v>
      </c>
      <c r="AH348" s="316">
        <v>1</v>
      </c>
      <c r="AI348" s="316">
        <v>1</v>
      </c>
      <c r="AJ348" s="316">
        <v>1</v>
      </c>
      <c r="AK348" s="316">
        <v>1</v>
      </c>
      <c r="AL348" s="316">
        <v>1</v>
      </c>
      <c r="AM348" s="316">
        <v>1</v>
      </c>
      <c r="AN348" s="316">
        <v>1</v>
      </c>
      <c r="AO348" s="316">
        <v>1</v>
      </c>
      <c r="AP348" s="316">
        <v>1</v>
      </c>
      <c r="AQ348" s="316">
        <v>1</v>
      </c>
      <c r="AR348" s="316">
        <v>1</v>
      </c>
      <c r="AS348" s="316">
        <v>1</v>
      </c>
      <c r="AT348" s="316">
        <v>1</v>
      </c>
    </row>
    <row r="349" spans="2:46" ht="12.75" hidden="1" customHeight="1" x14ac:dyDescent="0.15">
      <c r="B349" s="315">
        <v>5294</v>
      </c>
      <c r="C349" s="319" t="s">
        <v>1034</v>
      </c>
      <c r="D349" s="313" t="s">
        <v>101</v>
      </c>
      <c r="E349" s="313" t="s">
        <v>1805</v>
      </c>
      <c r="F349" s="319" t="s">
        <v>1110</v>
      </c>
      <c r="G349" s="315" t="e">
        <f>_xlfn.XLOOKUP(B349,'WFP Details - 2026'!A:A,'WFP Details - 2026'!Z:Z)</f>
        <v>#N/A</v>
      </c>
      <c r="H349" s="314">
        <v>46461</v>
      </c>
      <c r="I349" s="315">
        <v>3</v>
      </c>
      <c r="J349" s="315">
        <v>2027</v>
      </c>
      <c r="K349" s="316">
        <v>0</v>
      </c>
      <c r="L349" s="316">
        <v>0</v>
      </c>
      <c r="M349" s="316">
        <v>0</v>
      </c>
      <c r="N349" s="316">
        <v>0</v>
      </c>
      <c r="O349" s="316">
        <v>0</v>
      </c>
      <c r="P349" s="316">
        <v>0</v>
      </c>
      <c r="Q349" s="316">
        <v>0</v>
      </c>
      <c r="R349" s="316">
        <v>0</v>
      </c>
      <c r="S349" s="316">
        <v>0</v>
      </c>
      <c r="T349" s="316">
        <v>0</v>
      </c>
      <c r="U349" s="316">
        <v>0</v>
      </c>
      <c r="V349" s="316">
        <v>0</v>
      </c>
      <c r="W349" s="316">
        <v>0</v>
      </c>
      <c r="X349" s="316">
        <v>0</v>
      </c>
      <c r="Y349" s="316">
        <v>1</v>
      </c>
      <c r="Z349" s="316">
        <v>1</v>
      </c>
      <c r="AA349" s="316">
        <v>1</v>
      </c>
      <c r="AB349" s="316">
        <v>1</v>
      </c>
      <c r="AC349" s="316">
        <v>1</v>
      </c>
      <c r="AD349" s="316">
        <v>1</v>
      </c>
      <c r="AE349" s="316">
        <v>1</v>
      </c>
      <c r="AF349" s="316">
        <v>1</v>
      </c>
      <c r="AG349" s="316">
        <v>1</v>
      </c>
      <c r="AH349" s="316">
        <v>1</v>
      </c>
      <c r="AI349" s="316">
        <v>1</v>
      </c>
      <c r="AJ349" s="316">
        <v>1</v>
      </c>
      <c r="AK349" s="316">
        <v>1</v>
      </c>
      <c r="AL349" s="316">
        <v>1</v>
      </c>
      <c r="AM349" s="316">
        <v>1</v>
      </c>
      <c r="AN349" s="316">
        <v>1</v>
      </c>
      <c r="AO349" s="316">
        <v>1</v>
      </c>
      <c r="AP349" s="316">
        <v>1</v>
      </c>
      <c r="AQ349" s="316">
        <v>1</v>
      </c>
      <c r="AR349" s="316">
        <v>1</v>
      </c>
      <c r="AS349" s="316">
        <v>1</v>
      </c>
      <c r="AT349" s="316">
        <v>1</v>
      </c>
    </row>
    <row r="350" spans="2:46" ht="12.75" hidden="1" customHeight="1" x14ac:dyDescent="0.15">
      <c r="B350" s="315">
        <v>5295</v>
      </c>
      <c r="C350" s="319" t="s">
        <v>1034</v>
      </c>
      <c r="D350" s="313" t="s">
        <v>101</v>
      </c>
      <c r="E350" s="313" t="s">
        <v>1795</v>
      </c>
      <c r="F350" s="319" t="s">
        <v>1110</v>
      </c>
      <c r="G350" s="315" t="e">
        <f>_xlfn.XLOOKUP(B350,'WFP Details - 2026'!A:A,'WFP Details - 2026'!Z:Z)</f>
        <v>#N/A</v>
      </c>
      <c r="H350" s="314">
        <v>46461</v>
      </c>
      <c r="I350" s="315">
        <v>3</v>
      </c>
      <c r="J350" s="315">
        <v>2027</v>
      </c>
      <c r="K350" s="316">
        <v>0</v>
      </c>
      <c r="L350" s="316">
        <v>0</v>
      </c>
      <c r="M350" s="316">
        <v>0</v>
      </c>
      <c r="N350" s="316">
        <v>0</v>
      </c>
      <c r="O350" s="316">
        <v>0</v>
      </c>
      <c r="P350" s="316">
        <v>0</v>
      </c>
      <c r="Q350" s="316">
        <v>0</v>
      </c>
      <c r="R350" s="316">
        <v>0</v>
      </c>
      <c r="S350" s="316">
        <v>0</v>
      </c>
      <c r="T350" s="316">
        <v>0</v>
      </c>
      <c r="U350" s="316">
        <v>0</v>
      </c>
      <c r="V350" s="316">
        <v>0</v>
      </c>
      <c r="W350" s="316">
        <v>0</v>
      </c>
      <c r="X350" s="316">
        <v>0</v>
      </c>
      <c r="Y350" s="316">
        <v>1</v>
      </c>
      <c r="Z350" s="316">
        <v>1</v>
      </c>
      <c r="AA350" s="316">
        <v>1</v>
      </c>
      <c r="AB350" s="316">
        <v>1</v>
      </c>
      <c r="AC350" s="316">
        <v>1</v>
      </c>
      <c r="AD350" s="316">
        <v>1</v>
      </c>
      <c r="AE350" s="316">
        <v>1</v>
      </c>
      <c r="AF350" s="316">
        <v>1</v>
      </c>
      <c r="AG350" s="316">
        <v>1</v>
      </c>
      <c r="AH350" s="316">
        <v>1</v>
      </c>
      <c r="AI350" s="316">
        <v>1</v>
      </c>
      <c r="AJ350" s="316">
        <v>1</v>
      </c>
      <c r="AK350" s="316">
        <v>1</v>
      </c>
      <c r="AL350" s="316">
        <v>1</v>
      </c>
      <c r="AM350" s="316">
        <v>1</v>
      </c>
      <c r="AN350" s="316">
        <v>1</v>
      </c>
      <c r="AO350" s="316">
        <v>1</v>
      </c>
      <c r="AP350" s="316">
        <v>1</v>
      </c>
      <c r="AQ350" s="316">
        <v>1</v>
      </c>
      <c r="AR350" s="316">
        <v>1</v>
      </c>
      <c r="AS350" s="316">
        <v>1</v>
      </c>
      <c r="AT350" s="316">
        <v>1</v>
      </c>
    </row>
    <row r="351" spans="2:46" ht="12.75" hidden="1" customHeight="1" x14ac:dyDescent="0.15">
      <c r="B351" s="315">
        <v>5296</v>
      </c>
      <c r="C351" s="319" t="s">
        <v>1034</v>
      </c>
      <c r="D351" s="313" t="s">
        <v>101</v>
      </c>
      <c r="E351" s="313" t="s">
        <v>1795</v>
      </c>
      <c r="F351" s="319" t="s">
        <v>1110</v>
      </c>
      <c r="G351" s="315" t="e">
        <f>_xlfn.XLOOKUP(B351,'WFP Details - 2026'!A:A,'WFP Details - 2026'!Z:Z)</f>
        <v>#N/A</v>
      </c>
      <c r="H351" s="314">
        <v>46461</v>
      </c>
      <c r="I351" s="315">
        <v>3</v>
      </c>
      <c r="J351" s="315">
        <v>2027</v>
      </c>
      <c r="K351" s="316">
        <v>0</v>
      </c>
      <c r="L351" s="316">
        <v>0</v>
      </c>
      <c r="M351" s="316">
        <v>0</v>
      </c>
      <c r="N351" s="316">
        <v>0</v>
      </c>
      <c r="O351" s="316">
        <v>0</v>
      </c>
      <c r="P351" s="316">
        <v>0</v>
      </c>
      <c r="Q351" s="316">
        <v>0</v>
      </c>
      <c r="R351" s="316">
        <v>0</v>
      </c>
      <c r="S351" s="316">
        <v>0</v>
      </c>
      <c r="T351" s="316">
        <v>0</v>
      </c>
      <c r="U351" s="316">
        <v>0</v>
      </c>
      <c r="V351" s="316">
        <v>0</v>
      </c>
      <c r="W351" s="316">
        <v>0</v>
      </c>
      <c r="X351" s="316">
        <v>0</v>
      </c>
      <c r="Y351" s="316">
        <v>1</v>
      </c>
      <c r="Z351" s="316">
        <v>1</v>
      </c>
      <c r="AA351" s="316">
        <v>1</v>
      </c>
      <c r="AB351" s="316">
        <v>1</v>
      </c>
      <c r="AC351" s="316">
        <v>1</v>
      </c>
      <c r="AD351" s="316">
        <v>1</v>
      </c>
      <c r="AE351" s="316">
        <v>1</v>
      </c>
      <c r="AF351" s="316">
        <v>1</v>
      </c>
      <c r="AG351" s="316">
        <v>1</v>
      </c>
      <c r="AH351" s="316">
        <v>1</v>
      </c>
      <c r="AI351" s="316">
        <v>1</v>
      </c>
      <c r="AJ351" s="316">
        <v>1</v>
      </c>
      <c r="AK351" s="316">
        <v>1</v>
      </c>
      <c r="AL351" s="316">
        <v>1</v>
      </c>
      <c r="AM351" s="316">
        <v>1</v>
      </c>
      <c r="AN351" s="316">
        <v>1</v>
      </c>
      <c r="AO351" s="316">
        <v>1</v>
      </c>
      <c r="AP351" s="316">
        <v>1</v>
      </c>
      <c r="AQ351" s="316">
        <v>1</v>
      </c>
      <c r="AR351" s="316">
        <v>1</v>
      </c>
      <c r="AS351" s="316">
        <v>1</v>
      </c>
      <c r="AT351" s="316">
        <v>1</v>
      </c>
    </row>
    <row r="352" spans="2:46" ht="12.75" hidden="1" customHeight="1" x14ac:dyDescent="0.15">
      <c r="B352" s="318">
        <v>5300</v>
      </c>
      <c r="C352" s="313" t="s">
        <v>1034</v>
      </c>
      <c r="D352" s="313" t="s">
        <v>101</v>
      </c>
      <c r="E352" s="313" t="s">
        <v>1805</v>
      </c>
      <c r="F352" s="313" t="s">
        <v>1116</v>
      </c>
      <c r="G352" s="315" t="e">
        <f>_xlfn.XLOOKUP(B352,'WFP Details - 2026'!A:A,'WFP Details - 2026'!Z:Z)</f>
        <v>#N/A</v>
      </c>
      <c r="H352" s="314">
        <v>46461</v>
      </c>
      <c r="I352" s="315">
        <v>3</v>
      </c>
      <c r="J352" s="315">
        <v>2027</v>
      </c>
      <c r="K352" s="316">
        <v>0</v>
      </c>
      <c r="L352" s="316">
        <v>0</v>
      </c>
      <c r="M352" s="316">
        <v>0</v>
      </c>
      <c r="N352" s="316">
        <v>0</v>
      </c>
      <c r="O352" s="316">
        <v>0</v>
      </c>
      <c r="P352" s="316">
        <v>0</v>
      </c>
      <c r="Q352" s="316">
        <v>0</v>
      </c>
      <c r="R352" s="316">
        <v>0</v>
      </c>
      <c r="S352" s="316">
        <v>0</v>
      </c>
      <c r="T352" s="316">
        <v>0</v>
      </c>
      <c r="U352" s="316">
        <v>0</v>
      </c>
      <c r="V352" s="316">
        <v>0</v>
      </c>
      <c r="W352" s="316">
        <v>0</v>
      </c>
      <c r="X352" s="316">
        <v>0</v>
      </c>
      <c r="Y352" s="316">
        <v>1</v>
      </c>
      <c r="Z352" s="316">
        <v>1</v>
      </c>
      <c r="AA352" s="316">
        <v>1</v>
      </c>
      <c r="AB352" s="316">
        <v>1</v>
      </c>
      <c r="AC352" s="316">
        <v>1</v>
      </c>
      <c r="AD352" s="316">
        <v>1</v>
      </c>
      <c r="AE352" s="316">
        <v>1</v>
      </c>
      <c r="AF352" s="316">
        <v>1</v>
      </c>
      <c r="AG352" s="316">
        <v>1</v>
      </c>
      <c r="AH352" s="316">
        <v>1</v>
      </c>
      <c r="AI352" s="316">
        <v>1</v>
      </c>
      <c r="AJ352" s="316">
        <v>1</v>
      </c>
      <c r="AK352" s="316">
        <v>1</v>
      </c>
      <c r="AL352" s="316">
        <v>1</v>
      </c>
      <c r="AM352" s="316">
        <v>1</v>
      </c>
      <c r="AN352" s="316">
        <v>1</v>
      </c>
      <c r="AO352" s="316">
        <v>1</v>
      </c>
      <c r="AP352" s="316">
        <v>1</v>
      </c>
      <c r="AQ352" s="316">
        <v>1</v>
      </c>
      <c r="AR352" s="316">
        <v>1</v>
      </c>
      <c r="AS352" s="316">
        <v>1</v>
      </c>
      <c r="AT352" s="316">
        <v>1</v>
      </c>
    </row>
    <row r="353" spans="2:46" ht="12.75" hidden="1" customHeight="1" x14ac:dyDescent="0.15">
      <c r="B353" s="318">
        <v>5302</v>
      </c>
      <c r="C353" s="313" t="s">
        <v>1034</v>
      </c>
      <c r="D353" s="313" t="s">
        <v>101</v>
      </c>
      <c r="E353" s="313" t="s">
        <v>1805</v>
      </c>
      <c r="F353" s="313" t="s">
        <v>1183</v>
      </c>
      <c r="G353" s="315" t="e">
        <f>_xlfn.XLOOKUP(B353,'WFP Details - 2026'!A:A,'WFP Details - 2026'!Z:Z)</f>
        <v>#N/A</v>
      </c>
      <c r="H353" s="314">
        <v>46461</v>
      </c>
      <c r="I353" s="315">
        <v>3</v>
      </c>
      <c r="J353" s="315">
        <v>2027</v>
      </c>
      <c r="K353" s="316">
        <v>0</v>
      </c>
      <c r="L353" s="316">
        <v>0</v>
      </c>
      <c r="M353" s="316">
        <v>0</v>
      </c>
      <c r="N353" s="316">
        <v>0</v>
      </c>
      <c r="O353" s="316">
        <v>0</v>
      </c>
      <c r="P353" s="316">
        <v>0</v>
      </c>
      <c r="Q353" s="316">
        <v>0</v>
      </c>
      <c r="R353" s="316">
        <v>0</v>
      </c>
      <c r="S353" s="316">
        <v>0</v>
      </c>
      <c r="T353" s="316">
        <v>0</v>
      </c>
      <c r="U353" s="316">
        <v>0</v>
      </c>
      <c r="V353" s="316">
        <v>0</v>
      </c>
      <c r="W353" s="316">
        <v>0</v>
      </c>
      <c r="X353" s="316">
        <v>0</v>
      </c>
      <c r="Y353" s="316">
        <v>1</v>
      </c>
      <c r="Z353" s="316">
        <v>1</v>
      </c>
      <c r="AA353" s="316">
        <v>1</v>
      </c>
      <c r="AB353" s="316">
        <v>1</v>
      </c>
      <c r="AC353" s="316">
        <v>1</v>
      </c>
      <c r="AD353" s="316">
        <v>1</v>
      </c>
      <c r="AE353" s="316">
        <v>1</v>
      </c>
      <c r="AF353" s="316">
        <v>1</v>
      </c>
      <c r="AG353" s="316">
        <v>1</v>
      </c>
      <c r="AH353" s="316">
        <v>1</v>
      </c>
      <c r="AI353" s="316">
        <v>1</v>
      </c>
      <c r="AJ353" s="316">
        <v>1</v>
      </c>
      <c r="AK353" s="316">
        <v>1</v>
      </c>
      <c r="AL353" s="316">
        <v>1</v>
      </c>
      <c r="AM353" s="316">
        <v>1</v>
      </c>
      <c r="AN353" s="316">
        <v>1</v>
      </c>
      <c r="AO353" s="316">
        <v>1</v>
      </c>
      <c r="AP353" s="316">
        <v>1</v>
      </c>
      <c r="AQ353" s="316">
        <v>1</v>
      </c>
      <c r="AR353" s="316">
        <v>1</v>
      </c>
      <c r="AS353" s="316">
        <v>1</v>
      </c>
      <c r="AT353" s="316">
        <v>1</v>
      </c>
    </row>
    <row r="354" spans="2:46" ht="12.75" hidden="1" customHeight="1" x14ac:dyDescent="0.15">
      <c r="B354" s="315">
        <v>5303</v>
      </c>
      <c r="C354" s="319" t="s">
        <v>1034</v>
      </c>
      <c r="D354" s="313" t="s">
        <v>101</v>
      </c>
      <c r="E354" s="313" t="s">
        <v>1805</v>
      </c>
      <c r="F354" s="313" t="s">
        <v>1183</v>
      </c>
      <c r="G354" s="315" t="e">
        <f>_xlfn.XLOOKUP(B354,'WFP Details - 2026'!A:A,'WFP Details - 2026'!Z:Z)</f>
        <v>#N/A</v>
      </c>
      <c r="H354" s="314">
        <v>46461</v>
      </c>
      <c r="I354" s="315">
        <v>3</v>
      </c>
      <c r="J354" s="315">
        <v>2027</v>
      </c>
      <c r="K354" s="316">
        <v>0</v>
      </c>
      <c r="L354" s="316">
        <v>0</v>
      </c>
      <c r="M354" s="316">
        <v>0</v>
      </c>
      <c r="N354" s="316">
        <v>0</v>
      </c>
      <c r="O354" s="316">
        <v>0</v>
      </c>
      <c r="P354" s="316">
        <v>0</v>
      </c>
      <c r="Q354" s="316">
        <v>0</v>
      </c>
      <c r="R354" s="316">
        <v>0</v>
      </c>
      <c r="S354" s="316">
        <v>0</v>
      </c>
      <c r="T354" s="316">
        <v>0</v>
      </c>
      <c r="U354" s="316">
        <v>0</v>
      </c>
      <c r="V354" s="316">
        <v>0</v>
      </c>
      <c r="W354" s="316">
        <v>0</v>
      </c>
      <c r="X354" s="316">
        <v>0</v>
      </c>
      <c r="Y354" s="316">
        <v>1</v>
      </c>
      <c r="Z354" s="316">
        <v>1</v>
      </c>
      <c r="AA354" s="316">
        <v>1</v>
      </c>
      <c r="AB354" s="316">
        <v>1</v>
      </c>
      <c r="AC354" s="316">
        <v>1</v>
      </c>
      <c r="AD354" s="316">
        <v>1</v>
      </c>
      <c r="AE354" s="316">
        <v>1</v>
      </c>
      <c r="AF354" s="316">
        <v>1</v>
      </c>
      <c r="AG354" s="316">
        <v>1</v>
      </c>
      <c r="AH354" s="316">
        <v>1</v>
      </c>
      <c r="AI354" s="316">
        <v>1</v>
      </c>
      <c r="AJ354" s="316">
        <v>1</v>
      </c>
      <c r="AK354" s="316">
        <v>1</v>
      </c>
      <c r="AL354" s="316">
        <v>1</v>
      </c>
      <c r="AM354" s="316">
        <v>1</v>
      </c>
      <c r="AN354" s="316">
        <v>1</v>
      </c>
      <c r="AO354" s="316">
        <v>1</v>
      </c>
      <c r="AP354" s="316">
        <v>1</v>
      </c>
      <c r="AQ354" s="316">
        <v>1</v>
      </c>
      <c r="AR354" s="316">
        <v>1</v>
      </c>
      <c r="AS354" s="316">
        <v>1</v>
      </c>
      <c r="AT354" s="316">
        <v>1</v>
      </c>
    </row>
    <row r="355" spans="2:46" ht="12.75" hidden="1" customHeight="1" x14ac:dyDescent="0.15">
      <c r="B355" s="315">
        <v>5307</v>
      </c>
      <c r="C355" s="319" t="s">
        <v>1034</v>
      </c>
      <c r="D355" s="313" t="s">
        <v>101</v>
      </c>
      <c r="E355" s="313" t="s">
        <v>1805</v>
      </c>
      <c r="F355" s="313" t="s">
        <v>1078</v>
      </c>
      <c r="G355" s="315" t="e">
        <f>_xlfn.XLOOKUP(B355,'WFP Details - 2026'!A:A,'WFP Details - 2026'!Z:Z)</f>
        <v>#N/A</v>
      </c>
      <c r="H355" s="314">
        <v>46461</v>
      </c>
      <c r="I355" s="315">
        <v>3</v>
      </c>
      <c r="J355" s="315">
        <v>2027</v>
      </c>
      <c r="K355" s="316">
        <v>0</v>
      </c>
      <c r="L355" s="316">
        <v>0</v>
      </c>
      <c r="M355" s="316">
        <v>0</v>
      </c>
      <c r="N355" s="316">
        <v>0</v>
      </c>
      <c r="O355" s="316">
        <v>0</v>
      </c>
      <c r="P355" s="316">
        <v>0</v>
      </c>
      <c r="Q355" s="316">
        <v>0</v>
      </c>
      <c r="R355" s="316">
        <v>0</v>
      </c>
      <c r="S355" s="316">
        <v>0</v>
      </c>
      <c r="T355" s="316">
        <v>0</v>
      </c>
      <c r="U355" s="316">
        <v>0</v>
      </c>
      <c r="V355" s="316">
        <v>0</v>
      </c>
      <c r="W355" s="316">
        <v>0</v>
      </c>
      <c r="X355" s="316">
        <v>0</v>
      </c>
      <c r="Y355" s="316">
        <v>1</v>
      </c>
      <c r="Z355" s="316">
        <v>1</v>
      </c>
      <c r="AA355" s="316">
        <v>1</v>
      </c>
      <c r="AB355" s="316">
        <v>1</v>
      </c>
      <c r="AC355" s="316">
        <v>1</v>
      </c>
      <c r="AD355" s="316">
        <v>1</v>
      </c>
      <c r="AE355" s="316">
        <v>1</v>
      </c>
      <c r="AF355" s="316">
        <v>1</v>
      </c>
      <c r="AG355" s="316">
        <v>1</v>
      </c>
      <c r="AH355" s="316">
        <v>1</v>
      </c>
      <c r="AI355" s="316">
        <v>1</v>
      </c>
      <c r="AJ355" s="316">
        <v>1</v>
      </c>
      <c r="AK355" s="316">
        <v>1</v>
      </c>
      <c r="AL355" s="316">
        <v>1</v>
      </c>
      <c r="AM355" s="316">
        <v>1</v>
      </c>
      <c r="AN355" s="316">
        <v>1</v>
      </c>
      <c r="AO355" s="316">
        <v>1</v>
      </c>
      <c r="AP355" s="316">
        <v>1</v>
      </c>
      <c r="AQ355" s="316">
        <v>1</v>
      </c>
      <c r="AR355" s="316">
        <v>1</v>
      </c>
      <c r="AS355" s="316">
        <v>1</v>
      </c>
      <c r="AT355" s="316">
        <v>1</v>
      </c>
    </row>
    <row r="356" spans="2:46" ht="12.75" hidden="1" customHeight="1" x14ac:dyDescent="0.15">
      <c r="B356" s="315">
        <v>5315</v>
      </c>
      <c r="C356" s="319" t="s">
        <v>1034</v>
      </c>
      <c r="D356" s="313" t="s">
        <v>101</v>
      </c>
      <c r="E356" s="313" t="s">
        <v>1795</v>
      </c>
      <c r="F356" s="313" t="s">
        <v>1196</v>
      </c>
      <c r="G356" s="315">
        <f>_xlfn.XLOOKUP(B356,'WFP Details - 2026'!A:A,'WFP Details - 2026'!Z:Z)</f>
        <v>0</v>
      </c>
      <c r="H356" s="314">
        <v>46461</v>
      </c>
      <c r="I356" s="315">
        <v>3</v>
      </c>
      <c r="J356" s="315">
        <v>2027</v>
      </c>
      <c r="K356" s="316">
        <v>0</v>
      </c>
      <c r="L356" s="316">
        <v>0</v>
      </c>
      <c r="M356" s="316">
        <v>0</v>
      </c>
      <c r="N356" s="316">
        <v>0</v>
      </c>
      <c r="O356" s="316">
        <v>0</v>
      </c>
      <c r="P356" s="316">
        <v>0</v>
      </c>
      <c r="Q356" s="316">
        <v>0</v>
      </c>
      <c r="R356" s="316">
        <v>0</v>
      </c>
      <c r="S356" s="316">
        <v>0</v>
      </c>
      <c r="T356" s="316">
        <v>0</v>
      </c>
      <c r="U356" s="316">
        <v>0</v>
      </c>
      <c r="V356" s="316">
        <v>0</v>
      </c>
      <c r="W356" s="316">
        <v>0</v>
      </c>
      <c r="X356" s="316">
        <v>0</v>
      </c>
      <c r="Y356" s="316">
        <v>1</v>
      </c>
      <c r="Z356" s="316">
        <v>1</v>
      </c>
      <c r="AA356" s="316">
        <v>1</v>
      </c>
      <c r="AB356" s="316">
        <v>1</v>
      </c>
      <c r="AC356" s="316">
        <v>1</v>
      </c>
      <c r="AD356" s="316">
        <v>1</v>
      </c>
      <c r="AE356" s="316">
        <v>1</v>
      </c>
      <c r="AF356" s="316">
        <v>1</v>
      </c>
      <c r="AG356" s="316">
        <v>1</v>
      </c>
      <c r="AH356" s="316">
        <v>1</v>
      </c>
      <c r="AI356" s="316">
        <v>1</v>
      </c>
      <c r="AJ356" s="316">
        <v>1</v>
      </c>
      <c r="AK356" s="316">
        <v>1</v>
      </c>
      <c r="AL356" s="316">
        <v>1</v>
      </c>
      <c r="AM356" s="316">
        <v>1</v>
      </c>
      <c r="AN356" s="316">
        <v>1</v>
      </c>
      <c r="AO356" s="316">
        <v>1</v>
      </c>
      <c r="AP356" s="316">
        <v>1</v>
      </c>
      <c r="AQ356" s="316">
        <v>1</v>
      </c>
      <c r="AR356" s="316">
        <v>1</v>
      </c>
      <c r="AS356" s="316">
        <v>1</v>
      </c>
      <c r="AT356" s="316">
        <v>1</v>
      </c>
    </row>
    <row r="357" spans="2:46" ht="12.75" hidden="1" customHeight="1" x14ac:dyDescent="0.15">
      <c r="B357" s="315">
        <v>1208</v>
      </c>
      <c r="C357" s="319" t="s">
        <v>1034</v>
      </c>
      <c r="D357" s="313" t="s">
        <v>101</v>
      </c>
      <c r="E357" s="313" t="s">
        <v>1793</v>
      </c>
      <c r="F357" s="313" t="s">
        <v>1200</v>
      </c>
      <c r="G357" s="315" t="e">
        <f>_xlfn.XLOOKUP(B357,'WFP Details - 2026'!A:A,'WFP Details - 2026'!Z:Z)</f>
        <v>#N/A</v>
      </c>
      <c r="H357" s="314">
        <v>46461</v>
      </c>
      <c r="I357" s="315">
        <v>3</v>
      </c>
      <c r="J357" s="315">
        <v>2027</v>
      </c>
      <c r="K357" s="316">
        <v>0</v>
      </c>
      <c r="L357" s="316">
        <v>0</v>
      </c>
      <c r="M357" s="316">
        <v>0</v>
      </c>
      <c r="N357" s="316">
        <v>0</v>
      </c>
      <c r="O357" s="316">
        <v>0</v>
      </c>
      <c r="P357" s="316">
        <v>0</v>
      </c>
      <c r="Q357" s="316">
        <v>0</v>
      </c>
      <c r="R357" s="316">
        <v>0</v>
      </c>
      <c r="S357" s="316">
        <v>0</v>
      </c>
      <c r="T357" s="316">
        <v>0</v>
      </c>
      <c r="U357" s="316">
        <v>0</v>
      </c>
      <c r="V357" s="316">
        <v>0</v>
      </c>
      <c r="W357" s="316">
        <v>0</v>
      </c>
      <c r="X357" s="316">
        <v>0</v>
      </c>
      <c r="Y357" s="316">
        <v>1</v>
      </c>
      <c r="Z357" s="316">
        <v>1</v>
      </c>
      <c r="AA357" s="316">
        <v>1</v>
      </c>
      <c r="AB357" s="316">
        <v>1</v>
      </c>
      <c r="AC357" s="316">
        <v>1</v>
      </c>
      <c r="AD357" s="316">
        <v>1</v>
      </c>
      <c r="AE357" s="316">
        <v>1</v>
      </c>
      <c r="AF357" s="316">
        <v>1</v>
      </c>
      <c r="AG357" s="316">
        <v>1</v>
      </c>
      <c r="AH357" s="316">
        <v>1</v>
      </c>
      <c r="AI357" s="316">
        <v>1</v>
      </c>
      <c r="AJ357" s="316">
        <v>1</v>
      </c>
      <c r="AK357" s="316">
        <v>1</v>
      </c>
      <c r="AL357" s="316">
        <v>1</v>
      </c>
      <c r="AM357" s="316">
        <v>1</v>
      </c>
      <c r="AN357" s="316">
        <v>1</v>
      </c>
      <c r="AO357" s="316">
        <v>1</v>
      </c>
      <c r="AP357" s="316">
        <v>1</v>
      </c>
      <c r="AQ357" s="316">
        <v>1</v>
      </c>
      <c r="AR357" s="316">
        <v>1</v>
      </c>
      <c r="AS357" s="316">
        <v>1</v>
      </c>
      <c r="AT357" s="316">
        <v>1</v>
      </c>
    </row>
    <row r="358" spans="2:46" ht="12.75" hidden="1" customHeight="1" x14ac:dyDescent="0.15">
      <c r="B358" s="315">
        <v>5330</v>
      </c>
      <c r="C358" s="319" t="s">
        <v>1034</v>
      </c>
      <c r="D358" s="313" t="s">
        <v>101</v>
      </c>
      <c r="E358" s="313" t="s">
        <v>1793</v>
      </c>
      <c r="F358" s="319" t="s">
        <v>1211</v>
      </c>
      <c r="G358" s="315" t="e">
        <f>_xlfn.XLOOKUP(B358,'WFP Details - 2026'!A:A,'WFP Details - 2026'!Z:Z)</f>
        <v>#N/A</v>
      </c>
      <c r="H358" s="314">
        <v>46461</v>
      </c>
      <c r="I358" s="315">
        <v>3</v>
      </c>
      <c r="J358" s="315">
        <v>2027</v>
      </c>
      <c r="K358" s="316">
        <v>0</v>
      </c>
      <c r="L358" s="316">
        <v>0</v>
      </c>
      <c r="M358" s="316">
        <v>0</v>
      </c>
      <c r="N358" s="316">
        <v>0</v>
      </c>
      <c r="O358" s="316">
        <v>0</v>
      </c>
      <c r="P358" s="316">
        <v>0</v>
      </c>
      <c r="Q358" s="316">
        <v>0</v>
      </c>
      <c r="R358" s="316">
        <v>0</v>
      </c>
      <c r="S358" s="316">
        <v>0</v>
      </c>
      <c r="T358" s="316">
        <v>0</v>
      </c>
      <c r="U358" s="316">
        <v>0</v>
      </c>
      <c r="V358" s="316">
        <v>0</v>
      </c>
      <c r="W358" s="316">
        <v>0</v>
      </c>
      <c r="X358" s="316">
        <v>0</v>
      </c>
      <c r="Y358" s="316">
        <v>1</v>
      </c>
      <c r="Z358" s="316">
        <v>1</v>
      </c>
      <c r="AA358" s="316">
        <v>1</v>
      </c>
      <c r="AB358" s="316">
        <v>1</v>
      </c>
      <c r="AC358" s="316">
        <v>1</v>
      </c>
      <c r="AD358" s="316">
        <v>1</v>
      </c>
      <c r="AE358" s="316">
        <v>1</v>
      </c>
      <c r="AF358" s="316">
        <v>1</v>
      </c>
      <c r="AG358" s="316">
        <v>1</v>
      </c>
      <c r="AH358" s="316">
        <v>1</v>
      </c>
      <c r="AI358" s="316">
        <v>1</v>
      </c>
      <c r="AJ358" s="316">
        <v>1</v>
      </c>
      <c r="AK358" s="316">
        <v>1</v>
      </c>
      <c r="AL358" s="316">
        <v>1</v>
      </c>
      <c r="AM358" s="316">
        <v>1</v>
      </c>
      <c r="AN358" s="316">
        <v>1</v>
      </c>
      <c r="AO358" s="316">
        <v>1</v>
      </c>
      <c r="AP358" s="316">
        <v>1</v>
      </c>
      <c r="AQ358" s="316">
        <v>1</v>
      </c>
      <c r="AR358" s="316">
        <v>1</v>
      </c>
      <c r="AS358" s="316">
        <v>1</v>
      </c>
      <c r="AT358" s="316">
        <v>1</v>
      </c>
    </row>
    <row r="359" spans="2:46" ht="12.75" hidden="1" customHeight="1" x14ac:dyDescent="0.15">
      <c r="B359" s="315">
        <v>5331</v>
      </c>
      <c r="C359" s="319" t="s">
        <v>1034</v>
      </c>
      <c r="D359" s="313" t="s">
        <v>101</v>
      </c>
      <c r="E359" s="313" t="s">
        <v>1817</v>
      </c>
      <c r="F359" s="319" t="s">
        <v>1106</v>
      </c>
      <c r="G359" s="315" t="e">
        <f>_xlfn.XLOOKUP(B359,'WFP Details - 2026'!A:A,'WFP Details - 2026'!Z:Z)</f>
        <v>#N/A</v>
      </c>
      <c r="H359" s="314">
        <v>46461</v>
      </c>
      <c r="I359" s="315">
        <v>3</v>
      </c>
      <c r="J359" s="315">
        <v>2027</v>
      </c>
      <c r="K359" s="316">
        <v>0</v>
      </c>
      <c r="L359" s="316">
        <v>0</v>
      </c>
      <c r="M359" s="316">
        <v>0</v>
      </c>
      <c r="N359" s="316">
        <v>0</v>
      </c>
      <c r="O359" s="316">
        <v>0</v>
      </c>
      <c r="P359" s="316">
        <v>0</v>
      </c>
      <c r="Q359" s="316">
        <v>0</v>
      </c>
      <c r="R359" s="316">
        <v>0</v>
      </c>
      <c r="S359" s="316">
        <v>0</v>
      </c>
      <c r="T359" s="316">
        <v>0</v>
      </c>
      <c r="U359" s="316">
        <v>0</v>
      </c>
      <c r="V359" s="316">
        <v>0</v>
      </c>
      <c r="W359" s="316">
        <v>0</v>
      </c>
      <c r="X359" s="316">
        <v>0</v>
      </c>
      <c r="Y359" s="316">
        <v>1</v>
      </c>
      <c r="Z359" s="316">
        <v>1</v>
      </c>
      <c r="AA359" s="316">
        <v>1</v>
      </c>
      <c r="AB359" s="316">
        <v>1</v>
      </c>
      <c r="AC359" s="316">
        <v>1</v>
      </c>
      <c r="AD359" s="316">
        <v>1</v>
      </c>
      <c r="AE359" s="316">
        <v>1</v>
      </c>
      <c r="AF359" s="316">
        <v>1</v>
      </c>
      <c r="AG359" s="316">
        <v>1</v>
      </c>
      <c r="AH359" s="316">
        <v>1</v>
      </c>
      <c r="AI359" s="316">
        <v>1</v>
      </c>
      <c r="AJ359" s="316">
        <v>1</v>
      </c>
      <c r="AK359" s="316">
        <v>1</v>
      </c>
      <c r="AL359" s="316">
        <v>1</v>
      </c>
      <c r="AM359" s="316">
        <v>1</v>
      </c>
      <c r="AN359" s="316">
        <v>1</v>
      </c>
      <c r="AO359" s="316">
        <v>1</v>
      </c>
      <c r="AP359" s="316">
        <v>1</v>
      </c>
      <c r="AQ359" s="316">
        <v>1</v>
      </c>
      <c r="AR359" s="316">
        <v>1</v>
      </c>
      <c r="AS359" s="316">
        <v>1</v>
      </c>
      <c r="AT359" s="316">
        <v>1</v>
      </c>
    </row>
    <row r="360" spans="2:46" ht="12.75" hidden="1" customHeight="1" x14ac:dyDescent="0.15">
      <c r="B360" s="315">
        <v>5332</v>
      </c>
      <c r="C360" s="319" t="s">
        <v>1034</v>
      </c>
      <c r="D360" s="313" t="s">
        <v>101</v>
      </c>
      <c r="E360" s="313" t="s">
        <v>1793</v>
      </c>
      <c r="F360" s="319" t="s">
        <v>1211</v>
      </c>
      <c r="G360" s="315" t="e">
        <f>_xlfn.XLOOKUP(B360,'WFP Details - 2026'!A:A,'WFP Details - 2026'!Z:Z)</f>
        <v>#N/A</v>
      </c>
      <c r="H360" s="314">
        <v>46461</v>
      </c>
      <c r="I360" s="315">
        <v>3</v>
      </c>
      <c r="J360" s="315">
        <v>2027</v>
      </c>
      <c r="K360" s="316">
        <v>0</v>
      </c>
      <c r="L360" s="316">
        <v>0</v>
      </c>
      <c r="M360" s="316">
        <v>0</v>
      </c>
      <c r="N360" s="316">
        <v>0</v>
      </c>
      <c r="O360" s="316">
        <v>0</v>
      </c>
      <c r="P360" s="316">
        <v>0</v>
      </c>
      <c r="Q360" s="316">
        <v>0</v>
      </c>
      <c r="R360" s="316">
        <v>0</v>
      </c>
      <c r="S360" s="316">
        <v>0</v>
      </c>
      <c r="T360" s="316">
        <v>0</v>
      </c>
      <c r="U360" s="316">
        <v>0</v>
      </c>
      <c r="V360" s="316">
        <v>0</v>
      </c>
      <c r="W360" s="316">
        <v>0</v>
      </c>
      <c r="X360" s="316">
        <v>0</v>
      </c>
      <c r="Y360" s="316">
        <v>1</v>
      </c>
      <c r="Z360" s="316">
        <v>1</v>
      </c>
      <c r="AA360" s="316">
        <v>1</v>
      </c>
      <c r="AB360" s="316">
        <v>1</v>
      </c>
      <c r="AC360" s="316">
        <v>1</v>
      </c>
      <c r="AD360" s="316">
        <v>1</v>
      </c>
      <c r="AE360" s="316">
        <v>1</v>
      </c>
      <c r="AF360" s="316">
        <v>1</v>
      </c>
      <c r="AG360" s="316">
        <v>1</v>
      </c>
      <c r="AH360" s="316">
        <v>1</v>
      </c>
      <c r="AI360" s="316">
        <v>1</v>
      </c>
      <c r="AJ360" s="316">
        <v>1</v>
      </c>
      <c r="AK360" s="316">
        <v>1</v>
      </c>
      <c r="AL360" s="316">
        <v>1</v>
      </c>
      <c r="AM360" s="316">
        <v>1</v>
      </c>
      <c r="AN360" s="316">
        <v>1</v>
      </c>
      <c r="AO360" s="316">
        <v>1</v>
      </c>
      <c r="AP360" s="316">
        <v>1</v>
      </c>
      <c r="AQ360" s="316">
        <v>1</v>
      </c>
      <c r="AR360" s="316">
        <v>1</v>
      </c>
      <c r="AS360" s="316">
        <v>1</v>
      </c>
      <c r="AT360" s="316">
        <v>1</v>
      </c>
    </row>
    <row r="361" spans="2:46" ht="12.75" hidden="1" customHeight="1" x14ac:dyDescent="0.15">
      <c r="B361" s="318">
        <v>5335</v>
      </c>
      <c r="C361" s="313" t="s">
        <v>1034</v>
      </c>
      <c r="D361" s="313" t="s">
        <v>101</v>
      </c>
      <c r="E361" s="313" t="s">
        <v>1817</v>
      </c>
      <c r="F361" s="313" t="s">
        <v>1106</v>
      </c>
      <c r="G361" s="315" t="e">
        <f>_xlfn.XLOOKUP(B361,'WFP Details - 2026'!A:A,'WFP Details - 2026'!Z:Z)</f>
        <v>#N/A</v>
      </c>
      <c r="H361" s="314">
        <v>46461</v>
      </c>
      <c r="I361" s="315">
        <v>3</v>
      </c>
      <c r="J361" s="315">
        <v>2027</v>
      </c>
      <c r="K361" s="316">
        <v>0</v>
      </c>
      <c r="L361" s="316">
        <v>0</v>
      </c>
      <c r="M361" s="316">
        <v>0</v>
      </c>
      <c r="N361" s="316">
        <v>0</v>
      </c>
      <c r="O361" s="316">
        <v>0</v>
      </c>
      <c r="P361" s="316">
        <v>0</v>
      </c>
      <c r="Q361" s="316">
        <v>0</v>
      </c>
      <c r="R361" s="316">
        <v>0</v>
      </c>
      <c r="S361" s="316">
        <v>0</v>
      </c>
      <c r="T361" s="316">
        <v>0</v>
      </c>
      <c r="U361" s="316">
        <v>0</v>
      </c>
      <c r="V361" s="316">
        <v>0</v>
      </c>
      <c r="W361" s="316">
        <v>0</v>
      </c>
      <c r="X361" s="316">
        <v>0</v>
      </c>
      <c r="Y361" s="316">
        <v>1</v>
      </c>
      <c r="Z361" s="316">
        <v>1</v>
      </c>
      <c r="AA361" s="316">
        <v>1</v>
      </c>
      <c r="AB361" s="316">
        <v>1</v>
      </c>
      <c r="AC361" s="316">
        <v>1</v>
      </c>
      <c r="AD361" s="316">
        <v>1</v>
      </c>
      <c r="AE361" s="316">
        <v>1</v>
      </c>
      <c r="AF361" s="316">
        <v>1</v>
      </c>
      <c r="AG361" s="316">
        <v>1</v>
      </c>
      <c r="AH361" s="316">
        <v>1</v>
      </c>
      <c r="AI361" s="316">
        <v>1</v>
      </c>
      <c r="AJ361" s="316">
        <v>1</v>
      </c>
      <c r="AK361" s="316">
        <v>1</v>
      </c>
      <c r="AL361" s="316">
        <v>1</v>
      </c>
      <c r="AM361" s="316">
        <v>1</v>
      </c>
      <c r="AN361" s="316">
        <v>1</v>
      </c>
      <c r="AO361" s="316">
        <v>1</v>
      </c>
      <c r="AP361" s="316">
        <v>1</v>
      </c>
      <c r="AQ361" s="316">
        <v>1</v>
      </c>
      <c r="AR361" s="316">
        <v>1</v>
      </c>
      <c r="AS361" s="316">
        <v>1</v>
      </c>
      <c r="AT361" s="316">
        <v>1</v>
      </c>
    </row>
    <row r="362" spans="2:46" ht="12.75" hidden="1" customHeight="1" x14ac:dyDescent="0.15">
      <c r="B362" s="318">
        <v>5336</v>
      </c>
      <c r="C362" s="313" t="s">
        <v>1034</v>
      </c>
      <c r="D362" s="313" t="s">
        <v>101</v>
      </c>
      <c r="E362" s="313" t="s">
        <v>1793</v>
      </c>
      <c r="F362" s="313" t="s">
        <v>1211</v>
      </c>
      <c r="G362" s="315" t="e">
        <f>_xlfn.XLOOKUP(B362,'WFP Details - 2026'!A:A,'WFP Details - 2026'!Z:Z)</f>
        <v>#N/A</v>
      </c>
      <c r="H362" s="314">
        <v>46461</v>
      </c>
      <c r="I362" s="315">
        <v>3</v>
      </c>
      <c r="J362" s="315">
        <v>2027</v>
      </c>
      <c r="K362" s="316">
        <v>0</v>
      </c>
      <c r="L362" s="316">
        <v>0</v>
      </c>
      <c r="M362" s="316">
        <v>0</v>
      </c>
      <c r="N362" s="316">
        <v>0</v>
      </c>
      <c r="O362" s="316">
        <v>0</v>
      </c>
      <c r="P362" s="316">
        <v>0</v>
      </c>
      <c r="Q362" s="316">
        <v>0</v>
      </c>
      <c r="R362" s="316">
        <v>0</v>
      </c>
      <c r="S362" s="316">
        <v>0</v>
      </c>
      <c r="T362" s="316">
        <v>0</v>
      </c>
      <c r="U362" s="316">
        <v>0</v>
      </c>
      <c r="V362" s="316">
        <v>0</v>
      </c>
      <c r="W362" s="316">
        <v>0</v>
      </c>
      <c r="X362" s="316">
        <v>0</v>
      </c>
      <c r="Y362" s="316">
        <v>1</v>
      </c>
      <c r="Z362" s="316">
        <v>1</v>
      </c>
      <c r="AA362" s="316">
        <v>1</v>
      </c>
      <c r="AB362" s="316">
        <v>1</v>
      </c>
      <c r="AC362" s="316">
        <v>1</v>
      </c>
      <c r="AD362" s="316">
        <v>1</v>
      </c>
      <c r="AE362" s="316">
        <v>1</v>
      </c>
      <c r="AF362" s="316">
        <v>1</v>
      </c>
      <c r="AG362" s="316">
        <v>1</v>
      </c>
      <c r="AH362" s="316">
        <v>1</v>
      </c>
      <c r="AI362" s="316">
        <v>1</v>
      </c>
      <c r="AJ362" s="316">
        <v>1</v>
      </c>
      <c r="AK362" s="316">
        <v>1</v>
      </c>
      <c r="AL362" s="316">
        <v>1</v>
      </c>
      <c r="AM362" s="316">
        <v>1</v>
      </c>
      <c r="AN362" s="316">
        <v>1</v>
      </c>
      <c r="AO362" s="316">
        <v>1</v>
      </c>
      <c r="AP362" s="316">
        <v>1</v>
      </c>
      <c r="AQ362" s="316">
        <v>1</v>
      </c>
      <c r="AR362" s="316">
        <v>1</v>
      </c>
      <c r="AS362" s="316">
        <v>1</v>
      </c>
      <c r="AT362" s="316">
        <v>1</v>
      </c>
    </row>
    <row r="363" spans="2:46" ht="12.75" hidden="1" customHeight="1" x14ac:dyDescent="0.15">
      <c r="B363" s="318">
        <v>1198</v>
      </c>
      <c r="C363" s="319" t="s">
        <v>1034</v>
      </c>
      <c r="D363" s="313" t="s">
        <v>101</v>
      </c>
      <c r="E363" s="313" t="s">
        <v>1805</v>
      </c>
      <c r="F363" s="313" t="s">
        <v>1021</v>
      </c>
      <c r="G363" s="315" t="e">
        <f>_xlfn.XLOOKUP(B363,'WFP Details - 2026'!A:A,'WFP Details - 2026'!Z:Z)</f>
        <v>#N/A</v>
      </c>
      <c r="H363" s="314">
        <v>46553</v>
      </c>
      <c r="I363" s="315">
        <v>6</v>
      </c>
      <c r="J363" s="315">
        <v>2027</v>
      </c>
      <c r="K363" s="316">
        <v>0</v>
      </c>
      <c r="L363" s="316">
        <v>0</v>
      </c>
      <c r="M363" s="316">
        <v>0</v>
      </c>
      <c r="N363" s="316">
        <v>0</v>
      </c>
      <c r="O363" s="316">
        <v>0</v>
      </c>
      <c r="P363" s="316">
        <v>0</v>
      </c>
      <c r="Q363" s="316">
        <v>0</v>
      </c>
      <c r="R363" s="316">
        <v>0</v>
      </c>
      <c r="S363" s="316">
        <v>0</v>
      </c>
      <c r="T363" s="316">
        <v>0</v>
      </c>
      <c r="U363" s="316">
        <v>0</v>
      </c>
      <c r="V363" s="316">
        <v>0</v>
      </c>
      <c r="W363" s="316">
        <v>0</v>
      </c>
      <c r="X363" s="316">
        <v>0</v>
      </c>
      <c r="Y363" s="316">
        <v>0</v>
      </c>
      <c r="Z363" s="316">
        <v>0</v>
      </c>
      <c r="AA363" s="316">
        <v>0</v>
      </c>
      <c r="AB363" s="316">
        <v>1</v>
      </c>
      <c r="AC363" s="316">
        <v>1</v>
      </c>
      <c r="AD363" s="316">
        <v>1</v>
      </c>
      <c r="AE363" s="316">
        <v>1</v>
      </c>
      <c r="AF363" s="316">
        <v>1</v>
      </c>
      <c r="AG363" s="316">
        <v>1</v>
      </c>
      <c r="AH363" s="316">
        <v>1</v>
      </c>
      <c r="AI363" s="316">
        <v>1</v>
      </c>
      <c r="AJ363" s="316">
        <v>1</v>
      </c>
      <c r="AK363" s="316">
        <v>1</v>
      </c>
      <c r="AL363" s="316">
        <v>1</v>
      </c>
      <c r="AM363" s="316">
        <v>1</v>
      </c>
      <c r="AN363" s="316">
        <v>1</v>
      </c>
      <c r="AO363" s="316">
        <v>1</v>
      </c>
      <c r="AP363" s="316">
        <v>1</v>
      </c>
      <c r="AQ363" s="316">
        <v>1</v>
      </c>
      <c r="AR363" s="316">
        <v>1</v>
      </c>
      <c r="AS363" s="316">
        <v>1</v>
      </c>
      <c r="AT363" s="316">
        <v>1</v>
      </c>
    </row>
    <row r="364" spans="2:46" ht="12.75" hidden="1" customHeight="1" x14ac:dyDescent="0.15">
      <c r="B364" s="312">
        <v>5320</v>
      </c>
      <c r="C364" s="319" t="s">
        <v>1034</v>
      </c>
      <c r="D364" s="313" t="s">
        <v>101</v>
      </c>
      <c r="E364" s="313" t="s">
        <v>1805</v>
      </c>
      <c r="F364" s="313" t="s">
        <v>1224</v>
      </c>
      <c r="G364" s="315" t="e">
        <f>_xlfn.XLOOKUP(B364,'WFP Details - 2026'!A:A,'WFP Details - 2026'!Z:Z)</f>
        <v>#N/A</v>
      </c>
      <c r="H364" s="314">
        <v>46553</v>
      </c>
      <c r="I364" s="315">
        <v>6</v>
      </c>
      <c r="J364" s="315">
        <v>2027</v>
      </c>
      <c r="K364" s="316">
        <v>0</v>
      </c>
      <c r="L364" s="316">
        <v>0</v>
      </c>
      <c r="M364" s="316">
        <v>0</v>
      </c>
      <c r="N364" s="316">
        <v>0</v>
      </c>
      <c r="O364" s="316">
        <v>0</v>
      </c>
      <c r="P364" s="316">
        <v>0</v>
      </c>
      <c r="Q364" s="316">
        <v>0</v>
      </c>
      <c r="R364" s="316">
        <v>0</v>
      </c>
      <c r="S364" s="316">
        <v>0</v>
      </c>
      <c r="T364" s="316">
        <v>0</v>
      </c>
      <c r="U364" s="316">
        <v>0</v>
      </c>
      <c r="V364" s="316">
        <v>0</v>
      </c>
      <c r="W364" s="316">
        <v>0</v>
      </c>
      <c r="X364" s="316">
        <v>0</v>
      </c>
      <c r="Y364" s="316">
        <v>0</v>
      </c>
      <c r="Z364" s="316">
        <v>0</v>
      </c>
      <c r="AA364" s="316">
        <v>0</v>
      </c>
      <c r="AB364" s="316">
        <v>1</v>
      </c>
      <c r="AC364" s="316">
        <v>1</v>
      </c>
      <c r="AD364" s="316">
        <v>1</v>
      </c>
      <c r="AE364" s="316">
        <v>1</v>
      </c>
      <c r="AF364" s="316">
        <v>1</v>
      </c>
      <c r="AG364" s="316">
        <v>1</v>
      </c>
      <c r="AH364" s="316">
        <v>1</v>
      </c>
      <c r="AI364" s="316">
        <v>1</v>
      </c>
      <c r="AJ364" s="316">
        <v>1</v>
      </c>
      <c r="AK364" s="316">
        <v>1</v>
      </c>
      <c r="AL364" s="316">
        <v>1</v>
      </c>
      <c r="AM364" s="316">
        <v>1</v>
      </c>
      <c r="AN364" s="316">
        <v>1</v>
      </c>
      <c r="AO364" s="316">
        <v>1</v>
      </c>
      <c r="AP364" s="316">
        <v>1</v>
      </c>
      <c r="AQ364" s="316">
        <v>1</v>
      </c>
      <c r="AR364" s="316">
        <v>1</v>
      </c>
      <c r="AS364" s="316">
        <v>1</v>
      </c>
      <c r="AT364" s="316">
        <v>1</v>
      </c>
    </row>
    <row r="365" spans="2:46" ht="12.75" hidden="1" customHeight="1" x14ac:dyDescent="0.15">
      <c r="B365" s="312">
        <v>5322</v>
      </c>
      <c r="C365" s="319" t="s">
        <v>1034</v>
      </c>
      <c r="D365" s="313" t="s">
        <v>101</v>
      </c>
      <c r="E365" s="313" t="s">
        <v>1801</v>
      </c>
      <c r="F365" s="313" t="s">
        <v>1203</v>
      </c>
      <c r="G365" s="315" t="e">
        <f>_xlfn.XLOOKUP(B365,'WFP Details - 2026'!A:A,'WFP Details - 2026'!Z:Z)</f>
        <v>#N/A</v>
      </c>
      <c r="H365" s="314">
        <v>46553</v>
      </c>
      <c r="I365" s="315">
        <v>6</v>
      </c>
      <c r="J365" s="315">
        <v>2027</v>
      </c>
      <c r="K365" s="316">
        <v>0</v>
      </c>
      <c r="L365" s="316">
        <v>0</v>
      </c>
      <c r="M365" s="316">
        <v>0</v>
      </c>
      <c r="N365" s="316">
        <v>0</v>
      </c>
      <c r="O365" s="316">
        <v>0</v>
      </c>
      <c r="P365" s="316">
        <v>0</v>
      </c>
      <c r="Q365" s="316">
        <v>0</v>
      </c>
      <c r="R365" s="316">
        <v>0</v>
      </c>
      <c r="S365" s="316">
        <v>0</v>
      </c>
      <c r="T365" s="316">
        <v>0</v>
      </c>
      <c r="U365" s="316">
        <v>0</v>
      </c>
      <c r="V365" s="316">
        <v>0</v>
      </c>
      <c r="W365" s="316">
        <v>0</v>
      </c>
      <c r="X365" s="316">
        <v>0</v>
      </c>
      <c r="Y365" s="316">
        <v>0</v>
      </c>
      <c r="Z365" s="316">
        <v>0</v>
      </c>
      <c r="AA365" s="316">
        <v>0</v>
      </c>
      <c r="AB365" s="316">
        <v>1</v>
      </c>
      <c r="AC365" s="316">
        <v>1</v>
      </c>
      <c r="AD365" s="316">
        <v>1</v>
      </c>
      <c r="AE365" s="316">
        <v>1</v>
      </c>
      <c r="AF365" s="316">
        <v>1</v>
      </c>
      <c r="AG365" s="316">
        <v>1</v>
      </c>
      <c r="AH365" s="316">
        <v>1</v>
      </c>
      <c r="AI365" s="316">
        <v>1</v>
      </c>
      <c r="AJ365" s="316">
        <v>1</v>
      </c>
      <c r="AK365" s="316">
        <v>1</v>
      </c>
      <c r="AL365" s="316">
        <v>1</v>
      </c>
      <c r="AM365" s="316">
        <v>1</v>
      </c>
      <c r="AN365" s="316">
        <v>1</v>
      </c>
      <c r="AO365" s="316">
        <v>1</v>
      </c>
      <c r="AP365" s="316">
        <v>1</v>
      </c>
      <c r="AQ365" s="316">
        <v>1</v>
      </c>
      <c r="AR365" s="316">
        <v>1</v>
      </c>
      <c r="AS365" s="316">
        <v>1</v>
      </c>
      <c r="AT365" s="316">
        <v>1</v>
      </c>
    </row>
    <row r="366" spans="2:46" ht="12.75" hidden="1" customHeight="1" x14ac:dyDescent="0.15">
      <c r="B366" s="317">
        <v>5325</v>
      </c>
      <c r="C366" s="319" t="s">
        <v>1034</v>
      </c>
      <c r="D366" s="313" t="s">
        <v>101</v>
      </c>
      <c r="E366" s="313" t="s">
        <v>1805</v>
      </c>
      <c r="F366" s="313" t="s">
        <v>1226</v>
      </c>
      <c r="G366" s="315" t="e">
        <f>_xlfn.XLOOKUP(B366,'WFP Details - 2026'!A:A,'WFP Details - 2026'!Z:Z)</f>
        <v>#N/A</v>
      </c>
      <c r="H366" s="314">
        <v>46553</v>
      </c>
      <c r="I366" s="315">
        <v>6</v>
      </c>
      <c r="J366" s="315">
        <v>2027</v>
      </c>
      <c r="K366" s="316">
        <v>0</v>
      </c>
      <c r="L366" s="316">
        <v>0</v>
      </c>
      <c r="M366" s="316">
        <v>0</v>
      </c>
      <c r="N366" s="316">
        <v>0</v>
      </c>
      <c r="O366" s="316">
        <v>0</v>
      </c>
      <c r="P366" s="316">
        <v>0</v>
      </c>
      <c r="Q366" s="316">
        <v>0</v>
      </c>
      <c r="R366" s="316">
        <v>0</v>
      </c>
      <c r="S366" s="316">
        <v>0</v>
      </c>
      <c r="T366" s="316">
        <v>0</v>
      </c>
      <c r="U366" s="316">
        <v>0</v>
      </c>
      <c r="V366" s="316">
        <v>0</v>
      </c>
      <c r="W366" s="316">
        <v>0</v>
      </c>
      <c r="X366" s="316">
        <v>0</v>
      </c>
      <c r="Y366" s="316">
        <v>0</v>
      </c>
      <c r="Z366" s="316">
        <v>0</v>
      </c>
      <c r="AA366" s="316">
        <v>0</v>
      </c>
      <c r="AB366" s="316">
        <v>1</v>
      </c>
      <c r="AC366" s="316">
        <v>1</v>
      </c>
      <c r="AD366" s="316">
        <v>1</v>
      </c>
      <c r="AE366" s="316">
        <v>1</v>
      </c>
      <c r="AF366" s="316">
        <v>1</v>
      </c>
      <c r="AG366" s="316">
        <v>1</v>
      </c>
      <c r="AH366" s="316">
        <v>1</v>
      </c>
      <c r="AI366" s="316">
        <v>1</v>
      </c>
      <c r="AJ366" s="316">
        <v>1</v>
      </c>
      <c r="AK366" s="316">
        <v>1</v>
      </c>
      <c r="AL366" s="316">
        <v>1</v>
      </c>
      <c r="AM366" s="316">
        <v>1</v>
      </c>
      <c r="AN366" s="316">
        <v>1</v>
      </c>
      <c r="AO366" s="316">
        <v>1</v>
      </c>
      <c r="AP366" s="316">
        <v>1</v>
      </c>
      <c r="AQ366" s="316">
        <v>1</v>
      </c>
      <c r="AR366" s="316">
        <v>1</v>
      </c>
      <c r="AS366" s="316">
        <v>1</v>
      </c>
      <c r="AT366" s="316">
        <v>1</v>
      </c>
    </row>
    <row r="367" spans="2:46" ht="12.75" hidden="1" customHeight="1" x14ac:dyDescent="0.15">
      <c r="B367" s="315">
        <v>5310</v>
      </c>
      <c r="C367" s="319" t="s">
        <v>1034</v>
      </c>
      <c r="D367" s="313" t="s">
        <v>101</v>
      </c>
      <c r="E367" s="313" t="s">
        <v>1795</v>
      </c>
      <c r="F367" s="313" t="s">
        <v>1121</v>
      </c>
      <c r="G367" s="315" t="e">
        <f>_xlfn.XLOOKUP(B367,'WFP Details - 2026'!A:A,'WFP Details - 2026'!Z:Z)</f>
        <v>#N/A</v>
      </c>
      <c r="H367" s="314">
        <v>46553</v>
      </c>
      <c r="I367" s="315">
        <v>6</v>
      </c>
      <c r="J367" s="315">
        <v>2027</v>
      </c>
      <c r="K367" s="316">
        <v>0</v>
      </c>
      <c r="L367" s="316">
        <v>0</v>
      </c>
      <c r="M367" s="316">
        <v>0</v>
      </c>
      <c r="N367" s="316">
        <v>0</v>
      </c>
      <c r="O367" s="316">
        <v>0</v>
      </c>
      <c r="P367" s="316">
        <v>0</v>
      </c>
      <c r="Q367" s="316">
        <v>0</v>
      </c>
      <c r="R367" s="316">
        <v>0</v>
      </c>
      <c r="S367" s="316">
        <v>0</v>
      </c>
      <c r="T367" s="316">
        <v>0</v>
      </c>
      <c r="U367" s="316">
        <v>0</v>
      </c>
      <c r="V367" s="316">
        <v>0</v>
      </c>
      <c r="W367" s="316">
        <v>0</v>
      </c>
      <c r="X367" s="316">
        <v>0</v>
      </c>
      <c r="Y367" s="316">
        <v>0</v>
      </c>
      <c r="Z367" s="316">
        <v>0</v>
      </c>
      <c r="AA367" s="316">
        <v>0</v>
      </c>
      <c r="AB367" s="316">
        <v>1</v>
      </c>
      <c r="AC367" s="316">
        <v>1</v>
      </c>
      <c r="AD367" s="316">
        <v>1</v>
      </c>
      <c r="AE367" s="316">
        <v>1</v>
      </c>
      <c r="AF367" s="316">
        <v>1</v>
      </c>
      <c r="AG367" s="316">
        <v>1</v>
      </c>
      <c r="AH367" s="316">
        <v>1</v>
      </c>
      <c r="AI367" s="316">
        <v>1</v>
      </c>
      <c r="AJ367" s="316">
        <v>1</v>
      </c>
      <c r="AK367" s="316">
        <v>1</v>
      </c>
      <c r="AL367" s="316">
        <v>1</v>
      </c>
      <c r="AM367" s="316">
        <v>1</v>
      </c>
      <c r="AN367" s="316">
        <v>1</v>
      </c>
      <c r="AO367" s="316">
        <v>1</v>
      </c>
      <c r="AP367" s="316">
        <v>1</v>
      </c>
      <c r="AQ367" s="316">
        <v>1</v>
      </c>
      <c r="AR367" s="316">
        <v>1</v>
      </c>
      <c r="AS367" s="316">
        <v>1</v>
      </c>
      <c r="AT367" s="316">
        <v>1</v>
      </c>
    </row>
    <row r="368" spans="2:46" ht="12.75" hidden="1" customHeight="1" x14ac:dyDescent="0.15">
      <c r="B368" s="318">
        <v>5293</v>
      </c>
      <c r="C368" s="313" t="s">
        <v>1034</v>
      </c>
      <c r="D368" s="313" t="s">
        <v>101</v>
      </c>
      <c r="E368" s="313" t="s">
        <v>1795</v>
      </c>
      <c r="F368" s="313" t="s">
        <v>1110</v>
      </c>
      <c r="G368" s="315" t="e">
        <f>_xlfn.XLOOKUP(B368,'WFP Details - 2026'!A:A,'WFP Details - 2026'!Z:Z)</f>
        <v>#N/A</v>
      </c>
      <c r="H368" s="314">
        <v>46553</v>
      </c>
      <c r="I368" s="315">
        <v>6</v>
      </c>
      <c r="J368" s="315">
        <v>2027</v>
      </c>
      <c r="K368" s="316">
        <v>0</v>
      </c>
      <c r="L368" s="316">
        <v>0</v>
      </c>
      <c r="M368" s="316">
        <v>0</v>
      </c>
      <c r="N368" s="316">
        <v>0</v>
      </c>
      <c r="O368" s="316">
        <v>0</v>
      </c>
      <c r="P368" s="316">
        <v>0</v>
      </c>
      <c r="Q368" s="316">
        <v>0</v>
      </c>
      <c r="R368" s="316">
        <v>0</v>
      </c>
      <c r="S368" s="316">
        <v>0</v>
      </c>
      <c r="T368" s="316">
        <v>0</v>
      </c>
      <c r="U368" s="316">
        <v>0</v>
      </c>
      <c r="V368" s="316">
        <v>0</v>
      </c>
      <c r="W368" s="316">
        <v>0</v>
      </c>
      <c r="X368" s="316">
        <v>0</v>
      </c>
      <c r="Y368" s="316">
        <v>0</v>
      </c>
      <c r="Z368" s="316">
        <v>0</v>
      </c>
      <c r="AA368" s="316">
        <v>0</v>
      </c>
      <c r="AB368" s="316">
        <v>1</v>
      </c>
      <c r="AC368" s="316">
        <v>1</v>
      </c>
      <c r="AD368" s="316">
        <v>1</v>
      </c>
      <c r="AE368" s="316">
        <v>1</v>
      </c>
      <c r="AF368" s="316">
        <v>1</v>
      </c>
      <c r="AG368" s="316">
        <v>1</v>
      </c>
      <c r="AH368" s="316">
        <v>1</v>
      </c>
      <c r="AI368" s="316">
        <v>1</v>
      </c>
      <c r="AJ368" s="316">
        <v>1</v>
      </c>
      <c r="AK368" s="316">
        <v>1</v>
      </c>
      <c r="AL368" s="316">
        <v>1</v>
      </c>
      <c r="AM368" s="316">
        <v>1</v>
      </c>
      <c r="AN368" s="316">
        <v>1</v>
      </c>
      <c r="AO368" s="316">
        <v>1</v>
      </c>
      <c r="AP368" s="316">
        <v>1</v>
      </c>
      <c r="AQ368" s="316">
        <v>1</v>
      </c>
      <c r="AR368" s="316">
        <v>1</v>
      </c>
      <c r="AS368" s="316">
        <v>1</v>
      </c>
      <c r="AT368" s="316">
        <v>1</v>
      </c>
    </row>
    <row r="369" spans="2:46" ht="12.75" hidden="1" customHeight="1" x14ac:dyDescent="0.15">
      <c r="B369" s="318">
        <v>5301</v>
      </c>
      <c r="C369" s="313" t="s">
        <v>1034</v>
      </c>
      <c r="D369" s="313" t="s">
        <v>101</v>
      </c>
      <c r="E369" s="313" t="s">
        <v>1805</v>
      </c>
      <c r="F369" s="313" t="s">
        <v>1183</v>
      </c>
      <c r="G369" s="315" t="e">
        <f>_xlfn.XLOOKUP(B369,'WFP Details - 2026'!A:A,'WFP Details - 2026'!Z:Z)</f>
        <v>#N/A</v>
      </c>
      <c r="H369" s="314">
        <v>46553</v>
      </c>
      <c r="I369" s="315">
        <v>6</v>
      </c>
      <c r="J369" s="315">
        <v>2027</v>
      </c>
      <c r="K369" s="316">
        <v>0</v>
      </c>
      <c r="L369" s="316">
        <v>0</v>
      </c>
      <c r="M369" s="316">
        <v>0</v>
      </c>
      <c r="N369" s="316">
        <v>0</v>
      </c>
      <c r="O369" s="316">
        <v>0</v>
      </c>
      <c r="P369" s="316">
        <v>0</v>
      </c>
      <c r="Q369" s="316">
        <v>0</v>
      </c>
      <c r="R369" s="316">
        <v>0</v>
      </c>
      <c r="S369" s="316">
        <v>0</v>
      </c>
      <c r="T369" s="316">
        <v>0</v>
      </c>
      <c r="U369" s="316">
        <v>0</v>
      </c>
      <c r="V369" s="316">
        <v>0</v>
      </c>
      <c r="W369" s="316">
        <v>0</v>
      </c>
      <c r="X369" s="316">
        <v>0</v>
      </c>
      <c r="Y369" s="316">
        <v>0</v>
      </c>
      <c r="Z369" s="316">
        <v>0</v>
      </c>
      <c r="AA369" s="316">
        <v>0</v>
      </c>
      <c r="AB369" s="316">
        <v>1</v>
      </c>
      <c r="AC369" s="316">
        <v>1</v>
      </c>
      <c r="AD369" s="316">
        <v>1</v>
      </c>
      <c r="AE369" s="316">
        <v>1</v>
      </c>
      <c r="AF369" s="316">
        <v>1</v>
      </c>
      <c r="AG369" s="316">
        <v>1</v>
      </c>
      <c r="AH369" s="316">
        <v>1</v>
      </c>
      <c r="AI369" s="316">
        <v>1</v>
      </c>
      <c r="AJ369" s="316">
        <v>1</v>
      </c>
      <c r="AK369" s="316">
        <v>1</v>
      </c>
      <c r="AL369" s="316">
        <v>1</v>
      </c>
      <c r="AM369" s="316">
        <v>1</v>
      </c>
      <c r="AN369" s="316">
        <v>1</v>
      </c>
      <c r="AO369" s="316">
        <v>1</v>
      </c>
      <c r="AP369" s="316">
        <v>1</v>
      </c>
      <c r="AQ369" s="316">
        <v>1</v>
      </c>
      <c r="AR369" s="316">
        <v>1</v>
      </c>
      <c r="AS369" s="316">
        <v>1</v>
      </c>
      <c r="AT369" s="316">
        <v>1</v>
      </c>
    </row>
    <row r="370" spans="2:46" ht="12.75" hidden="1" customHeight="1" x14ac:dyDescent="0.15">
      <c r="B370" s="318">
        <v>5309</v>
      </c>
      <c r="C370" s="313" t="s">
        <v>1034</v>
      </c>
      <c r="D370" s="313" t="s">
        <v>101</v>
      </c>
      <c r="E370" s="313" t="s">
        <v>1795</v>
      </c>
      <c r="F370" s="313" t="s">
        <v>1121</v>
      </c>
      <c r="G370" s="315" t="e">
        <f>_xlfn.XLOOKUP(B370,'WFP Details - 2026'!A:A,'WFP Details - 2026'!Z:Z)</f>
        <v>#N/A</v>
      </c>
      <c r="H370" s="314">
        <v>46553</v>
      </c>
      <c r="I370" s="315">
        <v>6</v>
      </c>
      <c r="J370" s="315">
        <v>2027</v>
      </c>
      <c r="K370" s="316">
        <v>0</v>
      </c>
      <c r="L370" s="316">
        <v>0</v>
      </c>
      <c r="M370" s="316">
        <v>0</v>
      </c>
      <c r="N370" s="316">
        <v>0</v>
      </c>
      <c r="O370" s="316">
        <v>0</v>
      </c>
      <c r="P370" s="316">
        <v>0</v>
      </c>
      <c r="Q370" s="316">
        <v>0</v>
      </c>
      <c r="R370" s="316">
        <v>0</v>
      </c>
      <c r="S370" s="316">
        <v>0</v>
      </c>
      <c r="T370" s="316">
        <v>0</v>
      </c>
      <c r="U370" s="316">
        <v>0</v>
      </c>
      <c r="V370" s="316">
        <v>0</v>
      </c>
      <c r="W370" s="316">
        <v>0</v>
      </c>
      <c r="X370" s="316">
        <v>0</v>
      </c>
      <c r="Y370" s="316">
        <v>0</v>
      </c>
      <c r="Z370" s="316">
        <v>0</v>
      </c>
      <c r="AA370" s="316">
        <v>0</v>
      </c>
      <c r="AB370" s="316">
        <v>1</v>
      </c>
      <c r="AC370" s="316">
        <v>1</v>
      </c>
      <c r="AD370" s="316">
        <v>1</v>
      </c>
      <c r="AE370" s="316">
        <v>1</v>
      </c>
      <c r="AF370" s="316">
        <v>1</v>
      </c>
      <c r="AG370" s="316">
        <v>1</v>
      </c>
      <c r="AH370" s="316">
        <v>1</v>
      </c>
      <c r="AI370" s="316">
        <v>1</v>
      </c>
      <c r="AJ370" s="316">
        <v>1</v>
      </c>
      <c r="AK370" s="316">
        <v>1</v>
      </c>
      <c r="AL370" s="316">
        <v>1</v>
      </c>
      <c r="AM370" s="316">
        <v>1</v>
      </c>
      <c r="AN370" s="316">
        <v>1</v>
      </c>
      <c r="AO370" s="316">
        <v>1</v>
      </c>
      <c r="AP370" s="316">
        <v>1</v>
      </c>
      <c r="AQ370" s="316">
        <v>1</v>
      </c>
      <c r="AR370" s="316">
        <v>1</v>
      </c>
      <c r="AS370" s="316">
        <v>1</v>
      </c>
      <c r="AT370" s="316">
        <v>1</v>
      </c>
    </row>
    <row r="371" spans="2:46" ht="12.75" hidden="1" customHeight="1" x14ac:dyDescent="0.15">
      <c r="B371" s="317">
        <v>5311</v>
      </c>
      <c r="C371" s="313" t="s">
        <v>1034</v>
      </c>
      <c r="D371" s="313" t="s">
        <v>101</v>
      </c>
      <c r="E371" s="313" t="s">
        <v>1805</v>
      </c>
      <c r="F371" s="313" t="s">
        <v>1217</v>
      </c>
      <c r="G371" s="315" t="e">
        <f>_xlfn.XLOOKUP(B371,'WFP Details - 2026'!A:A,'WFP Details - 2026'!Z:Z)</f>
        <v>#N/A</v>
      </c>
      <c r="H371" s="314">
        <v>46553</v>
      </c>
      <c r="I371" s="315">
        <v>6</v>
      </c>
      <c r="J371" s="315">
        <v>2027</v>
      </c>
      <c r="K371" s="316">
        <v>0</v>
      </c>
      <c r="L371" s="316">
        <v>0</v>
      </c>
      <c r="M371" s="316">
        <v>0</v>
      </c>
      <c r="N371" s="316">
        <v>0</v>
      </c>
      <c r="O371" s="316">
        <v>0</v>
      </c>
      <c r="P371" s="316">
        <v>0</v>
      </c>
      <c r="Q371" s="316">
        <v>0</v>
      </c>
      <c r="R371" s="316">
        <v>0</v>
      </c>
      <c r="S371" s="316">
        <v>0</v>
      </c>
      <c r="T371" s="316">
        <v>0</v>
      </c>
      <c r="U371" s="316">
        <v>0</v>
      </c>
      <c r="V371" s="316">
        <v>0</v>
      </c>
      <c r="W371" s="316">
        <v>0</v>
      </c>
      <c r="X371" s="316">
        <v>0</v>
      </c>
      <c r="Y371" s="316">
        <v>0</v>
      </c>
      <c r="Z371" s="316">
        <v>0</v>
      </c>
      <c r="AA371" s="316">
        <v>0</v>
      </c>
      <c r="AB371" s="316">
        <v>1</v>
      </c>
      <c r="AC371" s="316">
        <v>1</v>
      </c>
      <c r="AD371" s="316">
        <v>1</v>
      </c>
      <c r="AE371" s="316">
        <v>1</v>
      </c>
      <c r="AF371" s="316">
        <v>1</v>
      </c>
      <c r="AG371" s="316">
        <v>1</v>
      </c>
      <c r="AH371" s="316">
        <v>1</v>
      </c>
      <c r="AI371" s="316">
        <v>1</v>
      </c>
      <c r="AJ371" s="316">
        <v>1</v>
      </c>
      <c r="AK371" s="316">
        <v>1</v>
      </c>
      <c r="AL371" s="316">
        <v>1</v>
      </c>
      <c r="AM371" s="316">
        <v>1</v>
      </c>
      <c r="AN371" s="316">
        <v>1</v>
      </c>
      <c r="AO371" s="316">
        <v>1</v>
      </c>
      <c r="AP371" s="316">
        <v>1</v>
      </c>
      <c r="AQ371" s="316">
        <v>1</v>
      </c>
      <c r="AR371" s="316">
        <v>1</v>
      </c>
      <c r="AS371" s="316">
        <v>1</v>
      </c>
      <c r="AT371" s="316">
        <v>1</v>
      </c>
    </row>
    <row r="372" spans="2:46" ht="12.75" hidden="1" customHeight="1" x14ac:dyDescent="0.15">
      <c r="B372" s="312">
        <v>5312</v>
      </c>
      <c r="C372" s="313" t="s">
        <v>1034</v>
      </c>
      <c r="D372" s="313" t="s">
        <v>101</v>
      </c>
      <c r="E372" s="313" t="s">
        <v>1793</v>
      </c>
      <c r="F372" s="313" t="s">
        <v>1219</v>
      </c>
      <c r="G372" s="315" t="e">
        <f>_xlfn.XLOOKUP(B372,'WFP Details - 2026'!A:A,'WFP Details - 2026'!Z:Z)</f>
        <v>#N/A</v>
      </c>
      <c r="H372" s="314">
        <v>46553</v>
      </c>
      <c r="I372" s="315">
        <v>6</v>
      </c>
      <c r="J372" s="315">
        <v>2027</v>
      </c>
      <c r="K372" s="316">
        <v>0</v>
      </c>
      <c r="L372" s="316">
        <v>0</v>
      </c>
      <c r="M372" s="316">
        <v>0</v>
      </c>
      <c r="N372" s="316">
        <v>0</v>
      </c>
      <c r="O372" s="316">
        <v>0</v>
      </c>
      <c r="P372" s="316">
        <v>0</v>
      </c>
      <c r="Q372" s="316">
        <v>0</v>
      </c>
      <c r="R372" s="316">
        <v>0</v>
      </c>
      <c r="S372" s="316">
        <v>0</v>
      </c>
      <c r="T372" s="316">
        <v>0</v>
      </c>
      <c r="U372" s="316">
        <v>0</v>
      </c>
      <c r="V372" s="316">
        <v>0</v>
      </c>
      <c r="W372" s="316">
        <v>0</v>
      </c>
      <c r="X372" s="316">
        <v>0</v>
      </c>
      <c r="Y372" s="316">
        <v>0</v>
      </c>
      <c r="Z372" s="316">
        <v>0</v>
      </c>
      <c r="AA372" s="316">
        <v>0</v>
      </c>
      <c r="AB372" s="316">
        <v>1</v>
      </c>
      <c r="AC372" s="316">
        <v>1</v>
      </c>
      <c r="AD372" s="316">
        <v>1</v>
      </c>
      <c r="AE372" s="316">
        <v>1</v>
      </c>
      <c r="AF372" s="316">
        <v>1</v>
      </c>
      <c r="AG372" s="316">
        <v>1</v>
      </c>
      <c r="AH372" s="316">
        <v>1</v>
      </c>
      <c r="AI372" s="316">
        <v>1</v>
      </c>
      <c r="AJ372" s="316">
        <v>1</v>
      </c>
      <c r="AK372" s="316">
        <v>1</v>
      </c>
      <c r="AL372" s="316">
        <v>1</v>
      </c>
      <c r="AM372" s="316">
        <v>1</v>
      </c>
      <c r="AN372" s="316">
        <v>1</v>
      </c>
      <c r="AO372" s="316">
        <v>1</v>
      </c>
      <c r="AP372" s="316">
        <v>1</v>
      </c>
      <c r="AQ372" s="316">
        <v>1</v>
      </c>
      <c r="AR372" s="316">
        <v>1</v>
      </c>
      <c r="AS372" s="316">
        <v>1</v>
      </c>
      <c r="AT372" s="316">
        <v>1</v>
      </c>
    </row>
    <row r="373" spans="2:46" ht="12.75" hidden="1" customHeight="1" x14ac:dyDescent="0.15">
      <c r="B373" s="318">
        <v>5313</v>
      </c>
      <c r="C373" s="313" t="s">
        <v>1034</v>
      </c>
      <c r="D373" s="313" t="s">
        <v>101</v>
      </c>
      <c r="E373" s="313" t="s">
        <v>1793</v>
      </c>
      <c r="F373" s="313" t="s">
        <v>1219</v>
      </c>
      <c r="G373" s="315" t="e">
        <f>_xlfn.XLOOKUP(B373,'WFP Details - 2026'!A:A,'WFP Details - 2026'!Z:Z)</f>
        <v>#N/A</v>
      </c>
      <c r="H373" s="314">
        <v>46553</v>
      </c>
      <c r="I373" s="315">
        <v>6</v>
      </c>
      <c r="J373" s="315">
        <v>2027</v>
      </c>
      <c r="K373" s="316">
        <v>0</v>
      </c>
      <c r="L373" s="316">
        <v>0</v>
      </c>
      <c r="M373" s="316">
        <v>0</v>
      </c>
      <c r="N373" s="316">
        <v>0</v>
      </c>
      <c r="O373" s="316">
        <v>0</v>
      </c>
      <c r="P373" s="316">
        <v>0</v>
      </c>
      <c r="Q373" s="316">
        <v>0</v>
      </c>
      <c r="R373" s="316">
        <v>0</v>
      </c>
      <c r="S373" s="316">
        <v>0</v>
      </c>
      <c r="T373" s="316">
        <v>0</v>
      </c>
      <c r="U373" s="316">
        <v>0</v>
      </c>
      <c r="V373" s="316">
        <v>0</v>
      </c>
      <c r="W373" s="316">
        <v>0</v>
      </c>
      <c r="X373" s="316">
        <v>0</v>
      </c>
      <c r="Y373" s="316">
        <v>0</v>
      </c>
      <c r="Z373" s="316">
        <v>0</v>
      </c>
      <c r="AA373" s="316">
        <v>0</v>
      </c>
      <c r="AB373" s="316">
        <v>1</v>
      </c>
      <c r="AC373" s="316">
        <v>1</v>
      </c>
      <c r="AD373" s="316">
        <v>1</v>
      </c>
      <c r="AE373" s="316">
        <v>1</v>
      </c>
      <c r="AF373" s="316">
        <v>1</v>
      </c>
      <c r="AG373" s="316">
        <v>1</v>
      </c>
      <c r="AH373" s="316">
        <v>1</v>
      </c>
      <c r="AI373" s="316">
        <v>1</v>
      </c>
      <c r="AJ373" s="316">
        <v>1</v>
      </c>
      <c r="AK373" s="316">
        <v>1</v>
      </c>
      <c r="AL373" s="316">
        <v>1</v>
      </c>
      <c r="AM373" s="316">
        <v>1</v>
      </c>
      <c r="AN373" s="316">
        <v>1</v>
      </c>
      <c r="AO373" s="316">
        <v>1</v>
      </c>
      <c r="AP373" s="316">
        <v>1</v>
      </c>
      <c r="AQ373" s="316">
        <v>1</v>
      </c>
      <c r="AR373" s="316">
        <v>1</v>
      </c>
      <c r="AS373" s="316">
        <v>1</v>
      </c>
      <c r="AT373" s="316">
        <v>1</v>
      </c>
    </row>
    <row r="374" spans="2:46" ht="12.75" hidden="1" customHeight="1" x14ac:dyDescent="0.15">
      <c r="B374" s="317">
        <v>5316</v>
      </c>
      <c r="C374" s="313" t="s">
        <v>1034</v>
      </c>
      <c r="D374" s="313" t="s">
        <v>101</v>
      </c>
      <c r="E374" s="313" t="s">
        <v>1805</v>
      </c>
      <c r="F374" s="313" t="s">
        <v>1113</v>
      </c>
      <c r="G374" s="315" t="e">
        <f>_xlfn.XLOOKUP(B374,'WFP Details - 2026'!A:A,'WFP Details - 2026'!Z:Z)</f>
        <v>#N/A</v>
      </c>
      <c r="H374" s="314">
        <v>46553</v>
      </c>
      <c r="I374" s="315">
        <v>6</v>
      </c>
      <c r="J374" s="315">
        <v>2027</v>
      </c>
      <c r="K374" s="316">
        <v>0</v>
      </c>
      <c r="L374" s="316">
        <v>0</v>
      </c>
      <c r="M374" s="316">
        <v>0</v>
      </c>
      <c r="N374" s="316">
        <v>0</v>
      </c>
      <c r="O374" s="316">
        <v>0</v>
      </c>
      <c r="P374" s="316">
        <v>0</v>
      </c>
      <c r="Q374" s="316">
        <v>0</v>
      </c>
      <c r="R374" s="316">
        <v>0</v>
      </c>
      <c r="S374" s="316">
        <v>0</v>
      </c>
      <c r="T374" s="316">
        <v>0</v>
      </c>
      <c r="U374" s="316">
        <v>0</v>
      </c>
      <c r="V374" s="316">
        <v>0</v>
      </c>
      <c r="W374" s="316">
        <v>0</v>
      </c>
      <c r="X374" s="316">
        <v>0</v>
      </c>
      <c r="Y374" s="316">
        <v>0</v>
      </c>
      <c r="Z374" s="316">
        <v>0</v>
      </c>
      <c r="AA374" s="316">
        <v>0</v>
      </c>
      <c r="AB374" s="316">
        <v>1</v>
      </c>
      <c r="AC374" s="316">
        <v>1</v>
      </c>
      <c r="AD374" s="316">
        <v>1</v>
      </c>
      <c r="AE374" s="316">
        <v>1</v>
      </c>
      <c r="AF374" s="316">
        <v>1</v>
      </c>
      <c r="AG374" s="316">
        <v>1</v>
      </c>
      <c r="AH374" s="316">
        <v>1</v>
      </c>
      <c r="AI374" s="316">
        <v>1</v>
      </c>
      <c r="AJ374" s="316">
        <v>1</v>
      </c>
      <c r="AK374" s="316">
        <v>1</v>
      </c>
      <c r="AL374" s="316">
        <v>1</v>
      </c>
      <c r="AM374" s="316">
        <v>1</v>
      </c>
      <c r="AN374" s="316">
        <v>1</v>
      </c>
      <c r="AO374" s="316">
        <v>1</v>
      </c>
      <c r="AP374" s="316">
        <v>1</v>
      </c>
      <c r="AQ374" s="316">
        <v>1</v>
      </c>
      <c r="AR374" s="316">
        <v>1</v>
      </c>
      <c r="AS374" s="316">
        <v>1</v>
      </c>
      <c r="AT374" s="316">
        <v>1</v>
      </c>
    </row>
    <row r="375" spans="2:46" ht="12.75" hidden="1" customHeight="1" x14ac:dyDescent="0.15">
      <c r="B375" s="318">
        <v>5333</v>
      </c>
      <c r="C375" s="313" t="s">
        <v>1034</v>
      </c>
      <c r="D375" s="313" t="s">
        <v>101</v>
      </c>
      <c r="E375" s="313" t="s">
        <v>1817</v>
      </c>
      <c r="F375" s="313" t="s">
        <v>1106</v>
      </c>
      <c r="G375" s="315" t="e">
        <f>_xlfn.XLOOKUP(B375,'WFP Details - 2026'!A:A,'WFP Details - 2026'!Z:Z)</f>
        <v>#N/A</v>
      </c>
      <c r="H375" s="314">
        <v>46645</v>
      </c>
      <c r="I375" s="315">
        <v>9</v>
      </c>
      <c r="J375" s="315">
        <v>2027</v>
      </c>
      <c r="K375" s="316">
        <v>0</v>
      </c>
      <c r="L375" s="316">
        <v>0</v>
      </c>
      <c r="M375" s="316">
        <v>0</v>
      </c>
      <c r="N375" s="316">
        <v>0</v>
      </c>
      <c r="O375" s="316">
        <v>0</v>
      </c>
      <c r="P375" s="316">
        <v>0</v>
      </c>
      <c r="Q375" s="316">
        <v>0</v>
      </c>
      <c r="R375" s="316">
        <v>0</v>
      </c>
      <c r="S375" s="316">
        <v>0</v>
      </c>
      <c r="T375" s="316">
        <v>0</v>
      </c>
      <c r="U375" s="316">
        <v>0</v>
      </c>
      <c r="V375" s="316">
        <v>0</v>
      </c>
      <c r="W375" s="316">
        <v>0</v>
      </c>
      <c r="X375" s="316">
        <v>0</v>
      </c>
      <c r="Y375" s="316">
        <v>0</v>
      </c>
      <c r="Z375" s="316">
        <v>0</v>
      </c>
      <c r="AA375" s="316">
        <v>0</v>
      </c>
      <c r="AB375" s="316">
        <v>0</v>
      </c>
      <c r="AC375" s="316">
        <v>0</v>
      </c>
      <c r="AD375" s="316">
        <v>0</v>
      </c>
      <c r="AE375" s="316">
        <v>1</v>
      </c>
      <c r="AF375" s="316">
        <v>1</v>
      </c>
      <c r="AG375" s="316">
        <v>1</v>
      </c>
      <c r="AH375" s="316">
        <v>1</v>
      </c>
      <c r="AI375" s="316">
        <v>1</v>
      </c>
      <c r="AJ375" s="316">
        <v>1</v>
      </c>
      <c r="AK375" s="316">
        <v>1</v>
      </c>
      <c r="AL375" s="316">
        <v>1</v>
      </c>
      <c r="AM375" s="316">
        <v>1</v>
      </c>
      <c r="AN375" s="316">
        <v>1</v>
      </c>
      <c r="AO375" s="316">
        <v>1</v>
      </c>
      <c r="AP375" s="316">
        <v>1</v>
      </c>
      <c r="AQ375" s="316">
        <v>1</v>
      </c>
      <c r="AR375" s="316">
        <v>1</v>
      </c>
      <c r="AS375" s="316">
        <v>1</v>
      </c>
      <c r="AT375" s="316">
        <v>1</v>
      </c>
    </row>
    <row r="376" spans="2:46" ht="12.75" hidden="1" customHeight="1" x14ac:dyDescent="0.15">
      <c r="B376" s="318">
        <v>5334</v>
      </c>
      <c r="C376" s="313" t="s">
        <v>1034</v>
      </c>
      <c r="D376" s="313" t="s">
        <v>101</v>
      </c>
      <c r="E376" s="313" t="s">
        <v>1793</v>
      </c>
      <c r="F376" s="313" t="s">
        <v>1211</v>
      </c>
      <c r="G376" s="315" t="e">
        <f>_xlfn.XLOOKUP(B376,'WFP Details - 2026'!A:A,'WFP Details - 2026'!Z:Z)</f>
        <v>#N/A</v>
      </c>
      <c r="H376" s="314">
        <v>46645</v>
      </c>
      <c r="I376" s="315">
        <v>9</v>
      </c>
      <c r="J376" s="315">
        <v>2027</v>
      </c>
      <c r="K376" s="316">
        <v>0</v>
      </c>
      <c r="L376" s="316">
        <v>0</v>
      </c>
      <c r="M376" s="316">
        <v>0</v>
      </c>
      <c r="N376" s="316">
        <v>0</v>
      </c>
      <c r="O376" s="316">
        <v>0</v>
      </c>
      <c r="P376" s="316">
        <v>0</v>
      </c>
      <c r="Q376" s="316">
        <v>0</v>
      </c>
      <c r="R376" s="316">
        <v>0</v>
      </c>
      <c r="S376" s="316">
        <v>0</v>
      </c>
      <c r="T376" s="316">
        <v>0</v>
      </c>
      <c r="U376" s="316">
        <v>0</v>
      </c>
      <c r="V376" s="316">
        <v>0</v>
      </c>
      <c r="W376" s="316">
        <v>0</v>
      </c>
      <c r="X376" s="316">
        <v>0</v>
      </c>
      <c r="Y376" s="316">
        <v>0</v>
      </c>
      <c r="Z376" s="316">
        <v>0</v>
      </c>
      <c r="AA376" s="316">
        <v>0</v>
      </c>
      <c r="AB376" s="316">
        <v>0</v>
      </c>
      <c r="AC376" s="316">
        <v>0</v>
      </c>
      <c r="AD376" s="316">
        <v>0</v>
      </c>
      <c r="AE376" s="316">
        <v>1</v>
      </c>
      <c r="AF376" s="316">
        <v>1</v>
      </c>
      <c r="AG376" s="316">
        <v>1</v>
      </c>
      <c r="AH376" s="316">
        <v>1</v>
      </c>
      <c r="AI376" s="316">
        <v>1</v>
      </c>
      <c r="AJ376" s="316">
        <v>1</v>
      </c>
      <c r="AK376" s="316">
        <v>1</v>
      </c>
      <c r="AL376" s="316">
        <v>1</v>
      </c>
      <c r="AM376" s="316">
        <v>1</v>
      </c>
      <c r="AN376" s="316">
        <v>1</v>
      </c>
      <c r="AO376" s="316">
        <v>1</v>
      </c>
      <c r="AP376" s="316">
        <v>1</v>
      </c>
      <c r="AQ376" s="316">
        <v>1</v>
      </c>
      <c r="AR376" s="316">
        <v>1</v>
      </c>
      <c r="AS376" s="316">
        <v>1</v>
      </c>
      <c r="AT376" s="316">
        <v>1</v>
      </c>
    </row>
    <row r="377" spans="2:46" ht="12.75" hidden="1" customHeight="1" x14ac:dyDescent="0.15">
      <c r="B377" s="318">
        <v>5321</v>
      </c>
      <c r="C377" s="319" t="s">
        <v>1034</v>
      </c>
      <c r="D377" s="313" t="s">
        <v>101</v>
      </c>
      <c r="E377" s="313" t="s">
        <v>1793</v>
      </c>
      <c r="F377" s="313" t="s">
        <v>1035</v>
      </c>
      <c r="G377" s="315" t="e">
        <f>_xlfn.XLOOKUP(B377,'WFP Details - 2026'!A:A,'WFP Details - 2026'!Z:Z)</f>
        <v>#N/A</v>
      </c>
      <c r="H377" s="314">
        <v>46827</v>
      </c>
      <c r="I377" s="315">
        <v>3</v>
      </c>
      <c r="J377" s="315">
        <v>2028</v>
      </c>
      <c r="K377" s="316">
        <v>0</v>
      </c>
      <c r="L377" s="316">
        <v>0</v>
      </c>
      <c r="M377" s="316">
        <v>0</v>
      </c>
      <c r="N377" s="316">
        <v>0</v>
      </c>
      <c r="O377" s="316">
        <v>0</v>
      </c>
      <c r="P377" s="316">
        <v>0</v>
      </c>
      <c r="Q377" s="316">
        <v>0</v>
      </c>
      <c r="R377" s="316">
        <v>0</v>
      </c>
      <c r="S377" s="316">
        <v>0</v>
      </c>
      <c r="T377" s="316">
        <v>0</v>
      </c>
      <c r="U377" s="316">
        <v>0</v>
      </c>
      <c r="V377" s="316">
        <v>0</v>
      </c>
      <c r="W377" s="316">
        <v>0</v>
      </c>
      <c r="X377" s="316">
        <v>0</v>
      </c>
      <c r="Y377" s="316">
        <v>0</v>
      </c>
      <c r="Z377" s="316">
        <v>0</v>
      </c>
      <c r="AA377" s="316">
        <v>0</v>
      </c>
      <c r="AB377" s="316">
        <v>0</v>
      </c>
      <c r="AC377" s="316">
        <v>0</v>
      </c>
      <c r="AD377" s="316">
        <v>0</v>
      </c>
      <c r="AE377" s="316">
        <v>0</v>
      </c>
      <c r="AF377" s="316">
        <v>0</v>
      </c>
      <c r="AG377" s="316">
        <v>0</v>
      </c>
      <c r="AH377" s="316">
        <v>0</v>
      </c>
      <c r="AI377" s="316">
        <v>0</v>
      </c>
      <c r="AJ377" s="316">
        <v>0</v>
      </c>
      <c r="AK377" s="316">
        <v>1</v>
      </c>
      <c r="AL377" s="316">
        <v>1</v>
      </c>
      <c r="AM377" s="316">
        <v>1</v>
      </c>
      <c r="AN377" s="316">
        <v>1</v>
      </c>
      <c r="AO377" s="316">
        <v>1</v>
      </c>
      <c r="AP377" s="316">
        <v>1</v>
      </c>
      <c r="AQ377" s="316">
        <v>1</v>
      </c>
      <c r="AR377" s="316">
        <v>1</v>
      </c>
      <c r="AS377" s="316">
        <v>1</v>
      </c>
      <c r="AT377" s="316">
        <v>1</v>
      </c>
    </row>
    <row r="378" spans="2:46" ht="12.75" hidden="1" customHeight="1" x14ac:dyDescent="0.15">
      <c r="B378" s="318">
        <v>5326</v>
      </c>
      <c r="C378" s="319" t="s">
        <v>1034</v>
      </c>
      <c r="D378" s="313" t="s">
        <v>101</v>
      </c>
      <c r="E378" s="313" t="s">
        <v>1795</v>
      </c>
      <c r="F378" s="313" t="s">
        <v>1234</v>
      </c>
      <c r="G378" s="315" t="e">
        <f>_xlfn.XLOOKUP(B378,'WFP Details - 2026'!A:A,'WFP Details - 2026'!Z:Z)</f>
        <v>#N/A</v>
      </c>
      <c r="H378" s="314">
        <v>46827</v>
      </c>
      <c r="I378" s="315">
        <v>3</v>
      </c>
      <c r="J378" s="315">
        <v>2028</v>
      </c>
      <c r="K378" s="316">
        <v>0</v>
      </c>
      <c r="L378" s="316">
        <v>0</v>
      </c>
      <c r="M378" s="316">
        <v>0</v>
      </c>
      <c r="N378" s="316">
        <v>0</v>
      </c>
      <c r="O378" s="316">
        <v>0</v>
      </c>
      <c r="P378" s="316">
        <v>0</v>
      </c>
      <c r="Q378" s="316">
        <v>0</v>
      </c>
      <c r="R378" s="316">
        <v>0</v>
      </c>
      <c r="S378" s="316">
        <v>0</v>
      </c>
      <c r="T378" s="316">
        <v>0</v>
      </c>
      <c r="U378" s="316">
        <v>0</v>
      </c>
      <c r="V378" s="316">
        <v>0</v>
      </c>
      <c r="W378" s="316">
        <v>0</v>
      </c>
      <c r="X378" s="316">
        <v>0</v>
      </c>
      <c r="Y378" s="316">
        <v>0</v>
      </c>
      <c r="Z378" s="316">
        <v>0</v>
      </c>
      <c r="AA378" s="316">
        <v>0</v>
      </c>
      <c r="AB378" s="316">
        <v>0</v>
      </c>
      <c r="AC378" s="316">
        <v>0</v>
      </c>
      <c r="AD378" s="316">
        <v>0</v>
      </c>
      <c r="AE378" s="316">
        <v>0</v>
      </c>
      <c r="AF378" s="316">
        <v>0</v>
      </c>
      <c r="AG378" s="316">
        <v>0</v>
      </c>
      <c r="AH378" s="316">
        <v>0</v>
      </c>
      <c r="AI378" s="316">
        <v>0</v>
      </c>
      <c r="AJ378" s="316">
        <v>0</v>
      </c>
      <c r="AK378" s="316">
        <v>1</v>
      </c>
      <c r="AL378" s="316">
        <v>1</v>
      </c>
      <c r="AM378" s="316">
        <v>1</v>
      </c>
      <c r="AN378" s="316">
        <v>1</v>
      </c>
      <c r="AO378" s="316">
        <v>1</v>
      </c>
      <c r="AP378" s="316">
        <v>1</v>
      </c>
      <c r="AQ378" s="316">
        <v>1</v>
      </c>
      <c r="AR378" s="316">
        <v>1</v>
      </c>
      <c r="AS378" s="316">
        <v>1</v>
      </c>
      <c r="AT378" s="316">
        <v>1</v>
      </c>
    </row>
    <row r="379" spans="2:46" ht="12.75" hidden="1" customHeight="1" x14ac:dyDescent="0.15">
      <c r="B379" s="312">
        <v>5297</v>
      </c>
      <c r="C379" s="313" t="s">
        <v>1034</v>
      </c>
      <c r="D379" s="313" t="s">
        <v>101</v>
      </c>
      <c r="E379" s="313" t="s">
        <v>1805</v>
      </c>
      <c r="F379" s="313" t="s">
        <v>1228</v>
      </c>
      <c r="G379" s="315" t="e">
        <f>_xlfn.XLOOKUP(B379,'WFP Details - 2026'!A:A,'WFP Details - 2026'!Z:Z)</f>
        <v>#N/A</v>
      </c>
      <c r="H379" s="314">
        <v>46827</v>
      </c>
      <c r="I379" s="315">
        <v>3</v>
      </c>
      <c r="J379" s="315">
        <v>2028</v>
      </c>
      <c r="K379" s="316">
        <v>0</v>
      </c>
      <c r="L379" s="316">
        <v>0</v>
      </c>
      <c r="M379" s="316">
        <v>0</v>
      </c>
      <c r="N379" s="316">
        <v>0</v>
      </c>
      <c r="O379" s="316">
        <v>0</v>
      </c>
      <c r="P379" s="316">
        <v>0</v>
      </c>
      <c r="Q379" s="316">
        <v>0</v>
      </c>
      <c r="R379" s="316">
        <v>0</v>
      </c>
      <c r="S379" s="316">
        <v>0</v>
      </c>
      <c r="T379" s="316">
        <v>0</v>
      </c>
      <c r="U379" s="316">
        <v>0</v>
      </c>
      <c r="V379" s="316">
        <v>0</v>
      </c>
      <c r="W379" s="316">
        <v>0</v>
      </c>
      <c r="X379" s="316">
        <v>0</v>
      </c>
      <c r="Y379" s="316">
        <v>0</v>
      </c>
      <c r="Z379" s="316">
        <v>0</v>
      </c>
      <c r="AA379" s="316">
        <v>0</v>
      </c>
      <c r="AB379" s="316">
        <v>0</v>
      </c>
      <c r="AC379" s="316">
        <v>0</v>
      </c>
      <c r="AD379" s="316">
        <v>0</v>
      </c>
      <c r="AE379" s="316">
        <v>0</v>
      </c>
      <c r="AF379" s="316">
        <v>0</v>
      </c>
      <c r="AG379" s="316">
        <v>0</v>
      </c>
      <c r="AH379" s="316">
        <v>0</v>
      </c>
      <c r="AI379" s="316">
        <v>0</v>
      </c>
      <c r="AJ379" s="316">
        <v>0</v>
      </c>
      <c r="AK379" s="316">
        <v>1</v>
      </c>
      <c r="AL379" s="316">
        <v>1</v>
      </c>
      <c r="AM379" s="316">
        <v>1</v>
      </c>
      <c r="AN379" s="316">
        <v>1</v>
      </c>
      <c r="AO379" s="316">
        <v>1</v>
      </c>
      <c r="AP379" s="316">
        <v>1</v>
      </c>
      <c r="AQ379" s="316">
        <v>1</v>
      </c>
      <c r="AR379" s="316">
        <v>1</v>
      </c>
      <c r="AS379" s="316">
        <v>1</v>
      </c>
      <c r="AT379" s="316">
        <v>1</v>
      </c>
    </row>
    <row r="380" spans="2:46" ht="12.75" hidden="1" customHeight="1" x14ac:dyDescent="0.15">
      <c r="B380" s="312">
        <v>5317</v>
      </c>
      <c r="C380" s="313" t="s">
        <v>1034</v>
      </c>
      <c r="D380" s="313" t="s">
        <v>101</v>
      </c>
      <c r="E380" s="313" t="s">
        <v>1805</v>
      </c>
      <c r="F380" s="313" t="s">
        <v>1113</v>
      </c>
      <c r="G380" s="315" t="e">
        <f>_xlfn.XLOOKUP(B380,'WFP Details - 2026'!A:A,'WFP Details - 2026'!Z:Z)</f>
        <v>#N/A</v>
      </c>
      <c r="H380" s="314">
        <v>46827</v>
      </c>
      <c r="I380" s="315">
        <v>3</v>
      </c>
      <c r="J380" s="315">
        <v>2028</v>
      </c>
      <c r="K380" s="316">
        <v>0</v>
      </c>
      <c r="L380" s="316">
        <v>0</v>
      </c>
      <c r="M380" s="316">
        <v>0</v>
      </c>
      <c r="N380" s="316">
        <v>0</v>
      </c>
      <c r="O380" s="316">
        <v>0</v>
      </c>
      <c r="P380" s="316">
        <v>0</v>
      </c>
      <c r="Q380" s="316">
        <v>0</v>
      </c>
      <c r="R380" s="316">
        <v>0</v>
      </c>
      <c r="S380" s="316">
        <v>0</v>
      </c>
      <c r="T380" s="316">
        <v>0</v>
      </c>
      <c r="U380" s="316">
        <v>0</v>
      </c>
      <c r="V380" s="316">
        <v>0</v>
      </c>
      <c r="W380" s="316">
        <v>0</v>
      </c>
      <c r="X380" s="316">
        <v>0</v>
      </c>
      <c r="Y380" s="316">
        <v>0</v>
      </c>
      <c r="Z380" s="316">
        <v>0</v>
      </c>
      <c r="AA380" s="316">
        <v>0</v>
      </c>
      <c r="AB380" s="316">
        <v>0</v>
      </c>
      <c r="AC380" s="316">
        <v>0</v>
      </c>
      <c r="AD380" s="316">
        <v>0</v>
      </c>
      <c r="AE380" s="316">
        <v>0</v>
      </c>
      <c r="AF380" s="316">
        <v>0</v>
      </c>
      <c r="AG380" s="316">
        <v>0</v>
      </c>
      <c r="AH380" s="316">
        <v>0</v>
      </c>
      <c r="AI380" s="316">
        <v>0</v>
      </c>
      <c r="AJ380" s="316">
        <v>0</v>
      </c>
      <c r="AK380" s="316">
        <v>1</v>
      </c>
      <c r="AL380" s="316">
        <v>1</v>
      </c>
      <c r="AM380" s="316">
        <v>1</v>
      </c>
      <c r="AN380" s="316">
        <v>1</v>
      </c>
      <c r="AO380" s="316">
        <v>1</v>
      </c>
      <c r="AP380" s="316">
        <v>1</v>
      </c>
      <c r="AQ380" s="316">
        <v>1</v>
      </c>
      <c r="AR380" s="316">
        <v>1</v>
      </c>
      <c r="AS380" s="316">
        <v>1</v>
      </c>
      <c r="AT380" s="316">
        <v>1</v>
      </c>
    </row>
    <row r="381" spans="2:46" ht="12.75" customHeight="1" x14ac:dyDescent="0.15">
      <c r="B381" s="315">
        <v>1375</v>
      </c>
      <c r="C381" s="319" t="s">
        <v>143</v>
      </c>
      <c r="D381" s="313" t="s">
        <v>1921</v>
      </c>
      <c r="E381" s="319" t="s">
        <v>1805</v>
      </c>
      <c r="F381" s="319" t="s">
        <v>1922</v>
      </c>
      <c r="G381" s="315" t="str">
        <f>_xlfn.XLOOKUP(B381,'WFP Details - 2026'!A:A,'WFP Details - 2026'!Z:Z)</f>
        <v>x</v>
      </c>
      <c r="H381" s="314">
        <v>45873</v>
      </c>
      <c r="I381" s="315">
        <v>8</v>
      </c>
      <c r="J381" s="315">
        <v>2025</v>
      </c>
      <c r="K381" s="316">
        <v>1</v>
      </c>
      <c r="L381" s="316">
        <v>1</v>
      </c>
      <c r="M381" s="316">
        <v>1</v>
      </c>
      <c r="N381" s="316">
        <v>1</v>
      </c>
      <c r="O381" s="316">
        <v>1</v>
      </c>
      <c r="P381" s="316">
        <v>1</v>
      </c>
      <c r="Q381" s="316">
        <v>1</v>
      </c>
      <c r="R381" s="316">
        <v>1</v>
      </c>
      <c r="S381" s="316">
        <v>1</v>
      </c>
      <c r="T381" s="316">
        <v>1</v>
      </c>
      <c r="U381" s="316">
        <v>1</v>
      </c>
      <c r="V381" s="316">
        <v>1</v>
      </c>
      <c r="W381" s="316">
        <v>1</v>
      </c>
      <c r="X381" s="316">
        <v>1</v>
      </c>
      <c r="Y381" s="316">
        <v>1</v>
      </c>
      <c r="Z381" s="316">
        <v>1</v>
      </c>
      <c r="AA381" s="316">
        <v>1</v>
      </c>
      <c r="AB381" s="316">
        <v>1</v>
      </c>
      <c r="AC381" s="316">
        <v>1</v>
      </c>
      <c r="AD381" s="316">
        <v>1</v>
      </c>
      <c r="AE381" s="316">
        <v>1</v>
      </c>
      <c r="AF381" s="316">
        <v>1</v>
      </c>
      <c r="AG381" s="316">
        <v>1</v>
      </c>
      <c r="AH381" s="316">
        <v>1</v>
      </c>
      <c r="AI381" s="316">
        <v>1</v>
      </c>
      <c r="AJ381" s="316">
        <v>1</v>
      </c>
      <c r="AK381" s="316">
        <v>1</v>
      </c>
      <c r="AL381" s="316">
        <v>1</v>
      </c>
      <c r="AM381" s="316">
        <v>1</v>
      </c>
      <c r="AN381" s="316">
        <v>1</v>
      </c>
      <c r="AO381" s="316">
        <v>1</v>
      </c>
      <c r="AP381" s="316">
        <v>1</v>
      </c>
      <c r="AQ381" s="316">
        <v>1</v>
      </c>
      <c r="AR381" s="316">
        <v>1</v>
      </c>
      <c r="AS381" s="316">
        <v>1</v>
      </c>
      <c r="AT381" s="316">
        <v>1</v>
      </c>
    </row>
    <row r="382" spans="2:46" ht="12.75" customHeight="1" x14ac:dyDescent="0.15">
      <c r="B382" s="315">
        <v>1383</v>
      </c>
      <c r="C382" s="319" t="s">
        <v>143</v>
      </c>
      <c r="D382" s="313" t="s">
        <v>1923</v>
      </c>
      <c r="E382" s="319" t="s">
        <v>1817</v>
      </c>
      <c r="F382" s="319" t="s">
        <v>1924</v>
      </c>
      <c r="G382" s="315" t="str">
        <f>_xlfn.XLOOKUP(B382,'WFP Details - 2026'!A:A,'WFP Details - 2026'!Z:Z)</f>
        <v>x</v>
      </c>
      <c r="H382" s="314">
        <v>45922</v>
      </c>
      <c r="I382" s="315">
        <v>9</v>
      </c>
      <c r="J382" s="315">
        <v>2025</v>
      </c>
      <c r="K382" s="316">
        <v>1</v>
      </c>
      <c r="L382" s="316">
        <v>1</v>
      </c>
      <c r="M382" s="316">
        <v>1</v>
      </c>
      <c r="N382" s="316">
        <v>1</v>
      </c>
      <c r="O382" s="316">
        <v>1</v>
      </c>
      <c r="P382" s="316">
        <v>1</v>
      </c>
      <c r="Q382" s="316">
        <v>1</v>
      </c>
      <c r="R382" s="316">
        <v>1</v>
      </c>
      <c r="S382" s="316">
        <v>1</v>
      </c>
      <c r="T382" s="316">
        <v>1</v>
      </c>
      <c r="U382" s="316">
        <v>1</v>
      </c>
      <c r="V382" s="316">
        <v>1</v>
      </c>
      <c r="W382" s="316">
        <v>1</v>
      </c>
      <c r="X382" s="316">
        <v>1</v>
      </c>
      <c r="Y382" s="316">
        <v>1</v>
      </c>
      <c r="Z382" s="316">
        <v>1</v>
      </c>
      <c r="AA382" s="316">
        <v>1</v>
      </c>
      <c r="AB382" s="316">
        <v>1</v>
      </c>
      <c r="AC382" s="316">
        <v>1</v>
      </c>
      <c r="AD382" s="316">
        <v>1</v>
      </c>
      <c r="AE382" s="316">
        <v>1</v>
      </c>
      <c r="AF382" s="316">
        <v>1</v>
      </c>
      <c r="AG382" s="316">
        <v>1</v>
      </c>
      <c r="AH382" s="316">
        <v>1</v>
      </c>
      <c r="AI382" s="316">
        <v>1</v>
      </c>
      <c r="AJ382" s="316">
        <v>1</v>
      </c>
      <c r="AK382" s="316">
        <v>1</v>
      </c>
      <c r="AL382" s="316">
        <v>1</v>
      </c>
      <c r="AM382" s="316">
        <v>1</v>
      </c>
      <c r="AN382" s="316">
        <v>1</v>
      </c>
      <c r="AO382" s="316">
        <v>1</v>
      </c>
      <c r="AP382" s="316">
        <v>1</v>
      </c>
      <c r="AQ382" s="316">
        <v>1</v>
      </c>
      <c r="AR382" s="316">
        <v>1</v>
      </c>
      <c r="AS382" s="316">
        <v>1</v>
      </c>
      <c r="AT382" s="316">
        <v>1</v>
      </c>
    </row>
    <row r="383" spans="2:46" ht="12.75" customHeight="1" x14ac:dyDescent="0.15">
      <c r="B383" s="315">
        <v>1376</v>
      </c>
      <c r="C383" s="319" t="s">
        <v>143</v>
      </c>
      <c r="D383" s="313" t="s">
        <v>1925</v>
      </c>
      <c r="E383" s="319" t="s">
        <v>1805</v>
      </c>
      <c r="F383" s="319" t="s">
        <v>1926</v>
      </c>
      <c r="G383" s="315" t="str">
        <f>_xlfn.XLOOKUP(B383,'WFP Details - 2026'!A:A,'WFP Details - 2026'!Z:Z)</f>
        <v>x</v>
      </c>
      <c r="H383" s="314">
        <v>45929</v>
      </c>
      <c r="I383" s="315">
        <v>9</v>
      </c>
      <c r="J383" s="315">
        <v>2025</v>
      </c>
      <c r="K383" s="316">
        <v>1</v>
      </c>
      <c r="L383" s="316">
        <v>1</v>
      </c>
      <c r="M383" s="316">
        <v>1</v>
      </c>
      <c r="N383" s="316">
        <v>1</v>
      </c>
      <c r="O383" s="316">
        <v>1</v>
      </c>
      <c r="P383" s="316">
        <v>1</v>
      </c>
      <c r="Q383" s="316">
        <v>1</v>
      </c>
      <c r="R383" s="316">
        <v>1</v>
      </c>
      <c r="S383" s="316">
        <v>1</v>
      </c>
      <c r="T383" s="316">
        <v>1</v>
      </c>
      <c r="U383" s="316">
        <v>1</v>
      </c>
      <c r="V383" s="316">
        <v>1</v>
      </c>
      <c r="W383" s="316">
        <v>1</v>
      </c>
      <c r="X383" s="316">
        <v>1</v>
      </c>
      <c r="Y383" s="316">
        <v>1</v>
      </c>
      <c r="Z383" s="316">
        <v>1</v>
      </c>
      <c r="AA383" s="316">
        <v>1</v>
      </c>
      <c r="AB383" s="316">
        <v>1</v>
      </c>
      <c r="AC383" s="316">
        <v>1</v>
      </c>
      <c r="AD383" s="316">
        <v>1</v>
      </c>
      <c r="AE383" s="316">
        <v>1</v>
      </c>
      <c r="AF383" s="316">
        <v>1</v>
      </c>
      <c r="AG383" s="316">
        <v>1</v>
      </c>
      <c r="AH383" s="316">
        <v>1</v>
      </c>
      <c r="AI383" s="316">
        <v>1</v>
      </c>
      <c r="AJ383" s="316">
        <v>1</v>
      </c>
      <c r="AK383" s="316">
        <v>1</v>
      </c>
      <c r="AL383" s="316">
        <v>1</v>
      </c>
      <c r="AM383" s="316">
        <v>1</v>
      </c>
      <c r="AN383" s="316">
        <v>1</v>
      </c>
      <c r="AO383" s="316">
        <v>1</v>
      </c>
      <c r="AP383" s="316">
        <v>1</v>
      </c>
      <c r="AQ383" s="316">
        <v>1</v>
      </c>
      <c r="AR383" s="316">
        <v>1</v>
      </c>
      <c r="AS383" s="316">
        <v>1</v>
      </c>
      <c r="AT383" s="316">
        <v>1</v>
      </c>
    </row>
    <row r="384" spans="2:46" ht="12.75" customHeight="1" x14ac:dyDescent="0.15">
      <c r="B384" s="315">
        <v>1246</v>
      </c>
      <c r="C384" s="319" t="s">
        <v>143</v>
      </c>
      <c r="D384" s="313" t="s">
        <v>1927</v>
      </c>
      <c r="E384" s="319" t="s">
        <v>1805</v>
      </c>
      <c r="F384" s="319" t="s">
        <v>1928</v>
      </c>
      <c r="G384" s="315" t="str">
        <f>_xlfn.XLOOKUP(B384,'WFP Details - 2026'!A:A,'WFP Details - 2026'!Z:Z)</f>
        <v>x</v>
      </c>
      <c r="H384" s="314">
        <v>45964</v>
      </c>
      <c r="I384" s="315">
        <v>11</v>
      </c>
      <c r="J384" s="315">
        <v>2025</v>
      </c>
      <c r="K384" s="316">
        <v>1</v>
      </c>
      <c r="L384" s="316">
        <v>1</v>
      </c>
      <c r="M384" s="316">
        <v>1</v>
      </c>
      <c r="N384" s="316">
        <v>1</v>
      </c>
      <c r="O384" s="316">
        <v>1</v>
      </c>
      <c r="P384" s="316">
        <v>1</v>
      </c>
      <c r="Q384" s="316">
        <v>1</v>
      </c>
      <c r="R384" s="316">
        <v>1</v>
      </c>
      <c r="S384" s="316">
        <v>1</v>
      </c>
      <c r="T384" s="316">
        <v>1</v>
      </c>
      <c r="U384" s="316">
        <v>1</v>
      </c>
      <c r="V384" s="316">
        <v>1</v>
      </c>
      <c r="W384" s="316">
        <v>1</v>
      </c>
      <c r="X384" s="316">
        <v>1</v>
      </c>
      <c r="Y384" s="316">
        <v>1</v>
      </c>
      <c r="Z384" s="316">
        <v>1</v>
      </c>
      <c r="AA384" s="316">
        <v>1</v>
      </c>
      <c r="AB384" s="316">
        <v>1</v>
      </c>
      <c r="AC384" s="316">
        <v>1</v>
      </c>
      <c r="AD384" s="316">
        <v>1</v>
      </c>
      <c r="AE384" s="316">
        <v>1</v>
      </c>
      <c r="AF384" s="316">
        <v>1</v>
      </c>
      <c r="AG384" s="316">
        <v>1</v>
      </c>
      <c r="AH384" s="316">
        <v>1</v>
      </c>
      <c r="AI384" s="316">
        <v>1</v>
      </c>
      <c r="AJ384" s="316">
        <v>1</v>
      </c>
      <c r="AK384" s="316">
        <v>1</v>
      </c>
      <c r="AL384" s="316">
        <v>1</v>
      </c>
      <c r="AM384" s="316">
        <v>1</v>
      </c>
      <c r="AN384" s="316">
        <v>1</v>
      </c>
      <c r="AO384" s="316">
        <v>1</v>
      </c>
      <c r="AP384" s="316">
        <v>1</v>
      </c>
      <c r="AQ384" s="316">
        <v>1</v>
      </c>
      <c r="AR384" s="316">
        <v>1</v>
      </c>
      <c r="AS384" s="316">
        <v>1</v>
      </c>
      <c r="AT384" s="316">
        <v>1</v>
      </c>
    </row>
    <row r="385" spans="2:46" ht="12.75" customHeight="1" x14ac:dyDescent="0.15">
      <c r="B385" s="315">
        <v>1060</v>
      </c>
      <c r="C385" s="319" t="s">
        <v>143</v>
      </c>
      <c r="D385" s="313" t="s">
        <v>1929</v>
      </c>
      <c r="E385" s="319" t="s">
        <v>1817</v>
      </c>
      <c r="F385" s="319" t="s">
        <v>1930</v>
      </c>
      <c r="G385" s="315" t="str">
        <f>_xlfn.XLOOKUP(B385,'WFP Details - 2026'!A:A,'WFP Details - 2026'!Z:Z)</f>
        <v>x</v>
      </c>
      <c r="H385" s="314">
        <v>46006</v>
      </c>
      <c r="I385" s="315">
        <v>12</v>
      </c>
      <c r="J385" s="315">
        <v>2025</v>
      </c>
      <c r="K385" s="316">
        <v>1</v>
      </c>
      <c r="L385" s="316">
        <v>1</v>
      </c>
      <c r="M385" s="316">
        <v>1</v>
      </c>
      <c r="N385" s="316">
        <v>1</v>
      </c>
      <c r="O385" s="316">
        <v>1</v>
      </c>
      <c r="P385" s="316">
        <v>1</v>
      </c>
      <c r="Q385" s="316">
        <v>1</v>
      </c>
      <c r="R385" s="316">
        <v>1</v>
      </c>
      <c r="S385" s="316">
        <v>1</v>
      </c>
      <c r="T385" s="316">
        <v>1</v>
      </c>
      <c r="U385" s="316">
        <v>1</v>
      </c>
      <c r="V385" s="316">
        <v>1</v>
      </c>
      <c r="W385" s="316">
        <v>1</v>
      </c>
      <c r="X385" s="316">
        <v>1</v>
      </c>
      <c r="Y385" s="316">
        <v>1</v>
      </c>
      <c r="Z385" s="316">
        <v>1</v>
      </c>
      <c r="AA385" s="316">
        <v>1</v>
      </c>
      <c r="AB385" s="316">
        <v>1</v>
      </c>
      <c r="AC385" s="316">
        <v>1</v>
      </c>
      <c r="AD385" s="316">
        <v>1</v>
      </c>
      <c r="AE385" s="316">
        <v>1</v>
      </c>
      <c r="AF385" s="316">
        <v>1</v>
      </c>
      <c r="AG385" s="316">
        <v>1</v>
      </c>
      <c r="AH385" s="316">
        <v>1</v>
      </c>
      <c r="AI385" s="316">
        <v>1</v>
      </c>
      <c r="AJ385" s="316">
        <v>1</v>
      </c>
      <c r="AK385" s="316">
        <v>1</v>
      </c>
      <c r="AL385" s="316">
        <v>1</v>
      </c>
      <c r="AM385" s="316">
        <v>1</v>
      </c>
      <c r="AN385" s="316">
        <v>1</v>
      </c>
      <c r="AO385" s="316">
        <v>1</v>
      </c>
      <c r="AP385" s="316">
        <v>1</v>
      </c>
      <c r="AQ385" s="316">
        <v>1</v>
      </c>
      <c r="AR385" s="316">
        <v>1</v>
      </c>
      <c r="AS385" s="316">
        <v>1</v>
      </c>
      <c r="AT385" s="316">
        <v>1</v>
      </c>
    </row>
    <row r="386" spans="2:46" ht="12.75" customHeight="1" x14ac:dyDescent="0.15">
      <c r="B386" s="315">
        <v>1400</v>
      </c>
      <c r="C386" s="319" t="s">
        <v>143</v>
      </c>
      <c r="D386" s="313" t="s">
        <v>482</v>
      </c>
      <c r="E386" s="319" t="s">
        <v>1805</v>
      </c>
      <c r="F386" s="319" t="s">
        <v>479</v>
      </c>
      <c r="G386" s="315" t="str">
        <f>_xlfn.XLOOKUP(B386,'WFP Details - 2026'!A:A,'WFP Details - 2026'!Z:Z)</f>
        <v>x</v>
      </c>
      <c r="H386" s="314">
        <v>46006</v>
      </c>
      <c r="I386" s="315">
        <v>12</v>
      </c>
      <c r="J386" s="315">
        <v>2025</v>
      </c>
      <c r="K386" s="316">
        <v>1</v>
      </c>
      <c r="L386" s="316">
        <v>1</v>
      </c>
      <c r="M386" s="316">
        <v>1</v>
      </c>
      <c r="N386" s="316">
        <v>1</v>
      </c>
      <c r="O386" s="316">
        <v>1</v>
      </c>
      <c r="P386" s="316">
        <v>1</v>
      </c>
      <c r="Q386" s="316">
        <v>1</v>
      </c>
      <c r="R386" s="316">
        <v>1</v>
      </c>
      <c r="S386" s="316">
        <v>1</v>
      </c>
      <c r="T386" s="316">
        <v>1</v>
      </c>
      <c r="U386" s="316">
        <v>1</v>
      </c>
      <c r="V386" s="316">
        <v>1</v>
      </c>
      <c r="W386" s="316">
        <v>1</v>
      </c>
      <c r="X386" s="316">
        <v>1</v>
      </c>
      <c r="Y386" s="316">
        <v>1</v>
      </c>
      <c r="Z386" s="316">
        <v>1</v>
      </c>
      <c r="AA386" s="316">
        <v>1</v>
      </c>
      <c r="AB386" s="316">
        <v>1</v>
      </c>
      <c r="AC386" s="316">
        <v>1</v>
      </c>
      <c r="AD386" s="316">
        <v>1</v>
      </c>
      <c r="AE386" s="316">
        <v>1</v>
      </c>
      <c r="AF386" s="316">
        <v>1</v>
      </c>
      <c r="AG386" s="316">
        <v>1</v>
      </c>
      <c r="AH386" s="316">
        <v>1</v>
      </c>
      <c r="AI386" s="316">
        <v>1</v>
      </c>
      <c r="AJ386" s="316">
        <v>1</v>
      </c>
      <c r="AK386" s="316">
        <v>1</v>
      </c>
      <c r="AL386" s="316">
        <v>1</v>
      </c>
      <c r="AM386" s="316">
        <v>1</v>
      </c>
      <c r="AN386" s="316">
        <v>1</v>
      </c>
      <c r="AO386" s="316">
        <v>1</v>
      </c>
      <c r="AP386" s="316">
        <v>1</v>
      </c>
      <c r="AQ386" s="316">
        <v>1</v>
      </c>
      <c r="AR386" s="316">
        <v>1</v>
      </c>
      <c r="AS386" s="316">
        <v>1</v>
      </c>
      <c r="AT386" s="316">
        <v>1</v>
      </c>
    </row>
    <row r="387" spans="2:46" ht="12.75" customHeight="1" x14ac:dyDescent="0.15">
      <c r="B387" s="315">
        <v>5355</v>
      </c>
      <c r="C387" s="319" t="s">
        <v>143</v>
      </c>
      <c r="D387" s="313" t="s">
        <v>101</v>
      </c>
      <c r="E387" s="319" t="s">
        <v>1805</v>
      </c>
      <c r="F387" s="319" t="s">
        <v>488</v>
      </c>
      <c r="G387" s="315" t="str">
        <f>_xlfn.XLOOKUP(B387,'WFP Details - 2026'!A:A,'WFP Details - 2026'!Z:Z)</f>
        <v>x</v>
      </c>
      <c r="H387" s="314">
        <v>46371</v>
      </c>
      <c r="I387" s="315">
        <v>12</v>
      </c>
      <c r="J387" s="315">
        <v>2026</v>
      </c>
      <c r="K387" s="316">
        <v>0</v>
      </c>
      <c r="L387" s="316">
        <v>0</v>
      </c>
      <c r="M387" s="316">
        <v>0</v>
      </c>
      <c r="N387" s="316">
        <v>0</v>
      </c>
      <c r="O387" s="316">
        <v>0</v>
      </c>
      <c r="P387" s="316">
        <v>0</v>
      </c>
      <c r="Q387" s="316">
        <v>0</v>
      </c>
      <c r="R387" s="316">
        <v>0</v>
      </c>
      <c r="S387" s="316">
        <v>0</v>
      </c>
      <c r="T387" s="316">
        <v>0</v>
      </c>
      <c r="U387" s="316">
        <v>0</v>
      </c>
      <c r="V387" s="316">
        <v>1</v>
      </c>
      <c r="W387" s="316">
        <v>1</v>
      </c>
      <c r="X387" s="316">
        <v>1</v>
      </c>
      <c r="Y387" s="316">
        <v>1</v>
      </c>
      <c r="Z387" s="316">
        <v>1</v>
      </c>
      <c r="AA387" s="316">
        <v>1</v>
      </c>
      <c r="AB387" s="316">
        <v>1</v>
      </c>
      <c r="AC387" s="316">
        <v>1</v>
      </c>
      <c r="AD387" s="316">
        <v>1</v>
      </c>
      <c r="AE387" s="316">
        <v>1</v>
      </c>
      <c r="AF387" s="316">
        <v>1</v>
      </c>
      <c r="AG387" s="316">
        <v>1</v>
      </c>
      <c r="AH387" s="316">
        <v>1</v>
      </c>
      <c r="AI387" s="316">
        <v>1</v>
      </c>
      <c r="AJ387" s="316">
        <v>1</v>
      </c>
      <c r="AK387" s="316">
        <v>1</v>
      </c>
      <c r="AL387" s="316">
        <v>1</v>
      </c>
      <c r="AM387" s="316">
        <v>1</v>
      </c>
      <c r="AN387" s="316">
        <v>1</v>
      </c>
      <c r="AO387" s="316">
        <v>1</v>
      </c>
      <c r="AP387" s="316">
        <v>1</v>
      </c>
      <c r="AQ387" s="316">
        <v>1</v>
      </c>
      <c r="AR387" s="316">
        <v>1</v>
      </c>
      <c r="AS387" s="316">
        <v>1</v>
      </c>
      <c r="AT387" s="316">
        <v>1</v>
      </c>
    </row>
    <row r="388" spans="2:46" ht="12.75" hidden="1" customHeight="1" x14ac:dyDescent="0.15">
      <c r="B388" s="315">
        <v>5113</v>
      </c>
      <c r="C388" s="319" t="s">
        <v>143</v>
      </c>
      <c r="D388" s="313" t="s">
        <v>101</v>
      </c>
      <c r="E388" s="313" t="s">
        <v>1805</v>
      </c>
      <c r="F388" s="319" t="s">
        <v>1931</v>
      </c>
      <c r="G388" s="315" t="e">
        <f>_xlfn.XLOOKUP(B388,'WFP Details - 2026'!A:A,'WFP Details - 2026'!Z:Z)</f>
        <v>#N/A</v>
      </c>
      <c r="H388" s="314">
        <v>46461</v>
      </c>
      <c r="I388" s="315">
        <v>3</v>
      </c>
      <c r="J388" s="315">
        <v>2027</v>
      </c>
      <c r="K388" s="316">
        <v>0</v>
      </c>
      <c r="L388" s="316">
        <v>0</v>
      </c>
      <c r="M388" s="316">
        <v>0</v>
      </c>
      <c r="N388" s="316">
        <v>0</v>
      </c>
      <c r="O388" s="316">
        <v>0</v>
      </c>
      <c r="P388" s="316">
        <v>0</v>
      </c>
      <c r="Q388" s="316">
        <v>0</v>
      </c>
      <c r="R388" s="316">
        <v>0</v>
      </c>
      <c r="S388" s="316">
        <v>0</v>
      </c>
      <c r="T388" s="316">
        <v>0</v>
      </c>
      <c r="U388" s="316">
        <v>0</v>
      </c>
      <c r="V388" s="316">
        <v>0</v>
      </c>
      <c r="W388" s="316">
        <v>0</v>
      </c>
      <c r="X388" s="316">
        <v>0</v>
      </c>
      <c r="Y388" s="316">
        <v>8</v>
      </c>
      <c r="Z388" s="316">
        <v>8</v>
      </c>
      <c r="AA388" s="316">
        <v>8</v>
      </c>
      <c r="AB388" s="316">
        <v>8</v>
      </c>
      <c r="AC388" s="316">
        <v>8</v>
      </c>
      <c r="AD388" s="316">
        <v>8</v>
      </c>
      <c r="AE388" s="316">
        <v>8</v>
      </c>
      <c r="AF388" s="316">
        <v>8</v>
      </c>
      <c r="AG388" s="316">
        <v>8</v>
      </c>
      <c r="AH388" s="316">
        <v>8</v>
      </c>
      <c r="AI388" s="316">
        <v>8</v>
      </c>
      <c r="AJ388" s="316">
        <v>8</v>
      </c>
      <c r="AK388" s="316">
        <v>8</v>
      </c>
      <c r="AL388" s="316">
        <v>8</v>
      </c>
      <c r="AM388" s="316">
        <v>8</v>
      </c>
      <c r="AN388" s="316">
        <v>8</v>
      </c>
      <c r="AO388" s="316">
        <v>8</v>
      </c>
      <c r="AP388" s="316">
        <v>8</v>
      </c>
      <c r="AQ388" s="316">
        <v>8</v>
      </c>
      <c r="AR388" s="316">
        <v>8</v>
      </c>
      <c r="AS388" s="316">
        <v>8</v>
      </c>
      <c r="AT388" s="316">
        <v>8</v>
      </c>
    </row>
    <row r="389" spans="2:46" ht="12.75" hidden="1" customHeight="1" x14ac:dyDescent="0.15">
      <c r="B389" s="315">
        <v>5114</v>
      </c>
      <c r="C389" s="319" t="s">
        <v>143</v>
      </c>
      <c r="D389" s="313" t="s">
        <v>101</v>
      </c>
      <c r="E389" s="313" t="s">
        <v>1932</v>
      </c>
      <c r="F389" s="319" t="s">
        <v>1435</v>
      </c>
      <c r="G389" s="315" t="e">
        <f>_xlfn.XLOOKUP(B389,'WFP Details - 2026'!A:A,'WFP Details - 2026'!Z:Z)</f>
        <v>#N/A</v>
      </c>
      <c r="H389" s="314">
        <v>46461</v>
      </c>
      <c r="I389" s="315">
        <v>3</v>
      </c>
      <c r="J389" s="315">
        <v>2027</v>
      </c>
      <c r="K389" s="316">
        <v>0</v>
      </c>
      <c r="L389" s="316">
        <v>0</v>
      </c>
      <c r="M389" s="316">
        <v>0</v>
      </c>
      <c r="N389" s="316">
        <v>0</v>
      </c>
      <c r="O389" s="316">
        <v>0</v>
      </c>
      <c r="P389" s="316">
        <v>0</v>
      </c>
      <c r="Q389" s="316">
        <v>0</v>
      </c>
      <c r="R389" s="316">
        <v>0</v>
      </c>
      <c r="S389" s="316">
        <v>0</v>
      </c>
      <c r="T389" s="316">
        <v>0</v>
      </c>
      <c r="U389" s="316">
        <v>0</v>
      </c>
      <c r="V389" s="316">
        <v>0</v>
      </c>
      <c r="W389" s="316">
        <v>0</v>
      </c>
      <c r="X389" s="316">
        <v>0</v>
      </c>
      <c r="Y389" s="316">
        <v>1</v>
      </c>
      <c r="Z389" s="316">
        <v>1</v>
      </c>
      <c r="AA389" s="316">
        <v>1</v>
      </c>
      <c r="AB389" s="316">
        <v>1</v>
      </c>
      <c r="AC389" s="316">
        <v>1</v>
      </c>
      <c r="AD389" s="316">
        <v>1</v>
      </c>
      <c r="AE389" s="316">
        <v>1</v>
      </c>
      <c r="AF389" s="316">
        <v>1</v>
      </c>
      <c r="AG389" s="316">
        <v>1</v>
      </c>
      <c r="AH389" s="316">
        <v>1</v>
      </c>
      <c r="AI389" s="316">
        <v>1</v>
      </c>
      <c r="AJ389" s="316">
        <v>1</v>
      </c>
      <c r="AK389" s="316">
        <v>1</v>
      </c>
      <c r="AL389" s="316">
        <v>1</v>
      </c>
      <c r="AM389" s="316">
        <v>1</v>
      </c>
      <c r="AN389" s="316">
        <v>1</v>
      </c>
      <c r="AO389" s="316">
        <v>1</v>
      </c>
      <c r="AP389" s="316">
        <v>1</v>
      </c>
      <c r="AQ389" s="316">
        <v>1</v>
      </c>
      <c r="AR389" s="316">
        <v>1</v>
      </c>
      <c r="AS389" s="316">
        <v>1</v>
      </c>
      <c r="AT389" s="316">
        <v>1</v>
      </c>
    </row>
    <row r="390" spans="2:46" ht="12.75" hidden="1" customHeight="1" x14ac:dyDescent="0.15">
      <c r="B390" s="315">
        <v>5115</v>
      </c>
      <c r="C390" s="319" t="s">
        <v>143</v>
      </c>
      <c r="D390" s="313" t="s">
        <v>101</v>
      </c>
      <c r="E390" s="313" t="s">
        <v>1831</v>
      </c>
      <c r="F390" s="319" t="s">
        <v>1439</v>
      </c>
      <c r="G390" s="315" t="e">
        <f>_xlfn.XLOOKUP(B390,'WFP Details - 2026'!A:A,'WFP Details - 2026'!Z:Z)</f>
        <v>#N/A</v>
      </c>
      <c r="H390" s="314">
        <v>46461</v>
      </c>
      <c r="I390" s="315">
        <v>3</v>
      </c>
      <c r="J390" s="315">
        <v>2027</v>
      </c>
      <c r="K390" s="316">
        <v>0</v>
      </c>
      <c r="L390" s="316">
        <v>0</v>
      </c>
      <c r="M390" s="316">
        <v>0</v>
      </c>
      <c r="N390" s="316">
        <v>0</v>
      </c>
      <c r="O390" s="316">
        <v>0</v>
      </c>
      <c r="P390" s="316">
        <v>0</v>
      </c>
      <c r="Q390" s="316">
        <v>0</v>
      </c>
      <c r="R390" s="316">
        <v>0</v>
      </c>
      <c r="S390" s="316">
        <v>0</v>
      </c>
      <c r="T390" s="316">
        <v>0</v>
      </c>
      <c r="U390" s="316">
        <v>0</v>
      </c>
      <c r="V390" s="316">
        <v>0</v>
      </c>
      <c r="W390" s="316">
        <v>0</v>
      </c>
      <c r="X390" s="316">
        <v>0</v>
      </c>
      <c r="Y390" s="316">
        <v>1</v>
      </c>
      <c r="Z390" s="316">
        <v>1</v>
      </c>
      <c r="AA390" s="316">
        <v>1</v>
      </c>
      <c r="AB390" s="316">
        <v>1</v>
      </c>
      <c r="AC390" s="316">
        <v>1</v>
      </c>
      <c r="AD390" s="316">
        <v>1</v>
      </c>
      <c r="AE390" s="316">
        <v>1</v>
      </c>
      <c r="AF390" s="316">
        <v>1</v>
      </c>
      <c r="AG390" s="316">
        <v>1</v>
      </c>
      <c r="AH390" s="316">
        <v>1</v>
      </c>
      <c r="AI390" s="316">
        <v>1</v>
      </c>
      <c r="AJ390" s="316">
        <v>1</v>
      </c>
      <c r="AK390" s="316">
        <v>1</v>
      </c>
      <c r="AL390" s="316">
        <v>1</v>
      </c>
      <c r="AM390" s="316">
        <v>1</v>
      </c>
      <c r="AN390" s="316">
        <v>1</v>
      </c>
      <c r="AO390" s="316">
        <v>1</v>
      </c>
      <c r="AP390" s="316">
        <v>1</v>
      </c>
      <c r="AQ390" s="316">
        <v>1</v>
      </c>
      <c r="AR390" s="316">
        <v>1</v>
      </c>
      <c r="AS390" s="316">
        <v>1</v>
      </c>
      <c r="AT390" s="316">
        <v>1</v>
      </c>
    </row>
    <row r="391" spans="2:46" ht="12.75" hidden="1" customHeight="1" x14ac:dyDescent="0.15">
      <c r="B391" s="318">
        <v>5116</v>
      </c>
      <c r="C391" s="313" t="s">
        <v>143</v>
      </c>
      <c r="D391" s="313" t="s">
        <v>101</v>
      </c>
      <c r="E391" s="313" t="s">
        <v>1831</v>
      </c>
      <c r="F391" s="313" t="s">
        <v>1443</v>
      </c>
      <c r="G391" s="315" t="e">
        <f>_xlfn.XLOOKUP(B391,'WFP Details - 2026'!A:A,'WFP Details - 2026'!Z:Z)</f>
        <v>#N/A</v>
      </c>
      <c r="H391" s="314">
        <v>46461</v>
      </c>
      <c r="I391" s="315">
        <v>3</v>
      </c>
      <c r="J391" s="315">
        <v>2027</v>
      </c>
      <c r="K391" s="316">
        <v>0</v>
      </c>
      <c r="L391" s="316">
        <v>0</v>
      </c>
      <c r="M391" s="316">
        <v>0</v>
      </c>
      <c r="N391" s="316">
        <v>0</v>
      </c>
      <c r="O391" s="316">
        <v>0</v>
      </c>
      <c r="P391" s="316">
        <v>0</v>
      </c>
      <c r="Q391" s="316">
        <v>0</v>
      </c>
      <c r="R391" s="316">
        <v>0</v>
      </c>
      <c r="S391" s="316">
        <v>0</v>
      </c>
      <c r="T391" s="316">
        <v>0</v>
      </c>
      <c r="U391" s="316">
        <v>0</v>
      </c>
      <c r="V391" s="316">
        <v>0</v>
      </c>
      <c r="W391" s="316">
        <v>0</v>
      </c>
      <c r="X391" s="316">
        <v>0</v>
      </c>
      <c r="Y391" s="316">
        <v>1</v>
      </c>
      <c r="Z391" s="316">
        <v>1</v>
      </c>
      <c r="AA391" s="316">
        <v>1</v>
      </c>
      <c r="AB391" s="316">
        <v>1</v>
      </c>
      <c r="AC391" s="316">
        <v>1</v>
      </c>
      <c r="AD391" s="316">
        <v>1</v>
      </c>
      <c r="AE391" s="316">
        <v>1</v>
      </c>
      <c r="AF391" s="316">
        <v>1</v>
      </c>
      <c r="AG391" s="316">
        <v>1</v>
      </c>
      <c r="AH391" s="316">
        <v>1</v>
      </c>
      <c r="AI391" s="316">
        <v>1</v>
      </c>
      <c r="AJ391" s="316">
        <v>1</v>
      </c>
      <c r="AK391" s="316">
        <v>1</v>
      </c>
      <c r="AL391" s="316">
        <v>1</v>
      </c>
      <c r="AM391" s="316">
        <v>1</v>
      </c>
      <c r="AN391" s="316">
        <v>1</v>
      </c>
      <c r="AO391" s="316">
        <v>1</v>
      </c>
      <c r="AP391" s="316">
        <v>1</v>
      </c>
      <c r="AQ391" s="316">
        <v>1</v>
      </c>
      <c r="AR391" s="316">
        <v>1</v>
      </c>
      <c r="AS391" s="316">
        <v>1</v>
      </c>
      <c r="AT391" s="316">
        <v>1</v>
      </c>
    </row>
    <row r="392" spans="2:46" ht="12.75" hidden="1" customHeight="1" x14ac:dyDescent="0.15">
      <c r="B392" s="318">
        <v>5117</v>
      </c>
      <c r="C392" s="313" t="s">
        <v>143</v>
      </c>
      <c r="D392" s="313" t="s">
        <v>101</v>
      </c>
      <c r="E392" s="313" t="s">
        <v>1831</v>
      </c>
      <c r="F392" s="313" t="s">
        <v>1445</v>
      </c>
      <c r="G392" s="315" t="e">
        <f>_xlfn.XLOOKUP(B392,'WFP Details - 2026'!A:A,'WFP Details - 2026'!Z:Z)</f>
        <v>#N/A</v>
      </c>
      <c r="H392" s="314">
        <v>46461</v>
      </c>
      <c r="I392" s="315">
        <v>3</v>
      </c>
      <c r="J392" s="315">
        <v>2027</v>
      </c>
      <c r="K392" s="316">
        <v>0</v>
      </c>
      <c r="L392" s="316">
        <v>0</v>
      </c>
      <c r="M392" s="316">
        <v>0</v>
      </c>
      <c r="N392" s="316">
        <v>0</v>
      </c>
      <c r="O392" s="316">
        <v>0</v>
      </c>
      <c r="P392" s="316">
        <v>0</v>
      </c>
      <c r="Q392" s="316">
        <v>0</v>
      </c>
      <c r="R392" s="316">
        <v>0</v>
      </c>
      <c r="S392" s="316">
        <v>0</v>
      </c>
      <c r="T392" s="316">
        <v>0</v>
      </c>
      <c r="U392" s="316">
        <v>0</v>
      </c>
      <c r="V392" s="316">
        <v>0</v>
      </c>
      <c r="W392" s="316">
        <v>0</v>
      </c>
      <c r="X392" s="316">
        <v>0</v>
      </c>
      <c r="Y392" s="316">
        <v>1</v>
      </c>
      <c r="Z392" s="316">
        <v>1</v>
      </c>
      <c r="AA392" s="316">
        <v>1</v>
      </c>
      <c r="AB392" s="316">
        <v>1</v>
      </c>
      <c r="AC392" s="316">
        <v>1</v>
      </c>
      <c r="AD392" s="316">
        <v>1</v>
      </c>
      <c r="AE392" s="316">
        <v>1</v>
      </c>
      <c r="AF392" s="316">
        <v>1</v>
      </c>
      <c r="AG392" s="316">
        <v>1</v>
      </c>
      <c r="AH392" s="316">
        <v>1</v>
      </c>
      <c r="AI392" s="316">
        <v>1</v>
      </c>
      <c r="AJ392" s="316">
        <v>1</v>
      </c>
      <c r="AK392" s="316">
        <v>1</v>
      </c>
      <c r="AL392" s="316">
        <v>1</v>
      </c>
      <c r="AM392" s="316">
        <v>1</v>
      </c>
      <c r="AN392" s="316">
        <v>1</v>
      </c>
      <c r="AO392" s="316">
        <v>1</v>
      </c>
      <c r="AP392" s="316">
        <v>1</v>
      </c>
      <c r="AQ392" s="316">
        <v>1</v>
      </c>
      <c r="AR392" s="316">
        <v>1</v>
      </c>
      <c r="AS392" s="316">
        <v>1</v>
      </c>
      <c r="AT392" s="316">
        <v>1</v>
      </c>
    </row>
    <row r="393" spans="2:46" ht="12.75" hidden="1" customHeight="1" x14ac:dyDescent="0.15">
      <c r="B393" s="317">
        <v>5120</v>
      </c>
      <c r="C393" s="313" t="s">
        <v>143</v>
      </c>
      <c r="D393" s="313" t="s">
        <v>101</v>
      </c>
      <c r="E393" s="313" t="s">
        <v>1805</v>
      </c>
      <c r="F393" s="313" t="s">
        <v>1933</v>
      </c>
      <c r="G393" s="315" t="e">
        <f>_xlfn.XLOOKUP(B393,'WFP Details - 2026'!A:A,'WFP Details - 2026'!Z:Z)</f>
        <v>#N/A</v>
      </c>
      <c r="H393" s="314">
        <v>46461</v>
      </c>
      <c r="I393" s="315">
        <v>3</v>
      </c>
      <c r="J393" s="315">
        <v>2027</v>
      </c>
      <c r="K393" s="316">
        <v>0</v>
      </c>
      <c r="L393" s="316">
        <v>0</v>
      </c>
      <c r="M393" s="316">
        <v>0</v>
      </c>
      <c r="N393" s="316">
        <v>0</v>
      </c>
      <c r="O393" s="316">
        <v>0</v>
      </c>
      <c r="P393" s="316">
        <v>0</v>
      </c>
      <c r="Q393" s="316">
        <v>0</v>
      </c>
      <c r="R393" s="316">
        <v>0</v>
      </c>
      <c r="S393" s="316">
        <v>0</v>
      </c>
      <c r="T393" s="316">
        <v>0</v>
      </c>
      <c r="U393" s="316">
        <v>0</v>
      </c>
      <c r="V393" s="316">
        <v>0</v>
      </c>
      <c r="W393" s="316">
        <v>0</v>
      </c>
      <c r="X393" s="316">
        <v>0</v>
      </c>
      <c r="Y393" s="316">
        <v>2</v>
      </c>
      <c r="Z393" s="316">
        <v>2</v>
      </c>
      <c r="AA393" s="316">
        <v>2</v>
      </c>
      <c r="AB393" s="316">
        <v>2</v>
      </c>
      <c r="AC393" s="316">
        <v>2</v>
      </c>
      <c r="AD393" s="316">
        <v>2</v>
      </c>
      <c r="AE393" s="316">
        <v>2</v>
      </c>
      <c r="AF393" s="316">
        <v>2</v>
      </c>
      <c r="AG393" s="316">
        <v>2</v>
      </c>
      <c r="AH393" s="316">
        <v>2</v>
      </c>
      <c r="AI393" s="316">
        <v>2</v>
      </c>
      <c r="AJ393" s="316">
        <v>2</v>
      </c>
      <c r="AK393" s="316">
        <v>2</v>
      </c>
      <c r="AL393" s="316">
        <v>2</v>
      </c>
      <c r="AM393" s="316">
        <v>2</v>
      </c>
      <c r="AN393" s="316">
        <v>2</v>
      </c>
      <c r="AO393" s="316">
        <v>2</v>
      </c>
      <c r="AP393" s="316">
        <v>2</v>
      </c>
      <c r="AQ393" s="316">
        <v>2</v>
      </c>
      <c r="AR393" s="316">
        <v>2</v>
      </c>
      <c r="AS393" s="316">
        <v>2</v>
      </c>
      <c r="AT393" s="316">
        <v>2</v>
      </c>
    </row>
    <row r="394" spans="2:46" ht="12.75" hidden="1" customHeight="1" x14ac:dyDescent="0.15">
      <c r="B394" s="315">
        <v>5118</v>
      </c>
      <c r="C394" s="319" t="s">
        <v>143</v>
      </c>
      <c r="D394" s="313" t="s">
        <v>101</v>
      </c>
      <c r="E394" s="313" t="s">
        <v>1805</v>
      </c>
      <c r="F394" s="319" t="s">
        <v>1934</v>
      </c>
      <c r="G394" s="315" t="e">
        <f>_xlfn.XLOOKUP(B394,'WFP Details - 2026'!A:A,'WFP Details - 2026'!Z:Z)</f>
        <v>#N/A</v>
      </c>
      <c r="H394" s="314">
        <v>46553</v>
      </c>
      <c r="I394" s="315">
        <v>6</v>
      </c>
      <c r="J394" s="315">
        <v>2027</v>
      </c>
      <c r="K394" s="316">
        <v>0</v>
      </c>
      <c r="L394" s="316">
        <v>0</v>
      </c>
      <c r="M394" s="316">
        <v>0</v>
      </c>
      <c r="N394" s="316">
        <v>0</v>
      </c>
      <c r="O394" s="316">
        <v>0</v>
      </c>
      <c r="P394" s="316">
        <v>0</v>
      </c>
      <c r="Q394" s="316">
        <v>0</v>
      </c>
      <c r="R394" s="316">
        <v>0</v>
      </c>
      <c r="S394" s="316">
        <v>0</v>
      </c>
      <c r="T394" s="316">
        <v>0</v>
      </c>
      <c r="U394" s="316">
        <v>0</v>
      </c>
      <c r="V394" s="316">
        <v>0</v>
      </c>
      <c r="W394" s="316">
        <v>0</v>
      </c>
      <c r="X394" s="316">
        <v>0</v>
      </c>
      <c r="Y394" s="316">
        <v>0</v>
      </c>
      <c r="Z394" s="316">
        <v>0</v>
      </c>
      <c r="AA394" s="316">
        <v>0</v>
      </c>
      <c r="AB394" s="316">
        <v>2</v>
      </c>
      <c r="AC394" s="316">
        <v>2</v>
      </c>
      <c r="AD394" s="316">
        <v>2</v>
      </c>
      <c r="AE394" s="316">
        <v>2</v>
      </c>
      <c r="AF394" s="316">
        <v>2</v>
      </c>
      <c r="AG394" s="316">
        <v>2</v>
      </c>
      <c r="AH394" s="316">
        <v>2</v>
      </c>
      <c r="AI394" s="316">
        <v>2</v>
      </c>
      <c r="AJ394" s="316">
        <v>2</v>
      </c>
      <c r="AK394" s="316">
        <v>2</v>
      </c>
      <c r="AL394" s="316">
        <v>2</v>
      </c>
      <c r="AM394" s="316">
        <v>2</v>
      </c>
      <c r="AN394" s="316">
        <v>2</v>
      </c>
      <c r="AO394" s="316">
        <v>2</v>
      </c>
      <c r="AP394" s="316">
        <v>2</v>
      </c>
      <c r="AQ394" s="316">
        <v>2</v>
      </c>
      <c r="AR394" s="316">
        <v>2</v>
      </c>
      <c r="AS394" s="316">
        <v>2</v>
      </c>
      <c r="AT394" s="316">
        <v>2</v>
      </c>
    </row>
    <row r="395" spans="2:46" ht="12.75" hidden="1" customHeight="1" x14ac:dyDescent="0.15">
      <c r="B395" s="318">
        <v>5119</v>
      </c>
      <c r="C395" s="313" t="s">
        <v>143</v>
      </c>
      <c r="D395" s="313" t="s">
        <v>101</v>
      </c>
      <c r="E395" s="313" t="s">
        <v>1805</v>
      </c>
      <c r="F395" s="313" t="s">
        <v>1935</v>
      </c>
      <c r="G395" s="315" t="e">
        <f>_xlfn.XLOOKUP(B395,'WFP Details - 2026'!A:A,'WFP Details - 2026'!Z:Z)</f>
        <v>#N/A</v>
      </c>
      <c r="H395" s="314">
        <v>46645</v>
      </c>
      <c r="I395" s="315">
        <v>9</v>
      </c>
      <c r="J395" s="315">
        <v>2027</v>
      </c>
      <c r="K395" s="316">
        <v>0</v>
      </c>
      <c r="L395" s="316">
        <v>0</v>
      </c>
      <c r="M395" s="316">
        <v>0</v>
      </c>
      <c r="N395" s="316">
        <v>0</v>
      </c>
      <c r="O395" s="316">
        <v>0</v>
      </c>
      <c r="P395" s="316">
        <v>0</v>
      </c>
      <c r="Q395" s="316">
        <v>0</v>
      </c>
      <c r="R395" s="316">
        <v>0</v>
      </c>
      <c r="S395" s="316">
        <v>0</v>
      </c>
      <c r="T395" s="316">
        <v>0</v>
      </c>
      <c r="U395" s="316">
        <v>0</v>
      </c>
      <c r="V395" s="316">
        <v>0</v>
      </c>
      <c r="W395" s="316">
        <v>0</v>
      </c>
      <c r="X395" s="316">
        <v>0</v>
      </c>
      <c r="Y395" s="316">
        <v>0</v>
      </c>
      <c r="Z395" s="316">
        <v>0</v>
      </c>
      <c r="AA395" s="316">
        <v>0</v>
      </c>
      <c r="AB395" s="316">
        <v>0</v>
      </c>
      <c r="AC395" s="316">
        <v>0</v>
      </c>
      <c r="AD395" s="316">
        <v>0</v>
      </c>
      <c r="AE395" s="316">
        <v>2</v>
      </c>
      <c r="AF395" s="316">
        <v>2</v>
      </c>
      <c r="AG395" s="316">
        <v>2</v>
      </c>
      <c r="AH395" s="316">
        <v>2</v>
      </c>
      <c r="AI395" s="316">
        <v>2</v>
      </c>
      <c r="AJ395" s="316">
        <v>2</v>
      </c>
      <c r="AK395" s="316">
        <v>2</v>
      </c>
      <c r="AL395" s="316">
        <v>2</v>
      </c>
      <c r="AM395" s="316">
        <v>2</v>
      </c>
      <c r="AN395" s="316">
        <v>2</v>
      </c>
      <c r="AO395" s="316">
        <v>2</v>
      </c>
      <c r="AP395" s="316">
        <v>2</v>
      </c>
      <c r="AQ395" s="316">
        <v>2</v>
      </c>
      <c r="AR395" s="316">
        <v>2</v>
      </c>
      <c r="AS395" s="316">
        <v>2</v>
      </c>
      <c r="AT395" s="316">
        <v>2</v>
      </c>
    </row>
    <row r="396" spans="2:46" ht="12.75" customHeight="1" x14ac:dyDescent="0.15">
      <c r="B396" s="315">
        <v>1248</v>
      </c>
      <c r="C396" s="319" t="s">
        <v>696</v>
      </c>
      <c r="D396" s="313" t="s">
        <v>1936</v>
      </c>
      <c r="E396" s="319" t="s">
        <v>1792</v>
      </c>
      <c r="F396" s="319" t="s">
        <v>1937</v>
      </c>
      <c r="G396" s="315" t="str">
        <f>_xlfn.XLOOKUP(B396,'WFP Details - 2026'!A:A,'WFP Details - 2026'!Z:Z)</f>
        <v>x</v>
      </c>
      <c r="H396" s="314">
        <v>45551</v>
      </c>
      <c r="I396" s="315">
        <v>9</v>
      </c>
      <c r="J396" s="315">
        <v>2024</v>
      </c>
      <c r="K396" s="316">
        <v>1</v>
      </c>
      <c r="L396" s="316">
        <v>1</v>
      </c>
      <c r="M396" s="316">
        <v>1</v>
      </c>
      <c r="N396" s="316">
        <v>1</v>
      </c>
      <c r="O396" s="316">
        <v>1</v>
      </c>
      <c r="P396" s="316">
        <v>1</v>
      </c>
      <c r="Q396" s="316">
        <v>1</v>
      </c>
      <c r="R396" s="316">
        <v>1</v>
      </c>
      <c r="S396" s="316">
        <v>1</v>
      </c>
      <c r="T396" s="316">
        <v>1</v>
      </c>
      <c r="U396" s="316">
        <v>1</v>
      </c>
      <c r="V396" s="316">
        <v>1</v>
      </c>
      <c r="W396" s="316">
        <v>1</v>
      </c>
      <c r="X396" s="316">
        <v>1</v>
      </c>
      <c r="Y396" s="316">
        <v>1</v>
      </c>
      <c r="Z396" s="316">
        <v>1</v>
      </c>
      <c r="AA396" s="316">
        <v>1</v>
      </c>
      <c r="AB396" s="316">
        <v>1</v>
      </c>
      <c r="AC396" s="316">
        <v>1</v>
      </c>
      <c r="AD396" s="316">
        <v>1</v>
      </c>
      <c r="AE396" s="316">
        <v>1</v>
      </c>
      <c r="AF396" s="316">
        <v>1</v>
      </c>
      <c r="AG396" s="316">
        <v>1</v>
      </c>
      <c r="AH396" s="316">
        <v>1</v>
      </c>
      <c r="AI396" s="316">
        <v>1</v>
      </c>
      <c r="AJ396" s="316">
        <v>1</v>
      </c>
      <c r="AK396" s="316">
        <v>1</v>
      </c>
      <c r="AL396" s="316">
        <v>1</v>
      </c>
      <c r="AM396" s="316">
        <v>1</v>
      </c>
      <c r="AN396" s="316">
        <v>1</v>
      </c>
      <c r="AO396" s="316">
        <v>1</v>
      </c>
      <c r="AP396" s="316">
        <v>1</v>
      </c>
      <c r="AQ396" s="316">
        <v>1</v>
      </c>
      <c r="AR396" s="316">
        <v>1</v>
      </c>
      <c r="AS396" s="316">
        <v>1</v>
      </c>
      <c r="AT396" s="316">
        <v>1</v>
      </c>
    </row>
    <row r="397" spans="2:46" ht="12.75" customHeight="1" x14ac:dyDescent="0.15">
      <c r="B397" s="318">
        <v>1249</v>
      </c>
      <c r="C397" s="313" t="s">
        <v>696</v>
      </c>
      <c r="D397" s="313" t="s">
        <v>1938</v>
      </c>
      <c r="E397" s="319" t="s">
        <v>1817</v>
      </c>
      <c r="F397" s="319" t="s">
        <v>1939</v>
      </c>
      <c r="G397" s="315" t="str">
        <f>_xlfn.XLOOKUP(B397,'WFP Details - 2026'!A:A,'WFP Details - 2026'!Z:Z)</f>
        <v>x</v>
      </c>
      <c r="H397" s="314">
        <v>45768</v>
      </c>
      <c r="I397" s="315">
        <v>4</v>
      </c>
      <c r="J397" s="315">
        <v>2025</v>
      </c>
      <c r="K397" s="316">
        <v>1</v>
      </c>
      <c r="L397" s="316">
        <v>1</v>
      </c>
      <c r="M397" s="316">
        <v>1</v>
      </c>
      <c r="N397" s="316">
        <v>1</v>
      </c>
      <c r="O397" s="316">
        <v>1</v>
      </c>
      <c r="P397" s="316">
        <v>1</v>
      </c>
      <c r="Q397" s="316">
        <v>1</v>
      </c>
      <c r="R397" s="316">
        <v>1</v>
      </c>
      <c r="S397" s="316">
        <v>1</v>
      </c>
      <c r="T397" s="316">
        <v>1</v>
      </c>
      <c r="U397" s="316">
        <v>1</v>
      </c>
      <c r="V397" s="316">
        <v>1</v>
      </c>
      <c r="W397" s="316">
        <v>1</v>
      </c>
      <c r="X397" s="316">
        <v>1</v>
      </c>
      <c r="Y397" s="316">
        <v>1</v>
      </c>
      <c r="Z397" s="316">
        <v>1</v>
      </c>
      <c r="AA397" s="316">
        <v>1</v>
      </c>
      <c r="AB397" s="316">
        <v>1</v>
      </c>
      <c r="AC397" s="316">
        <v>1</v>
      </c>
      <c r="AD397" s="316">
        <v>1</v>
      </c>
      <c r="AE397" s="316">
        <v>1</v>
      </c>
      <c r="AF397" s="316">
        <v>1</v>
      </c>
      <c r="AG397" s="316">
        <v>1</v>
      </c>
      <c r="AH397" s="316">
        <v>1</v>
      </c>
      <c r="AI397" s="316">
        <v>1</v>
      </c>
      <c r="AJ397" s="316">
        <v>1</v>
      </c>
      <c r="AK397" s="316">
        <v>1</v>
      </c>
      <c r="AL397" s="316">
        <v>1</v>
      </c>
      <c r="AM397" s="316">
        <v>1</v>
      </c>
      <c r="AN397" s="316">
        <v>1</v>
      </c>
      <c r="AO397" s="316">
        <v>1</v>
      </c>
      <c r="AP397" s="316">
        <v>1</v>
      </c>
      <c r="AQ397" s="316">
        <v>1</v>
      </c>
      <c r="AR397" s="316">
        <v>1</v>
      </c>
      <c r="AS397" s="316">
        <v>1</v>
      </c>
      <c r="AT397" s="316">
        <v>1</v>
      </c>
    </row>
    <row r="398" spans="2:46" ht="12.75" customHeight="1" x14ac:dyDescent="0.15">
      <c r="B398" s="312">
        <v>1394</v>
      </c>
      <c r="C398" s="313" t="s">
        <v>696</v>
      </c>
      <c r="D398" s="313" t="s">
        <v>101</v>
      </c>
      <c r="E398" s="319" t="s">
        <v>1817</v>
      </c>
      <c r="F398" s="319" t="s">
        <v>710</v>
      </c>
      <c r="G398" s="315" t="str">
        <f>_xlfn.XLOOKUP(B398,'WFP Details - 2026'!A:A,'WFP Details - 2026'!Z:Z)</f>
        <v>x</v>
      </c>
      <c r="H398" s="314">
        <v>46188</v>
      </c>
      <c r="I398" s="315">
        <v>6</v>
      </c>
      <c r="J398" s="315">
        <v>2026</v>
      </c>
      <c r="K398" s="316">
        <v>0</v>
      </c>
      <c r="L398" s="316">
        <v>0</v>
      </c>
      <c r="M398" s="316">
        <v>0</v>
      </c>
      <c r="N398" s="316">
        <v>0</v>
      </c>
      <c r="O398" s="316">
        <v>0</v>
      </c>
      <c r="P398" s="316">
        <v>1</v>
      </c>
      <c r="Q398" s="316">
        <v>1</v>
      </c>
      <c r="R398" s="316">
        <v>1</v>
      </c>
      <c r="S398" s="316">
        <v>1</v>
      </c>
      <c r="T398" s="316">
        <v>1</v>
      </c>
      <c r="U398" s="316">
        <v>1</v>
      </c>
      <c r="V398" s="316">
        <v>1</v>
      </c>
      <c r="W398" s="316">
        <v>1</v>
      </c>
      <c r="X398" s="316">
        <v>1</v>
      </c>
      <c r="Y398" s="316">
        <v>1</v>
      </c>
      <c r="Z398" s="316">
        <v>1</v>
      </c>
      <c r="AA398" s="316">
        <v>1</v>
      </c>
      <c r="AB398" s="316">
        <v>1</v>
      </c>
      <c r="AC398" s="316">
        <v>1</v>
      </c>
      <c r="AD398" s="316">
        <v>1</v>
      </c>
      <c r="AE398" s="316">
        <v>1</v>
      </c>
      <c r="AF398" s="316">
        <v>1</v>
      </c>
      <c r="AG398" s="316">
        <v>1</v>
      </c>
      <c r="AH398" s="316">
        <v>1</v>
      </c>
      <c r="AI398" s="316">
        <v>1</v>
      </c>
      <c r="AJ398" s="316">
        <v>1</v>
      </c>
      <c r="AK398" s="316">
        <v>1</v>
      </c>
      <c r="AL398" s="316">
        <v>1</v>
      </c>
      <c r="AM398" s="316">
        <v>1</v>
      </c>
      <c r="AN398" s="316">
        <v>1</v>
      </c>
      <c r="AO398" s="316">
        <v>1</v>
      </c>
      <c r="AP398" s="316">
        <v>1</v>
      </c>
      <c r="AQ398" s="316">
        <v>1</v>
      </c>
      <c r="AR398" s="316">
        <v>1</v>
      </c>
      <c r="AS398" s="316">
        <v>1</v>
      </c>
      <c r="AT398" s="316">
        <v>1</v>
      </c>
    </row>
    <row r="399" spans="2:46" ht="12.75" customHeight="1" x14ac:dyDescent="0.15">
      <c r="B399" s="318">
        <v>1395</v>
      </c>
      <c r="C399" s="313" t="s">
        <v>696</v>
      </c>
      <c r="D399" s="313" t="s">
        <v>101</v>
      </c>
      <c r="E399" s="319" t="s">
        <v>1817</v>
      </c>
      <c r="F399" s="319" t="s">
        <v>1940</v>
      </c>
      <c r="G399" s="315" t="str">
        <f>_xlfn.XLOOKUP(B399,'WFP Details - 2026'!A:A,'WFP Details - 2026'!Z:Z)</f>
        <v>x</v>
      </c>
      <c r="H399" s="314">
        <v>46188</v>
      </c>
      <c r="I399" s="315">
        <v>6</v>
      </c>
      <c r="J399" s="315">
        <v>2026</v>
      </c>
      <c r="K399" s="316">
        <v>0</v>
      </c>
      <c r="L399" s="316">
        <v>0</v>
      </c>
      <c r="M399" s="316">
        <v>0</v>
      </c>
      <c r="N399" s="316">
        <v>0</v>
      </c>
      <c r="O399" s="316">
        <v>0</v>
      </c>
      <c r="P399" s="316">
        <v>1</v>
      </c>
      <c r="Q399" s="316">
        <v>1</v>
      </c>
      <c r="R399" s="316">
        <v>1</v>
      </c>
      <c r="S399" s="316">
        <v>1</v>
      </c>
      <c r="T399" s="316">
        <v>1</v>
      </c>
      <c r="U399" s="316">
        <v>1</v>
      </c>
      <c r="V399" s="316">
        <v>1</v>
      </c>
      <c r="W399" s="316">
        <v>1</v>
      </c>
      <c r="X399" s="316">
        <v>1</v>
      </c>
      <c r="Y399" s="316">
        <v>1</v>
      </c>
      <c r="Z399" s="316">
        <v>1</v>
      </c>
      <c r="AA399" s="316">
        <v>1</v>
      </c>
      <c r="AB399" s="316">
        <v>1</v>
      </c>
      <c r="AC399" s="316">
        <v>1</v>
      </c>
      <c r="AD399" s="316">
        <v>1</v>
      </c>
      <c r="AE399" s="316">
        <v>1</v>
      </c>
      <c r="AF399" s="316">
        <v>1</v>
      </c>
      <c r="AG399" s="316">
        <v>1</v>
      </c>
      <c r="AH399" s="316">
        <v>1</v>
      </c>
      <c r="AI399" s="316">
        <v>1</v>
      </c>
      <c r="AJ399" s="316">
        <v>1</v>
      </c>
      <c r="AK399" s="316">
        <v>1</v>
      </c>
      <c r="AL399" s="316">
        <v>1</v>
      </c>
      <c r="AM399" s="316">
        <v>1</v>
      </c>
      <c r="AN399" s="316">
        <v>1</v>
      </c>
      <c r="AO399" s="316">
        <v>1</v>
      </c>
      <c r="AP399" s="316">
        <v>1</v>
      </c>
      <c r="AQ399" s="316">
        <v>1</v>
      </c>
      <c r="AR399" s="316">
        <v>1</v>
      </c>
      <c r="AS399" s="316">
        <v>1</v>
      </c>
      <c r="AT399" s="316">
        <v>1</v>
      </c>
    </row>
    <row r="400" spans="2:46" ht="12.75" customHeight="1" x14ac:dyDescent="0.15">
      <c r="B400" s="318">
        <v>5357</v>
      </c>
      <c r="C400" s="313" t="s">
        <v>696</v>
      </c>
      <c r="D400" s="313" t="s">
        <v>101</v>
      </c>
      <c r="E400" s="319" t="s">
        <v>1792</v>
      </c>
      <c r="F400" s="319" t="s">
        <v>1937</v>
      </c>
      <c r="G400" s="315" t="str">
        <f>_xlfn.XLOOKUP(B400,'WFP Details - 2026'!A:A,'WFP Details - 2026'!Z:Z)</f>
        <v>x</v>
      </c>
      <c r="H400" s="314">
        <v>46188</v>
      </c>
      <c r="I400" s="315">
        <v>6</v>
      </c>
      <c r="J400" s="315">
        <v>2026</v>
      </c>
      <c r="K400" s="316">
        <v>0</v>
      </c>
      <c r="L400" s="316">
        <v>0</v>
      </c>
      <c r="M400" s="316">
        <v>0</v>
      </c>
      <c r="N400" s="316">
        <v>0</v>
      </c>
      <c r="O400" s="316">
        <v>0</v>
      </c>
      <c r="P400" s="316">
        <v>1</v>
      </c>
      <c r="Q400" s="316">
        <v>1</v>
      </c>
      <c r="R400" s="316">
        <v>1</v>
      </c>
      <c r="S400" s="316">
        <v>1</v>
      </c>
      <c r="T400" s="316">
        <v>1</v>
      </c>
      <c r="U400" s="316">
        <v>1</v>
      </c>
      <c r="V400" s="316">
        <v>1</v>
      </c>
      <c r="W400" s="316">
        <v>1</v>
      </c>
      <c r="X400" s="316">
        <v>1</v>
      </c>
      <c r="Y400" s="316">
        <v>1</v>
      </c>
      <c r="Z400" s="316">
        <v>1</v>
      </c>
      <c r="AA400" s="316">
        <v>1</v>
      </c>
      <c r="AB400" s="316">
        <v>1</v>
      </c>
      <c r="AC400" s="316">
        <v>1</v>
      </c>
      <c r="AD400" s="316">
        <v>1</v>
      </c>
      <c r="AE400" s="316">
        <v>1</v>
      </c>
      <c r="AF400" s="316">
        <v>1</v>
      </c>
      <c r="AG400" s="316">
        <v>1</v>
      </c>
      <c r="AH400" s="316">
        <v>1</v>
      </c>
      <c r="AI400" s="316">
        <v>1</v>
      </c>
      <c r="AJ400" s="316">
        <v>1</v>
      </c>
      <c r="AK400" s="316">
        <v>1</v>
      </c>
      <c r="AL400" s="316">
        <v>1</v>
      </c>
      <c r="AM400" s="316">
        <v>1</v>
      </c>
      <c r="AN400" s="316">
        <v>1</v>
      </c>
      <c r="AO400" s="316">
        <v>1</v>
      </c>
      <c r="AP400" s="316">
        <v>1</v>
      </c>
      <c r="AQ400" s="316">
        <v>1</v>
      </c>
      <c r="AR400" s="316">
        <v>1</v>
      </c>
      <c r="AS400" s="316">
        <v>1</v>
      </c>
      <c r="AT400" s="316">
        <v>1</v>
      </c>
    </row>
    <row r="401" spans="2:46" ht="12.75" customHeight="1" x14ac:dyDescent="0.15">
      <c r="B401" s="317">
        <v>5358</v>
      </c>
      <c r="C401" s="313" t="s">
        <v>696</v>
      </c>
      <c r="D401" s="313" t="s">
        <v>101</v>
      </c>
      <c r="E401" s="319" t="s">
        <v>1817</v>
      </c>
      <c r="F401" s="319" t="s">
        <v>1941</v>
      </c>
      <c r="G401" s="315" t="str">
        <f>_xlfn.XLOOKUP(B401,'WFP Details - 2026'!A:A,'WFP Details - 2026'!Z:Z)</f>
        <v>x</v>
      </c>
      <c r="H401" s="314">
        <v>46280</v>
      </c>
      <c r="I401" s="315">
        <v>9</v>
      </c>
      <c r="J401" s="315">
        <v>2026</v>
      </c>
      <c r="K401" s="316">
        <v>0</v>
      </c>
      <c r="L401" s="316">
        <v>0</v>
      </c>
      <c r="M401" s="316">
        <v>0</v>
      </c>
      <c r="N401" s="316">
        <v>0</v>
      </c>
      <c r="O401" s="316">
        <v>0</v>
      </c>
      <c r="P401" s="316">
        <v>0</v>
      </c>
      <c r="Q401" s="316">
        <v>0</v>
      </c>
      <c r="R401" s="316">
        <v>0</v>
      </c>
      <c r="S401" s="316">
        <v>1</v>
      </c>
      <c r="T401" s="316">
        <v>1</v>
      </c>
      <c r="U401" s="316">
        <v>1</v>
      </c>
      <c r="V401" s="316">
        <v>1</v>
      </c>
      <c r="W401" s="316">
        <v>1</v>
      </c>
      <c r="X401" s="316">
        <v>1</v>
      </c>
      <c r="Y401" s="316">
        <v>1</v>
      </c>
      <c r="Z401" s="316">
        <v>1</v>
      </c>
      <c r="AA401" s="316">
        <v>1</v>
      </c>
      <c r="AB401" s="316">
        <v>1</v>
      </c>
      <c r="AC401" s="316">
        <v>1</v>
      </c>
      <c r="AD401" s="316">
        <v>1</v>
      </c>
      <c r="AE401" s="316">
        <v>1</v>
      </c>
      <c r="AF401" s="316">
        <v>1</v>
      </c>
      <c r="AG401" s="316">
        <v>1</v>
      </c>
      <c r="AH401" s="316">
        <v>1</v>
      </c>
      <c r="AI401" s="316">
        <v>1</v>
      </c>
      <c r="AJ401" s="316">
        <v>1</v>
      </c>
      <c r="AK401" s="316">
        <v>1</v>
      </c>
      <c r="AL401" s="316">
        <v>1</v>
      </c>
      <c r="AM401" s="316">
        <v>1</v>
      </c>
      <c r="AN401" s="316">
        <v>1</v>
      </c>
      <c r="AO401" s="316">
        <v>1</v>
      </c>
      <c r="AP401" s="316">
        <v>1</v>
      </c>
      <c r="AQ401" s="316">
        <v>1</v>
      </c>
      <c r="AR401" s="316">
        <v>1</v>
      </c>
      <c r="AS401" s="316">
        <v>1</v>
      </c>
      <c r="AT401" s="316">
        <v>1</v>
      </c>
    </row>
    <row r="402" spans="2:46" ht="12.75" customHeight="1" x14ac:dyDescent="0.15">
      <c r="B402" s="315">
        <v>1277</v>
      </c>
      <c r="C402" s="313" t="s">
        <v>716</v>
      </c>
      <c r="D402" s="313" t="s">
        <v>1942</v>
      </c>
      <c r="E402" s="319" t="s">
        <v>1817</v>
      </c>
      <c r="F402" s="319" t="s">
        <v>1943</v>
      </c>
      <c r="G402" s="315" t="str">
        <f>_xlfn.XLOOKUP(B402,'WFP Details - 2026'!A:A,'WFP Details - 2026'!Z:Z)</f>
        <v>x</v>
      </c>
      <c r="H402" s="314">
        <v>45642</v>
      </c>
      <c r="I402" s="315">
        <v>12</v>
      </c>
      <c r="J402" s="315">
        <v>2024</v>
      </c>
      <c r="K402" s="316">
        <v>1</v>
      </c>
      <c r="L402" s="316">
        <v>1</v>
      </c>
      <c r="M402" s="316">
        <v>1</v>
      </c>
      <c r="N402" s="316">
        <v>1</v>
      </c>
      <c r="O402" s="316">
        <v>1</v>
      </c>
      <c r="P402" s="316">
        <v>1</v>
      </c>
      <c r="Q402" s="316">
        <v>1</v>
      </c>
      <c r="R402" s="316">
        <v>1</v>
      </c>
      <c r="S402" s="316">
        <v>1</v>
      </c>
      <c r="T402" s="316">
        <v>1</v>
      </c>
      <c r="U402" s="316">
        <v>1</v>
      </c>
      <c r="V402" s="316">
        <v>1</v>
      </c>
      <c r="W402" s="316">
        <v>1</v>
      </c>
      <c r="X402" s="316">
        <v>1</v>
      </c>
      <c r="Y402" s="316">
        <v>1</v>
      </c>
      <c r="Z402" s="316">
        <v>1</v>
      </c>
      <c r="AA402" s="316">
        <v>1</v>
      </c>
      <c r="AB402" s="316">
        <v>1</v>
      </c>
      <c r="AC402" s="316">
        <v>1</v>
      </c>
      <c r="AD402" s="316">
        <v>1</v>
      </c>
      <c r="AE402" s="316">
        <v>1</v>
      </c>
      <c r="AF402" s="316">
        <v>1</v>
      </c>
      <c r="AG402" s="316">
        <v>1</v>
      </c>
      <c r="AH402" s="316">
        <v>1</v>
      </c>
      <c r="AI402" s="316">
        <v>1</v>
      </c>
      <c r="AJ402" s="316">
        <v>1</v>
      </c>
      <c r="AK402" s="316">
        <v>1</v>
      </c>
      <c r="AL402" s="316">
        <v>1</v>
      </c>
      <c r="AM402" s="316">
        <v>1</v>
      </c>
      <c r="AN402" s="316">
        <v>1</v>
      </c>
      <c r="AO402" s="316">
        <v>1</v>
      </c>
      <c r="AP402" s="316">
        <v>1</v>
      </c>
      <c r="AQ402" s="316">
        <v>1</v>
      </c>
      <c r="AR402" s="316">
        <v>1</v>
      </c>
      <c r="AS402" s="316">
        <v>1</v>
      </c>
      <c r="AT402" s="316">
        <v>1</v>
      </c>
    </row>
    <row r="403" spans="2:46" ht="12.75" customHeight="1" x14ac:dyDescent="0.15">
      <c r="B403" s="315">
        <v>1279</v>
      </c>
      <c r="C403" s="313" t="s">
        <v>716</v>
      </c>
      <c r="D403" s="313" t="s">
        <v>1944</v>
      </c>
      <c r="E403" s="319" t="s">
        <v>1793</v>
      </c>
      <c r="F403" s="319" t="s">
        <v>1945</v>
      </c>
      <c r="G403" s="315" t="str">
        <f>_xlfn.XLOOKUP(B403,'WFP Details - 2026'!A:A,'WFP Details - 2026'!Z:Z)</f>
        <v>x</v>
      </c>
      <c r="H403" s="314">
        <v>45768</v>
      </c>
      <c r="I403" s="315">
        <v>4</v>
      </c>
      <c r="J403" s="315">
        <v>2025</v>
      </c>
      <c r="K403" s="316">
        <v>1</v>
      </c>
      <c r="L403" s="316">
        <v>1</v>
      </c>
      <c r="M403" s="316">
        <v>1</v>
      </c>
      <c r="N403" s="316">
        <v>1</v>
      </c>
      <c r="O403" s="316">
        <v>1</v>
      </c>
      <c r="P403" s="316">
        <v>1</v>
      </c>
      <c r="Q403" s="316">
        <v>1</v>
      </c>
      <c r="R403" s="316">
        <v>1</v>
      </c>
      <c r="S403" s="316">
        <v>1</v>
      </c>
      <c r="T403" s="316">
        <v>1</v>
      </c>
      <c r="U403" s="316">
        <v>1</v>
      </c>
      <c r="V403" s="316">
        <v>1</v>
      </c>
      <c r="W403" s="316">
        <v>1</v>
      </c>
      <c r="X403" s="316">
        <v>1</v>
      </c>
      <c r="Y403" s="316">
        <v>1</v>
      </c>
      <c r="Z403" s="316">
        <v>1</v>
      </c>
      <c r="AA403" s="316">
        <v>1</v>
      </c>
      <c r="AB403" s="316">
        <v>1</v>
      </c>
      <c r="AC403" s="316">
        <v>1</v>
      </c>
      <c r="AD403" s="316">
        <v>1</v>
      </c>
      <c r="AE403" s="316">
        <v>1</v>
      </c>
      <c r="AF403" s="316">
        <v>1</v>
      </c>
      <c r="AG403" s="316">
        <v>1</v>
      </c>
      <c r="AH403" s="316">
        <v>1</v>
      </c>
      <c r="AI403" s="316">
        <v>1</v>
      </c>
      <c r="AJ403" s="316">
        <v>1</v>
      </c>
      <c r="AK403" s="316">
        <v>1</v>
      </c>
      <c r="AL403" s="316">
        <v>1</v>
      </c>
      <c r="AM403" s="316">
        <v>1</v>
      </c>
      <c r="AN403" s="316">
        <v>1</v>
      </c>
      <c r="AO403" s="316">
        <v>1</v>
      </c>
      <c r="AP403" s="316">
        <v>1</v>
      </c>
      <c r="AQ403" s="316">
        <v>1</v>
      </c>
      <c r="AR403" s="316">
        <v>1</v>
      </c>
      <c r="AS403" s="316">
        <v>1</v>
      </c>
      <c r="AT403" s="316">
        <v>1</v>
      </c>
    </row>
    <row r="404" spans="2:46" ht="12.75" customHeight="1" x14ac:dyDescent="0.15">
      <c r="B404" s="315">
        <v>1261</v>
      </c>
      <c r="C404" s="313" t="s">
        <v>716</v>
      </c>
      <c r="D404" s="313" t="s">
        <v>101</v>
      </c>
      <c r="E404" s="319" t="s">
        <v>1793</v>
      </c>
      <c r="F404" s="319" t="s">
        <v>1946</v>
      </c>
      <c r="G404" s="315" t="str">
        <f>_xlfn.XLOOKUP(B404,'WFP Details - 2026'!A:A,'WFP Details - 2026'!Z:Z)</f>
        <v>x</v>
      </c>
      <c r="H404" s="314">
        <v>46280</v>
      </c>
      <c r="I404" s="315">
        <v>9</v>
      </c>
      <c r="J404" s="315">
        <v>2026</v>
      </c>
      <c r="K404" s="316">
        <v>0</v>
      </c>
      <c r="L404" s="316">
        <v>0</v>
      </c>
      <c r="M404" s="316">
        <v>0</v>
      </c>
      <c r="N404" s="316">
        <v>0</v>
      </c>
      <c r="O404" s="316">
        <v>0</v>
      </c>
      <c r="P404" s="316">
        <v>0</v>
      </c>
      <c r="Q404" s="316">
        <v>0</v>
      </c>
      <c r="R404" s="316">
        <v>0</v>
      </c>
      <c r="S404" s="316">
        <v>1</v>
      </c>
      <c r="T404" s="316">
        <v>1</v>
      </c>
      <c r="U404" s="316">
        <v>1</v>
      </c>
      <c r="V404" s="316">
        <v>1</v>
      </c>
      <c r="W404" s="316">
        <v>1</v>
      </c>
      <c r="X404" s="316">
        <v>1</v>
      </c>
      <c r="Y404" s="316">
        <v>1</v>
      </c>
      <c r="Z404" s="316">
        <v>1</v>
      </c>
      <c r="AA404" s="316">
        <v>1</v>
      </c>
      <c r="AB404" s="316">
        <v>1</v>
      </c>
      <c r="AC404" s="316">
        <v>1</v>
      </c>
      <c r="AD404" s="316">
        <v>1</v>
      </c>
      <c r="AE404" s="316">
        <v>1</v>
      </c>
      <c r="AF404" s="316">
        <v>1</v>
      </c>
      <c r="AG404" s="316">
        <v>1</v>
      </c>
      <c r="AH404" s="316">
        <v>1</v>
      </c>
      <c r="AI404" s="316">
        <v>1</v>
      </c>
      <c r="AJ404" s="316">
        <v>1</v>
      </c>
      <c r="AK404" s="316">
        <v>1</v>
      </c>
      <c r="AL404" s="316">
        <v>1</v>
      </c>
      <c r="AM404" s="316">
        <v>1</v>
      </c>
      <c r="AN404" s="316">
        <v>1</v>
      </c>
      <c r="AO404" s="316">
        <v>1</v>
      </c>
      <c r="AP404" s="316">
        <v>1</v>
      </c>
      <c r="AQ404" s="316">
        <v>1</v>
      </c>
      <c r="AR404" s="316">
        <v>1</v>
      </c>
      <c r="AS404" s="316">
        <v>1</v>
      </c>
      <c r="AT404" s="316">
        <v>1</v>
      </c>
    </row>
    <row r="405" spans="2:46" ht="12.75" customHeight="1" x14ac:dyDescent="0.15">
      <c r="B405" s="315">
        <v>1065</v>
      </c>
      <c r="C405" s="313" t="s">
        <v>515</v>
      </c>
      <c r="D405" s="313" t="s">
        <v>33</v>
      </c>
      <c r="E405" s="319" t="s">
        <v>1810</v>
      </c>
      <c r="F405" s="319" t="s">
        <v>517</v>
      </c>
      <c r="G405" s="315" t="str">
        <f>_xlfn.XLOOKUP(B405,'WFP Details - 2026'!A:A,'WFP Details - 2026'!Z:Z)</f>
        <v>x</v>
      </c>
      <c r="H405" s="314">
        <v>45156</v>
      </c>
      <c r="I405" s="315">
        <v>8</v>
      </c>
      <c r="J405" s="315">
        <v>2023</v>
      </c>
      <c r="K405" s="316">
        <v>1</v>
      </c>
      <c r="L405" s="316">
        <v>1</v>
      </c>
      <c r="M405" s="316">
        <v>1</v>
      </c>
      <c r="N405" s="316">
        <v>1</v>
      </c>
      <c r="O405" s="316">
        <v>1</v>
      </c>
      <c r="P405" s="316">
        <v>1</v>
      </c>
      <c r="Q405" s="316">
        <v>1</v>
      </c>
      <c r="R405" s="316">
        <v>1</v>
      </c>
      <c r="S405" s="316">
        <v>1</v>
      </c>
      <c r="T405" s="316">
        <v>1</v>
      </c>
      <c r="U405" s="316">
        <v>1</v>
      </c>
      <c r="V405" s="316">
        <v>1</v>
      </c>
      <c r="W405" s="316">
        <v>1</v>
      </c>
      <c r="X405" s="316">
        <v>1</v>
      </c>
      <c r="Y405" s="316">
        <v>1</v>
      </c>
      <c r="Z405" s="316">
        <v>1</v>
      </c>
      <c r="AA405" s="316">
        <v>1</v>
      </c>
      <c r="AB405" s="316">
        <v>1</v>
      </c>
      <c r="AC405" s="316">
        <v>1</v>
      </c>
      <c r="AD405" s="316">
        <v>1</v>
      </c>
      <c r="AE405" s="316">
        <v>1</v>
      </c>
      <c r="AF405" s="316">
        <v>1</v>
      </c>
      <c r="AG405" s="316">
        <v>1</v>
      </c>
      <c r="AH405" s="316">
        <v>1</v>
      </c>
      <c r="AI405" s="316">
        <v>1</v>
      </c>
      <c r="AJ405" s="316">
        <v>1</v>
      </c>
      <c r="AK405" s="316">
        <v>1</v>
      </c>
      <c r="AL405" s="316">
        <v>1</v>
      </c>
      <c r="AM405" s="316">
        <v>1</v>
      </c>
      <c r="AN405" s="316">
        <v>1</v>
      </c>
      <c r="AO405" s="316">
        <v>1</v>
      </c>
      <c r="AP405" s="316">
        <v>1</v>
      </c>
      <c r="AQ405" s="316">
        <v>1</v>
      </c>
      <c r="AR405" s="316">
        <v>1</v>
      </c>
      <c r="AS405" s="316">
        <v>1</v>
      </c>
      <c r="AT405" s="316">
        <v>1</v>
      </c>
    </row>
    <row r="406" spans="2:46" ht="12.75" customHeight="1" x14ac:dyDescent="0.15">
      <c r="B406" s="315">
        <v>1066</v>
      </c>
      <c r="C406" s="313" t="s">
        <v>515</v>
      </c>
      <c r="D406" s="313" t="s">
        <v>1947</v>
      </c>
      <c r="E406" s="319" t="s">
        <v>1801</v>
      </c>
      <c r="F406" s="319" t="s">
        <v>1813</v>
      </c>
      <c r="G406" s="315" t="str">
        <f>_xlfn.XLOOKUP(B406,'WFP Details - 2026'!A:A,'WFP Details - 2026'!Z:Z)</f>
        <v>x</v>
      </c>
      <c r="H406" s="314">
        <v>45413</v>
      </c>
      <c r="I406" s="315">
        <v>5</v>
      </c>
      <c r="J406" s="315">
        <v>2024</v>
      </c>
      <c r="K406" s="316">
        <v>1</v>
      </c>
      <c r="L406" s="316">
        <v>1</v>
      </c>
      <c r="M406" s="316">
        <v>1</v>
      </c>
      <c r="N406" s="316">
        <v>1</v>
      </c>
      <c r="O406" s="316">
        <v>1</v>
      </c>
      <c r="P406" s="316">
        <v>1</v>
      </c>
      <c r="Q406" s="316">
        <v>1</v>
      </c>
      <c r="R406" s="316">
        <v>1</v>
      </c>
      <c r="S406" s="316">
        <v>1</v>
      </c>
      <c r="T406" s="316">
        <v>1</v>
      </c>
      <c r="U406" s="316">
        <v>1</v>
      </c>
      <c r="V406" s="316">
        <v>1</v>
      </c>
      <c r="W406" s="316">
        <v>1</v>
      </c>
      <c r="X406" s="316">
        <v>1</v>
      </c>
      <c r="Y406" s="316">
        <v>1</v>
      </c>
      <c r="Z406" s="316">
        <v>1</v>
      </c>
      <c r="AA406" s="316">
        <v>1</v>
      </c>
      <c r="AB406" s="316">
        <v>1</v>
      </c>
      <c r="AC406" s="316">
        <v>1</v>
      </c>
      <c r="AD406" s="316">
        <v>1</v>
      </c>
      <c r="AE406" s="316">
        <v>1</v>
      </c>
      <c r="AF406" s="316">
        <v>1</v>
      </c>
      <c r="AG406" s="316">
        <v>1</v>
      </c>
      <c r="AH406" s="316">
        <v>1</v>
      </c>
      <c r="AI406" s="316">
        <v>1</v>
      </c>
      <c r="AJ406" s="316">
        <v>1</v>
      </c>
      <c r="AK406" s="316">
        <v>1</v>
      </c>
      <c r="AL406" s="316">
        <v>1</v>
      </c>
      <c r="AM406" s="316">
        <v>1</v>
      </c>
      <c r="AN406" s="316">
        <v>1</v>
      </c>
      <c r="AO406" s="316">
        <v>1</v>
      </c>
      <c r="AP406" s="316">
        <v>1</v>
      </c>
      <c r="AQ406" s="316">
        <v>1</v>
      </c>
      <c r="AR406" s="316">
        <v>1</v>
      </c>
      <c r="AS406" s="316">
        <v>1</v>
      </c>
      <c r="AT406" s="316">
        <v>1</v>
      </c>
    </row>
    <row r="407" spans="2:46" ht="12.75" customHeight="1" x14ac:dyDescent="0.15">
      <c r="B407" s="315">
        <v>5378</v>
      </c>
      <c r="C407" s="313" t="s">
        <v>515</v>
      </c>
      <c r="D407" s="313" t="s">
        <v>101</v>
      </c>
      <c r="E407" s="319" t="s">
        <v>1810</v>
      </c>
      <c r="F407" s="319" t="s">
        <v>1948</v>
      </c>
      <c r="G407" s="315" t="str">
        <f>_xlfn.XLOOKUP(B407,'WFP Details - 2026'!A:A,'WFP Details - 2026'!Z:Z)</f>
        <v>x</v>
      </c>
      <c r="H407" s="314">
        <v>46096</v>
      </c>
      <c r="I407" s="315">
        <v>3</v>
      </c>
      <c r="J407" s="315">
        <v>2026</v>
      </c>
      <c r="K407" s="316">
        <v>0</v>
      </c>
      <c r="L407" s="316">
        <v>0</v>
      </c>
      <c r="M407" s="316">
        <v>1</v>
      </c>
      <c r="N407" s="316">
        <v>1</v>
      </c>
      <c r="O407" s="316">
        <v>1</v>
      </c>
      <c r="P407" s="316">
        <v>1</v>
      </c>
      <c r="Q407" s="316">
        <v>1</v>
      </c>
      <c r="R407" s="316">
        <v>1</v>
      </c>
      <c r="S407" s="316">
        <v>1</v>
      </c>
      <c r="T407" s="316">
        <v>1</v>
      </c>
      <c r="U407" s="316">
        <v>1</v>
      </c>
      <c r="V407" s="316">
        <v>1</v>
      </c>
      <c r="W407" s="316">
        <v>1</v>
      </c>
      <c r="X407" s="316">
        <v>1</v>
      </c>
      <c r="Y407" s="316">
        <v>1</v>
      </c>
      <c r="Z407" s="316">
        <v>1</v>
      </c>
      <c r="AA407" s="316">
        <v>1</v>
      </c>
      <c r="AB407" s="316">
        <v>1</v>
      </c>
      <c r="AC407" s="316">
        <v>1</v>
      </c>
      <c r="AD407" s="316">
        <v>1</v>
      </c>
      <c r="AE407" s="316">
        <v>1</v>
      </c>
      <c r="AF407" s="316">
        <v>1</v>
      </c>
      <c r="AG407" s="316">
        <v>1</v>
      </c>
      <c r="AH407" s="316">
        <v>1</v>
      </c>
      <c r="AI407" s="316">
        <v>1</v>
      </c>
      <c r="AJ407" s="316">
        <v>1</v>
      </c>
      <c r="AK407" s="316">
        <v>1</v>
      </c>
      <c r="AL407" s="316">
        <v>1</v>
      </c>
      <c r="AM407" s="316">
        <v>1</v>
      </c>
      <c r="AN407" s="316">
        <v>1</v>
      </c>
      <c r="AO407" s="316">
        <v>1</v>
      </c>
      <c r="AP407" s="316">
        <v>1</v>
      </c>
      <c r="AQ407" s="316">
        <v>1</v>
      </c>
      <c r="AR407" s="316">
        <v>1</v>
      </c>
      <c r="AS407" s="316">
        <v>1</v>
      </c>
      <c r="AT407" s="316">
        <v>1</v>
      </c>
    </row>
    <row r="408" spans="2:46" ht="12.75" customHeight="1" x14ac:dyDescent="0.15">
      <c r="B408" s="315">
        <v>5380</v>
      </c>
      <c r="C408" s="313" t="s">
        <v>515</v>
      </c>
      <c r="D408" s="313" t="s">
        <v>101</v>
      </c>
      <c r="E408" s="319" t="s">
        <v>1792</v>
      </c>
      <c r="F408" s="319" t="s">
        <v>1949</v>
      </c>
      <c r="G408" s="315" t="str">
        <f>_xlfn.XLOOKUP(B408,'WFP Details - 2026'!A:A,'WFP Details - 2026'!Z:Z)</f>
        <v>x</v>
      </c>
      <c r="H408" s="314">
        <v>46096</v>
      </c>
      <c r="I408" s="315">
        <v>3</v>
      </c>
      <c r="J408" s="315">
        <v>2026</v>
      </c>
      <c r="K408" s="316">
        <v>0</v>
      </c>
      <c r="L408" s="316">
        <v>0</v>
      </c>
      <c r="M408" s="316">
        <v>1</v>
      </c>
      <c r="N408" s="316">
        <v>1</v>
      </c>
      <c r="O408" s="316">
        <v>1</v>
      </c>
      <c r="P408" s="316">
        <v>1</v>
      </c>
      <c r="Q408" s="316">
        <v>1</v>
      </c>
      <c r="R408" s="316">
        <v>1</v>
      </c>
      <c r="S408" s="316">
        <v>1</v>
      </c>
      <c r="T408" s="316">
        <v>1</v>
      </c>
      <c r="U408" s="316">
        <v>1</v>
      </c>
      <c r="V408" s="316">
        <v>1</v>
      </c>
      <c r="W408" s="316">
        <v>1</v>
      </c>
      <c r="X408" s="316">
        <v>1</v>
      </c>
      <c r="Y408" s="316">
        <v>1</v>
      </c>
      <c r="Z408" s="316">
        <v>1</v>
      </c>
      <c r="AA408" s="316">
        <v>1</v>
      </c>
      <c r="AB408" s="316">
        <v>1</v>
      </c>
      <c r="AC408" s="316">
        <v>1</v>
      </c>
      <c r="AD408" s="316">
        <v>1</v>
      </c>
      <c r="AE408" s="316">
        <v>1</v>
      </c>
      <c r="AF408" s="316">
        <v>1</v>
      </c>
      <c r="AG408" s="316">
        <v>1</v>
      </c>
      <c r="AH408" s="316">
        <v>1</v>
      </c>
      <c r="AI408" s="316">
        <v>1</v>
      </c>
      <c r="AJ408" s="316">
        <v>1</v>
      </c>
      <c r="AK408" s="316">
        <v>1</v>
      </c>
      <c r="AL408" s="316">
        <v>1</v>
      </c>
      <c r="AM408" s="316">
        <v>1</v>
      </c>
      <c r="AN408" s="316">
        <v>1</v>
      </c>
      <c r="AO408" s="316">
        <v>1</v>
      </c>
      <c r="AP408" s="316">
        <v>1</v>
      </c>
      <c r="AQ408" s="316">
        <v>1</v>
      </c>
      <c r="AR408" s="316">
        <v>1</v>
      </c>
      <c r="AS408" s="316">
        <v>1</v>
      </c>
      <c r="AT408" s="316">
        <v>1</v>
      </c>
    </row>
    <row r="409" spans="2:46" ht="12.75" customHeight="1" x14ac:dyDescent="0.15">
      <c r="B409" s="315">
        <v>5382</v>
      </c>
      <c r="C409" s="313" t="s">
        <v>515</v>
      </c>
      <c r="D409" s="313" t="s">
        <v>101</v>
      </c>
      <c r="E409" s="319" t="s">
        <v>1805</v>
      </c>
      <c r="F409" s="319" t="s">
        <v>1949</v>
      </c>
      <c r="G409" s="315" t="str">
        <f>_xlfn.XLOOKUP(B409,'WFP Details - 2026'!A:A,'WFP Details - 2026'!Z:Z)</f>
        <v>x</v>
      </c>
      <c r="H409" s="314">
        <v>46096</v>
      </c>
      <c r="I409" s="315">
        <v>3</v>
      </c>
      <c r="J409" s="315">
        <v>2026</v>
      </c>
      <c r="K409" s="316">
        <v>0</v>
      </c>
      <c r="L409" s="316">
        <v>0</v>
      </c>
      <c r="M409" s="316">
        <v>1</v>
      </c>
      <c r="N409" s="316">
        <v>1</v>
      </c>
      <c r="O409" s="316">
        <v>1</v>
      </c>
      <c r="P409" s="316">
        <v>1</v>
      </c>
      <c r="Q409" s="316">
        <v>1</v>
      </c>
      <c r="R409" s="316">
        <v>1</v>
      </c>
      <c r="S409" s="316">
        <v>1</v>
      </c>
      <c r="T409" s="316">
        <v>1</v>
      </c>
      <c r="U409" s="316">
        <v>1</v>
      </c>
      <c r="V409" s="316">
        <v>1</v>
      </c>
      <c r="W409" s="316">
        <v>1</v>
      </c>
      <c r="X409" s="316">
        <v>1</v>
      </c>
      <c r="Y409" s="316">
        <v>1</v>
      </c>
      <c r="Z409" s="316">
        <v>1</v>
      </c>
      <c r="AA409" s="316">
        <v>1</v>
      </c>
      <c r="AB409" s="316">
        <v>1</v>
      </c>
      <c r="AC409" s="316">
        <v>1</v>
      </c>
      <c r="AD409" s="316">
        <v>1</v>
      </c>
      <c r="AE409" s="316">
        <v>1</v>
      </c>
      <c r="AF409" s="316">
        <v>1</v>
      </c>
      <c r="AG409" s="316">
        <v>1</v>
      </c>
      <c r="AH409" s="316">
        <v>1</v>
      </c>
      <c r="AI409" s="316">
        <v>1</v>
      </c>
      <c r="AJ409" s="316">
        <v>1</v>
      </c>
      <c r="AK409" s="316">
        <v>1</v>
      </c>
      <c r="AL409" s="316">
        <v>1</v>
      </c>
      <c r="AM409" s="316">
        <v>1</v>
      </c>
      <c r="AN409" s="316">
        <v>1</v>
      </c>
      <c r="AO409" s="316">
        <v>1</v>
      </c>
      <c r="AP409" s="316">
        <v>1</v>
      </c>
      <c r="AQ409" s="316">
        <v>1</v>
      </c>
      <c r="AR409" s="316">
        <v>1</v>
      </c>
      <c r="AS409" s="316">
        <v>1</v>
      </c>
      <c r="AT409" s="316">
        <v>1</v>
      </c>
    </row>
    <row r="410" spans="2:46" ht="12.75" customHeight="1" x14ac:dyDescent="0.15">
      <c r="B410" s="315">
        <v>5383</v>
      </c>
      <c r="C410" s="313" t="s">
        <v>515</v>
      </c>
      <c r="D410" s="313" t="s">
        <v>101</v>
      </c>
      <c r="E410" s="319" t="s">
        <v>1805</v>
      </c>
      <c r="F410" s="319" t="s">
        <v>1949</v>
      </c>
      <c r="G410" s="315" t="str">
        <f>_xlfn.XLOOKUP(B410,'WFP Details - 2026'!A:A,'WFP Details - 2026'!Z:Z)</f>
        <v>x</v>
      </c>
      <c r="H410" s="314">
        <v>46096</v>
      </c>
      <c r="I410" s="315">
        <v>3</v>
      </c>
      <c r="J410" s="315">
        <v>2026</v>
      </c>
      <c r="K410" s="316">
        <v>0</v>
      </c>
      <c r="L410" s="316">
        <v>0</v>
      </c>
      <c r="M410" s="316">
        <v>1</v>
      </c>
      <c r="N410" s="316">
        <v>1</v>
      </c>
      <c r="O410" s="316">
        <v>1</v>
      </c>
      <c r="P410" s="316">
        <v>1</v>
      </c>
      <c r="Q410" s="316">
        <v>1</v>
      </c>
      <c r="R410" s="316">
        <v>1</v>
      </c>
      <c r="S410" s="316">
        <v>1</v>
      </c>
      <c r="T410" s="316">
        <v>1</v>
      </c>
      <c r="U410" s="316">
        <v>1</v>
      </c>
      <c r="V410" s="316">
        <v>1</v>
      </c>
      <c r="W410" s="316">
        <v>1</v>
      </c>
      <c r="X410" s="316">
        <v>1</v>
      </c>
      <c r="Y410" s="316">
        <v>1</v>
      </c>
      <c r="Z410" s="316">
        <v>1</v>
      </c>
      <c r="AA410" s="316">
        <v>1</v>
      </c>
      <c r="AB410" s="316">
        <v>1</v>
      </c>
      <c r="AC410" s="316">
        <v>1</v>
      </c>
      <c r="AD410" s="316">
        <v>1</v>
      </c>
      <c r="AE410" s="316">
        <v>1</v>
      </c>
      <c r="AF410" s="316">
        <v>1</v>
      </c>
      <c r="AG410" s="316">
        <v>1</v>
      </c>
      <c r="AH410" s="316">
        <v>1</v>
      </c>
      <c r="AI410" s="316">
        <v>1</v>
      </c>
      <c r="AJ410" s="316">
        <v>1</v>
      </c>
      <c r="AK410" s="316">
        <v>1</v>
      </c>
      <c r="AL410" s="316">
        <v>1</v>
      </c>
      <c r="AM410" s="316">
        <v>1</v>
      </c>
      <c r="AN410" s="316">
        <v>1</v>
      </c>
      <c r="AO410" s="316">
        <v>1</v>
      </c>
      <c r="AP410" s="316">
        <v>1</v>
      </c>
      <c r="AQ410" s="316">
        <v>1</v>
      </c>
      <c r="AR410" s="316">
        <v>1</v>
      </c>
      <c r="AS410" s="316">
        <v>1</v>
      </c>
      <c r="AT410" s="316">
        <v>1</v>
      </c>
    </row>
    <row r="411" spans="2:46" ht="12.75" customHeight="1" x14ac:dyDescent="0.15">
      <c r="B411" s="315">
        <v>5381</v>
      </c>
      <c r="C411" s="313" t="s">
        <v>515</v>
      </c>
      <c r="D411" s="313" t="s">
        <v>101</v>
      </c>
      <c r="E411" s="319" t="s">
        <v>1795</v>
      </c>
      <c r="F411" s="319" t="s">
        <v>1949</v>
      </c>
      <c r="G411" s="315" t="str">
        <f>_xlfn.XLOOKUP(B411,'WFP Details - 2026'!A:A,'WFP Details - 2026'!Z:Z)</f>
        <v>x</v>
      </c>
      <c r="H411" s="314">
        <v>46096</v>
      </c>
      <c r="I411" s="315">
        <v>3</v>
      </c>
      <c r="J411" s="315">
        <v>2026</v>
      </c>
      <c r="K411" s="316">
        <v>0</v>
      </c>
      <c r="L411" s="316">
        <v>0</v>
      </c>
      <c r="M411" s="316">
        <v>1</v>
      </c>
      <c r="N411" s="316">
        <v>1</v>
      </c>
      <c r="O411" s="316">
        <v>1</v>
      </c>
      <c r="P411" s="316">
        <v>1</v>
      </c>
      <c r="Q411" s="316">
        <v>1</v>
      </c>
      <c r="R411" s="316">
        <v>1</v>
      </c>
      <c r="S411" s="316">
        <v>1</v>
      </c>
      <c r="T411" s="316">
        <v>1</v>
      </c>
      <c r="U411" s="316">
        <v>1</v>
      </c>
      <c r="V411" s="316">
        <v>1</v>
      </c>
      <c r="W411" s="316">
        <v>1</v>
      </c>
      <c r="X411" s="316">
        <v>1</v>
      </c>
      <c r="Y411" s="316">
        <v>1</v>
      </c>
      <c r="Z411" s="316">
        <v>1</v>
      </c>
      <c r="AA411" s="316">
        <v>1</v>
      </c>
      <c r="AB411" s="316">
        <v>1</v>
      </c>
      <c r="AC411" s="316">
        <v>1</v>
      </c>
      <c r="AD411" s="316">
        <v>1</v>
      </c>
      <c r="AE411" s="316">
        <v>1</v>
      </c>
      <c r="AF411" s="316">
        <v>1</v>
      </c>
      <c r="AG411" s="316">
        <v>1</v>
      </c>
      <c r="AH411" s="316">
        <v>1</v>
      </c>
      <c r="AI411" s="316">
        <v>1</v>
      </c>
      <c r="AJ411" s="316">
        <v>1</v>
      </c>
      <c r="AK411" s="316">
        <v>1</v>
      </c>
      <c r="AL411" s="316">
        <v>1</v>
      </c>
      <c r="AM411" s="316">
        <v>1</v>
      </c>
      <c r="AN411" s="316">
        <v>1</v>
      </c>
      <c r="AO411" s="316">
        <v>1</v>
      </c>
      <c r="AP411" s="316">
        <v>1</v>
      </c>
      <c r="AQ411" s="316">
        <v>1</v>
      </c>
      <c r="AR411" s="316">
        <v>1</v>
      </c>
      <c r="AS411" s="316">
        <v>1</v>
      </c>
      <c r="AT411" s="316">
        <v>1</v>
      </c>
    </row>
    <row r="412" spans="2:46" ht="12.75" customHeight="1" x14ac:dyDescent="0.15">
      <c r="B412" s="315">
        <v>5384</v>
      </c>
      <c r="C412" s="313" t="s">
        <v>515</v>
      </c>
      <c r="D412" s="313" t="s">
        <v>101</v>
      </c>
      <c r="E412" s="319" t="s">
        <v>1805</v>
      </c>
      <c r="F412" s="319" t="s">
        <v>1950</v>
      </c>
      <c r="G412" s="315" t="str">
        <f>_xlfn.XLOOKUP(B412,'WFP Details - 2026'!A:A,'WFP Details - 2026'!Z:Z)</f>
        <v>x</v>
      </c>
      <c r="H412" s="314">
        <v>46280</v>
      </c>
      <c r="I412" s="315">
        <v>9</v>
      </c>
      <c r="J412" s="315">
        <v>2026</v>
      </c>
      <c r="K412" s="316">
        <v>0</v>
      </c>
      <c r="L412" s="316">
        <v>0</v>
      </c>
      <c r="M412" s="316">
        <v>0</v>
      </c>
      <c r="N412" s="316">
        <v>0</v>
      </c>
      <c r="O412" s="316">
        <v>0</v>
      </c>
      <c r="P412" s="316">
        <v>0</v>
      </c>
      <c r="Q412" s="316">
        <v>0</v>
      </c>
      <c r="R412" s="316">
        <v>0</v>
      </c>
      <c r="S412" s="316">
        <v>1</v>
      </c>
      <c r="T412" s="316">
        <v>1</v>
      </c>
      <c r="U412" s="316">
        <v>1</v>
      </c>
      <c r="V412" s="316">
        <v>1</v>
      </c>
      <c r="W412" s="316">
        <v>1</v>
      </c>
      <c r="X412" s="316">
        <v>1</v>
      </c>
      <c r="Y412" s="316">
        <v>1</v>
      </c>
      <c r="Z412" s="316">
        <v>1</v>
      </c>
      <c r="AA412" s="316">
        <v>1</v>
      </c>
      <c r="AB412" s="316">
        <v>1</v>
      </c>
      <c r="AC412" s="316">
        <v>1</v>
      </c>
      <c r="AD412" s="316">
        <v>1</v>
      </c>
      <c r="AE412" s="316">
        <v>1</v>
      </c>
      <c r="AF412" s="316">
        <v>1</v>
      </c>
      <c r="AG412" s="316">
        <v>1</v>
      </c>
      <c r="AH412" s="316">
        <v>1</v>
      </c>
      <c r="AI412" s="316">
        <v>1</v>
      </c>
      <c r="AJ412" s="316">
        <v>1</v>
      </c>
      <c r="AK412" s="316">
        <v>1</v>
      </c>
      <c r="AL412" s="316">
        <v>1</v>
      </c>
      <c r="AM412" s="316">
        <v>1</v>
      </c>
      <c r="AN412" s="316">
        <v>1</v>
      </c>
      <c r="AO412" s="316">
        <v>1</v>
      </c>
      <c r="AP412" s="316">
        <v>1</v>
      </c>
      <c r="AQ412" s="316">
        <v>1</v>
      </c>
      <c r="AR412" s="316">
        <v>1</v>
      </c>
      <c r="AS412" s="316">
        <v>1</v>
      </c>
      <c r="AT412" s="316">
        <v>1</v>
      </c>
    </row>
    <row r="413" spans="2:46" ht="12.75" customHeight="1" x14ac:dyDescent="0.15">
      <c r="B413" s="315">
        <v>5385</v>
      </c>
      <c r="C413" s="313" t="s">
        <v>515</v>
      </c>
      <c r="D413" s="313" t="s">
        <v>101</v>
      </c>
      <c r="E413" s="319" t="s">
        <v>1805</v>
      </c>
      <c r="F413" s="319" t="s">
        <v>1950</v>
      </c>
      <c r="G413" s="315" t="str">
        <f>_xlfn.XLOOKUP(B413,'WFP Details - 2026'!A:A,'WFP Details - 2026'!Z:Z)</f>
        <v>x</v>
      </c>
      <c r="H413" s="314">
        <v>46280</v>
      </c>
      <c r="I413" s="315">
        <v>9</v>
      </c>
      <c r="J413" s="315">
        <v>2026</v>
      </c>
      <c r="K413" s="316">
        <v>0</v>
      </c>
      <c r="L413" s="316">
        <v>0</v>
      </c>
      <c r="M413" s="316">
        <v>0</v>
      </c>
      <c r="N413" s="316">
        <v>0</v>
      </c>
      <c r="O413" s="316">
        <v>0</v>
      </c>
      <c r="P413" s="316">
        <v>0</v>
      </c>
      <c r="Q413" s="316">
        <v>0</v>
      </c>
      <c r="R413" s="316">
        <v>0</v>
      </c>
      <c r="S413" s="316">
        <v>1</v>
      </c>
      <c r="T413" s="316">
        <v>1</v>
      </c>
      <c r="U413" s="316">
        <v>1</v>
      </c>
      <c r="V413" s="316">
        <v>1</v>
      </c>
      <c r="W413" s="316">
        <v>1</v>
      </c>
      <c r="X413" s="316">
        <v>1</v>
      </c>
      <c r="Y413" s="316">
        <v>1</v>
      </c>
      <c r="Z413" s="316">
        <v>1</v>
      </c>
      <c r="AA413" s="316">
        <v>1</v>
      </c>
      <c r="AB413" s="316">
        <v>1</v>
      </c>
      <c r="AC413" s="316">
        <v>1</v>
      </c>
      <c r="AD413" s="316">
        <v>1</v>
      </c>
      <c r="AE413" s="316">
        <v>1</v>
      </c>
      <c r="AF413" s="316">
        <v>1</v>
      </c>
      <c r="AG413" s="316">
        <v>1</v>
      </c>
      <c r="AH413" s="316">
        <v>1</v>
      </c>
      <c r="AI413" s="316">
        <v>1</v>
      </c>
      <c r="AJ413" s="316">
        <v>1</v>
      </c>
      <c r="AK413" s="316">
        <v>1</v>
      </c>
      <c r="AL413" s="316">
        <v>1</v>
      </c>
      <c r="AM413" s="316">
        <v>1</v>
      </c>
      <c r="AN413" s="316">
        <v>1</v>
      </c>
      <c r="AO413" s="316">
        <v>1</v>
      </c>
      <c r="AP413" s="316">
        <v>1</v>
      </c>
      <c r="AQ413" s="316">
        <v>1</v>
      </c>
      <c r="AR413" s="316">
        <v>1</v>
      </c>
      <c r="AS413" s="316">
        <v>1</v>
      </c>
      <c r="AT413" s="316">
        <v>1</v>
      </c>
    </row>
    <row r="414" spans="2:46" ht="12.75" customHeight="1" x14ac:dyDescent="0.15">
      <c r="B414" s="315">
        <v>5386</v>
      </c>
      <c r="C414" s="313" t="s">
        <v>515</v>
      </c>
      <c r="D414" s="313" t="s">
        <v>101</v>
      </c>
      <c r="E414" s="319" t="s">
        <v>1805</v>
      </c>
      <c r="F414" s="319" t="s">
        <v>1950</v>
      </c>
      <c r="G414" s="315" t="str">
        <f>_xlfn.XLOOKUP(B414,'WFP Details - 2026'!A:A,'WFP Details - 2026'!Z:Z)</f>
        <v>x</v>
      </c>
      <c r="H414" s="314">
        <v>46280</v>
      </c>
      <c r="I414" s="315">
        <v>9</v>
      </c>
      <c r="J414" s="315">
        <v>2026</v>
      </c>
      <c r="K414" s="316">
        <v>0</v>
      </c>
      <c r="L414" s="316">
        <v>0</v>
      </c>
      <c r="M414" s="316">
        <v>0</v>
      </c>
      <c r="N414" s="316">
        <v>0</v>
      </c>
      <c r="O414" s="316">
        <v>0</v>
      </c>
      <c r="P414" s="316">
        <v>0</v>
      </c>
      <c r="Q414" s="316">
        <v>0</v>
      </c>
      <c r="R414" s="316">
        <v>0</v>
      </c>
      <c r="S414" s="316">
        <v>1</v>
      </c>
      <c r="T414" s="316">
        <v>1</v>
      </c>
      <c r="U414" s="316">
        <v>1</v>
      </c>
      <c r="V414" s="316">
        <v>1</v>
      </c>
      <c r="W414" s="316">
        <v>1</v>
      </c>
      <c r="X414" s="316">
        <v>1</v>
      </c>
      <c r="Y414" s="316">
        <v>1</v>
      </c>
      <c r="Z414" s="316">
        <v>1</v>
      </c>
      <c r="AA414" s="316">
        <v>1</v>
      </c>
      <c r="AB414" s="316">
        <v>1</v>
      </c>
      <c r="AC414" s="316">
        <v>1</v>
      </c>
      <c r="AD414" s="316">
        <v>1</v>
      </c>
      <c r="AE414" s="316">
        <v>1</v>
      </c>
      <c r="AF414" s="316">
        <v>1</v>
      </c>
      <c r="AG414" s="316">
        <v>1</v>
      </c>
      <c r="AH414" s="316">
        <v>1</v>
      </c>
      <c r="AI414" s="316">
        <v>1</v>
      </c>
      <c r="AJ414" s="316">
        <v>1</v>
      </c>
      <c r="AK414" s="316">
        <v>1</v>
      </c>
      <c r="AL414" s="316">
        <v>1</v>
      </c>
      <c r="AM414" s="316">
        <v>1</v>
      </c>
      <c r="AN414" s="316">
        <v>1</v>
      </c>
      <c r="AO414" s="316">
        <v>1</v>
      </c>
      <c r="AP414" s="316">
        <v>1</v>
      </c>
      <c r="AQ414" s="316">
        <v>1</v>
      </c>
      <c r="AR414" s="316">
        <v>1</v>
      </c>
      <c r="AS414" s="316">
        <v>1</v>
      </c>
      <c r="AT414" s="316">
        <v>1</v>
      </c>
    </row>
    <row r="415" spans="2:46" ht="12.75" customHeight="1" x14ac:dyDescent="0.15">
      <c r="B415" s="315">
        <v>5387</v>
      </c>
      <c r="C415" s="313" t="s">
        <v>515</v>
      </c>
      <c r="D415" s="313" t="s">
        <v>101</v>
      </c>
      <c r="E415" s="319" t="s">
        <v>1805</v>
      </c>
      <c r="F415" s="319" t="s">
        <v>1950</v>
      </c>
      <c r="G415" s="315" t="str">
        <f>_xlfn.XLOOKUP(B415,'WFP Details - 2026'!A:A,'WFP Details - 2026'!Z:Z)</f>
        <v>x</v>
      </c>
      <c r="H415" s="314">
        <v>46280</v>
      </c>
      <c r="I415" s="315">
        <v>9</v>
      </c>
      <c r="J415" s="315">
        <v>2026</v>
      </c>
      <c r="K415" s="316">
        <v>0</v>
      </c>
      <c r="L415" s="316">
        <v>0</v>
      </c>
      <c r="M415" s="316">
        <v>0</v>
      </c>
      <c r="N415" s="316">
        <v>0</v>
      </c>
      <c r="O415" s="316">
        <v>0</v>
      </c>
      <c r="P415" s="316">
        <v>0</v>
      </c>
      <c r="Q415" s="316">
        <v>0</v>
      </c>
      <c r="R415" s="316">
        <v>0</v>
      </c>
      <c r="S415" s="316">
        <v>1</v>
      </c>
      <c r="T415" s="316">
        <v>1</v>
      </c>
      <c r="U415" s="316">
        <v>1</v>
      </c>
      <c r="V415" s="316">
        <v>1</v>
      </c>
      <c r="W415" s="316">
        <v>1</v>
      </c>
      <c r="X415" s="316">
        <v>1</v>
      </c>
      <c r="Y415" s="316">
        <v>1</v>
      </c>
      <c r="Z415" s="316">
        <v>1</v>
      </c>
      <c r="AA415" s="316">
        <v>1</v>
      </c>
      <c r="AB415" s="316">
        <v>1</v>
      </c>
      <c r="AC415" s="316">
        <v>1</v>
      </c>
      <c r="AD415" s="316">
        <v>1</v>
      </c>
      <c r="AE415" s="316">
        <v>1</v>
      </c>
      <c r="AF415" s="316">
        <v>1</v>
      </c>
      <c r="AG415" s="316">
        <v>1</v>
      </c>
      <c r="AH415" s="316">
        <v>1</v>
      </c>
      <c r="AI415" s="316">
        <v>1</v>
      </c>
      <c r="AJ415" s="316">
        <v>1</v>
      </c>
      <c r="AK415" s="316">
        <v>1</v>
      </c>
      <c r="AL415" s="316">
        <v>1</v>
      </c>
      <c r="AM415" s="316">
        <v>1</v>
      </c>
      <c r="AN415" s="316">
        <v>1</v>
      </c>
      <c r="AO415" s="316">
        <v>1</v>
      </c>
      <c r="AP415" s="316">
        <v>1</v>
      </c>
      <c r="AQ415" s="316">
        <v>1</v>
      </c>
      <c r="AR415" s="316">
        <v>1</v>
      </c>
      <c r="AS415" s="316">
        <v>1</v>
      </c>
      <c r="AT415" s="316">
        <v>1</v>
      </c>
    </row>
    <row r="416" spans="2:46" ht="12.75" customHeight="1" x14ac:dyDescent="0.15">
      <c r="B416" s="315">
        <v>5388</v>
      </c>
      <c r="C416" s="313" t="s">
        <v>515</v>
      </c>
      <c r="D416" s="313" t="s">
        <v>101</v>
      </c>
      <c r="E416" s="319" t="s">
        <v>1805</v>
      </c>
      <c r="F416" s="319" t="s">
        <v>1950</v>
      </c>
      <c r="G416" s="315" t="str">
        <f>_xlfn.XLOOKUP(B416,'WFP Details - 2026'!A:A,'WFP Details - 2026'!Z:Z)</f>
        <v>x</v>
      </c>
      <c r="H416" s="314">
        <v>46280</v>
      </c>
      <c r="I416" s="315">
        <v>9</v>
      </c>
      <c r="J416" s="315">
        <v>2026</v>
      </c>
      <c r="K416" s="316">
        <v>0</v>
      </c>
      <c r="L416" s="316">
        <v>0</v>
      </c>
      <c r="M416" s="316">
        <v>0</v>
      </c>
      <c r="N416" s="316">
        <v>0</v>
      </c>
      <c r="O416" s="316">
        <v>0</v>
      </c>
      <c r="P416" s="316">
        <v>0</v>
      </c>
      <c r="Q416" s="316">
        <v>0</v>
      </c>
      <c r="R416" s="316">
        <v>0</v>
      </c>
      <c r="S416" s="316">
        <v>1</v>
      </c>
      <c r="T416" s="316">
        <v>1</v>
      </c>
      <c r="U416" s="316">
        <v>1</v>
      </c>
      <c r="V416" s="316">
        <v>1</v>
      </c>
      <c r="W416" s="316">
        <v>1</v>
      </c>
      <c r="X416" s="316">
        <v>1</v>
      </c>
      <c r="Y416" s="316">
        <v>1</v>
      </c>
      <c r="Z416" s="316">
        <v>1</v>
      </c>
      <c r="AA416" s="316">
        <v>1</v>
      </c>
      <c r="AB416" s="316">
        <v>1</v>
      </c>
      <c r="AC416" s="316">
        <v>1</v>
      </c>
      <c r="AD416" s="316">
        <v>1</v>
      </c>
      <c r="AE416" s="316">
        <v>1</v>
      </c>
      <c r="AF416" s="316">
        <v>1</v>
      </c>
      <c r="AG416" s="316">
        <v>1</v>
      </c>
      <c r="AH416" s="316">
        <v>1</v>
      </c>
      <c r="AI416" s="316">
        <v>1</v>
      </c>
      <c r="AJ416" s="316">
        <v>1</v>
      </c>
      <c r="AK416" s="316">
        <v>1</v>
      </c>
      <c r="AL416" s="316">
        <v>1</v>
      </c>
      <c r="AM416" s="316">
        <v>1</v>
      </c>
      <c r="AN416" s="316">
        <v>1</v>
      </c>
      <c r="AO416" s="316">
        <v>1</v>
      </c>
      <c r="AP416" s="316">
        <v>1</v>
      </c>
      <c r="AQ416" s="316">
        <v>1</v>
      </c>
      <c r="AR416" s="316">
        <v>1</v>
      </c>
      <c r="AS416" s="316">
        <v>1</v>
      </c>
      <c r="AT416" s="316">
        <v>1</v>
      </c>
    </row>
    <row r="417" spans="2:46" ht="12.75" customHeight="1" x14ac:dyDescent="0.15">
      <c r="B417" s="315">
        <v>1111</v>
      </c>
      <c r="C417" s="313" t="s">
        <v>1951</v>
      </c>
      <c r="D417" s="313" t="s">
        <v>766</v>
      </c>
      <c r="E417" s="319" t="s">
        <v>1794</v>
      </c>
      <c r="F417" s="319" t="s">
        <v>1952</v>
      </c>
      <c r="G417" s="315" t="str">
        <f>_xlfn.XLOOKUP(B417,'WFP Details - 2026'!A:A,'WFP Details - 2026'!Z:Z)</f>
        <v>x</v>
      </c>
      <c r="H417" s="314">
        <v>45363</v>
      </c>
      <c r="I417" s="315">
        <v>3</v>
      </c>
      <c r="J417" s="315">
        <v>2024</v>
      </c>
      <c r="K417" s="316">
        <v>1</v>
      </c>
      <c r="L417" s="316">
        <v>1</v>
      </c>
      <c r="M417" s="316">
        <v>1</v>
      </c>
      <c r="N417" s="316">
        <v>1</v>
      </c>
      <c r="O417" s="316">
        <v>1</v>
      </c>
      <c r="P417" s="316">
        <v>1</v>
      </c>
      <c r="Q417" s="316">
        <v>1</v>
      </c>
      <c r="R417" s="316">
        <v>1</v>
      </c>
      <c r="S417" s="316">
        <v>1</v>
      </c>
      <c r="T417" s="316">
        <v>1</v>
      </c>
      <c r="U417" s="316">
        <v>1</v>
      </c>
      <c r="V417" s="316">
        <v>1</v>
      </c>
      <c r="W417" s="316">
        <v>1</v>
      </c>
      <c r="X417" s="316">
        <v>1</v>
      </c>
      <c r="Y417" s="316">
        <v>1</v>
      </c>
      <c r="Z417" s="316">
        <v>1</v>
      </c>
      <c r="AA417" s="316">
        <v>1</v>
      </c>
      <c r="AB417" s="316">
        <v>1</v>
      </c>
      <c r="AC417" s="316">
        <v>1</v>
      </c>
      <c r="AD417" s="316">
        <v>1</v>
      </c>
      <c r="AE417" s="316">
        <v>1</v>
      </c>
      <c r="AF417" s="316">
        <v>1</v>
      </c>
      <c r="AG417" s="316">
        <v>1</v>
      </c>
      <c r="AH417" s="316">
        <v>1</v>
      </c>
      <c r="AI417" s="316">
        <v>1</v>
      </c>
      <c r="AJ417" s="316">
        <v>1</v>
      </c>
      <c r="AK417" s="316">
        <v>1</v>
      </c>
      <c r="AL417" s="316">
        <v>1</v>
      </c>
      <c r="AM417" s="316">
        <v>1</v>
      </c>
      <c r="AN417" s="316">
        <v>1</v>
      </c>
      <c r="AO417" s="316">
        <v>1</v>
      </c>
      <c r="AP417" s="316">
        <v>1</v>
      </c>
      <c r="AQ417" s="316">
        <v>1</v>
      </c>
      <c r="AR417" s="316">
        <v>1</v>
      </c>
      <c r="AS417" s="316">
        <v>1</v>
      </c>
      <c r="AT417" s="316">
        <v>1</v>
      </c>
    </row>
    <row r="418" spans="2:46" ht="12.75" customHeight="1" x14ac:dyDescent="0.15">
      <c r="B418" s="315">
        <v>1112</v>
      </c>
      <c r="C418" s="313" t="s">
        <v>1951</v>
      </c>
      <c r="D418" s="313" t="s">
        <v>771</v>
      </c>
      <c r="E418" s="319" t="s">
        <v>1817</v>
      </c>
      <c r="F418" s="319" t="s">
        <v>752</v>
      </c>
      <c r="G418" s="315" t="str">
        <f>_xlfn.XLOOKUP(B418,'WFP Details - 2026'!A:A,'WFP Details - 2026'!Z:Z)</f>
        <v>x</v>
      </c>
      <c r="H418" s="314">
        <v>45369</v>
      </c>
      <c r="I418" s="315">
        <v>3</v>
      </c>
      <c r="J418" s="315">
        <v>2024</v>
      </c>
      <c r="K418" s="316">
        <v>1</v>
      </c>
      <c r="L418" s="316">
        <v>1</v>
      </c>
      <c r="M418" s="316">
        <v>1</v>
      </c>
      <c r="N418" s="316">
        <v>1</v>
      </c>
      <c r="O418" s="316">
        <v>1</v>
      </c>
      <c r="P418" s="316">
        <v>1</v>
      </c>
      <c r="Q418" s="316">
        <v>1</v>
      </c>
      <c r="R418" s="316">
        <v>1</v>
      </c>
      <c r="S418" s="316">
        <v>1</v>
      </c>
      <c r="T418" s="316">
        <v>1</v>
      </c>
      <c r="U418" s="316">
        <v>1</v>
      </c>
      <c r="V418" s="316">
        <v>1</v>
      </c>
      <c r="W418" s="316">
        <v>1</v>
      </c>
      <c r="X418" s="316">
        <v>1</v>
      </c>
      <c r="Y418" s="316">
        <v>1</v>
      </c>
      <c r="Z418" s="316">
        <v>1</v>
      </c>
      <c r="AA418" s="316">
        <v>1</v>
      </c>
      <c r="AB418" s="316">
        <v>1</v>
      </c>
      <c r="AC418" s="316">
        <v>1</v>
      </c>
      <c r="AD418" s="316">
        <v>1</v>
      </c>
      <c r="AE418" s="316">
        <v>1</v>
      </c>
      <c r="AF418" s="316">
        <v>1</v>
      </c>
      <c r="AG418" s="316">
        <v>1</v>
      </c>
      <c r="AH418" s="316">
        <v>1</v>
      </c>
      <c r="AI418" s="316">
        <v>1</v>
      </c>
      <c r="AJ418" s="316">
        <v>1</v>
      </c>
      <c r="AK418" s="316">
        <v>1</v>
      </c>
      <c r="AL418" s="316">
        <v>1</v>
      </c>
      <c r="AM418" s="316">
        <v>1</v>
      </c>
      <c r="AN418" s="316">
        <v>1</v>
      </c>
      <c r="AO418" s="316">
        <v>1</v>
      </c>
      <c r="AP418" s="316">
        <v>1</v>
      </c>
      <c r="AQ418" s="316">
        <v>1</v>
      </c>
      <c r="AR418" s="316">
        <v>1</v>
      </c>
      <c r="AS418" s="316">
        <v>1</v>
      </c>
      <c r="AT418" s="316">
        <v>1</v>
      </c>
    </row>
    <row r="419" spans="2:46" ht="12.75" customHeight="1" x14ac:dyDescent="0.15">
      <c r="B419" s="315">
        <v>1113</v>
      </c>
      <c r="C419" s="313" t="s">
        <v>1951</v>
      </c>
      <c r="D419" s="313" t="s">
        <v>751</v>
      </c>
      <c r="E419" s="319" t="s">
        <v>1810</v>
      </c>
      <c r="F419" s="319" t="s">
        <v>759</v>
      </c>
      <c r="G419" s="315" t="str">
        <f>_xlfn.XLOOKUP(B419,'WFP Details - 2026'!A:A,'WFP Details - 2026'!Z:Z)</f>
        <v>x</v>
      </c>
      <c r="H419" s="314">
        <v>45413</v>
      </c>
      <c r="I419" s="315">
        <v>5</v>
      </c>
      <c r="J419" s="315">
        <v>2024</v>
      </c>
      <c r="K419" s="316">
        <v>1</v>
      </c>
      <c r="L419" s="316">
        <v>1</v>
      </c>
      <c r="M419" s="316">
        <v>1</v>
      </c>
      <c r="N419" s="316">
        <v>1</v>
      </c>
      <c r="O419" s="316">
        <v>1</v>
      </c>
      <c r="P419" s="316">
        <v>1</v>
      </c>
      <c r="Q419" s="316">
        <v>1</v>
      </c>
      <c r="R419" s="316">
        <v>1</v>
      </c>
      <c r="S419" s="316">
        <v>1</v>
      </c>
      <c r="T419" s="316">
        <v>1</v>
      </c>
      <c r="U419" s="316">
        <v>1</v>
      </c>
      <c r="V419" s="316">
        <v>1</v>
      </c>
      <c r="W419" s="316">
        <v>1</v>
      </c>
      <c r="X419" s="316">
        <v>1</v>
      </c>
      <c r="Y419" s="316">
        <v>1</v>
      </c>
      <c r="Z419" s="316">
        <v>1</v>
      </c>
      <c r="AA419" s="316">
        <v>1</v>
      </c>
      <c r="AB419" s="316">
        <v>1</v>
      </c>
      <c r="AC419" s="316">
        <v>1</v>
      </c>
      <c r="AD419" s="316">
        <v>1</v>
      </c>
      <c r="AE419" s="316">
        <v>1</v>
      </c>
      <c r="AF419" s="316">
        <v>1</v>
      </c>
      <c r="AG419" s="316">
        <v>1</v>
      </c>
      <c r="AH419" s="316">
        <v>1</v>
      </c>
      <c r="AI419" s="316">
        <v>1</v>
      </c>
      <c r="AJ419" s="316">
        <v>1</v>
      </c>
      <c r="AK419" s="316">
        <v>1</v>
      </c>
      <c r="AL419" s="316">
        <v>1</v>
      </c>
      <c r="AM419" s="316">
        <v>1</v>
      </c>
      <c r="AN419" s="316">
        <v>1</v>
      </c>
      <c r="AO419" s="316">
        <v>1</v>
      </c>
      <c r="AP419" s="316">
        <v>1</v>
      </c>
      <c r="AQ419" s="316">
        <v>1</v>
      </c>
      <c r="AR419" s="316">
        <v>1</v>
      </c>
      <c r="AS419" s="316">
        <v>1</v>
      </c>
      <c r="AT419" s="316">
        <v>1</v>
      </c>
    </row>
    <row r="420" spans="2:46" ht="12.75" customHeight="1" x14ac:dyDescent="0.15">
      <c r="B420" s="315">
        <v>1067</v>
      </c>
      <c r="C420" s="313" t="s">
        <v>1951</v>
      </c>
      <c r="D420" s="313" t="s">
        <v>1953</v>
      </c>
      <c r="E420" s="319" t="s">
        <v>1801</v>
      </c>
      <c r="F420" s="319" t="s">
        <v>1813</v>
      </c>
      <c r="G420" s="315" t="str">
        <f>_xlfn.XLOOKUP(B420,'WFP Details - 2026'!A:A,'WFP Details - 2026'!Z:Z)</f>
        <v>x</v>
      </c>
      <c r="H420" s="314">
        <v>45565</v>
      </c>
      <c r="I420" s="315">
        <v>9</v>
      </c>
      <c r="J420" s="315">
        <v>2024</v>
      </c>
      <c r="K420" s="316">
        <v>1</v>
      </c>
      <c r="L420" s="316">
        <v>1</v>
      </c>
      <c r="M420" s="316">
        <v>1</v>
      </c>
      <c r="N420" s="316">
        <v>1</v>
      </c>
      <c r="O420" s="316">
        <v>1</v>
      </c>
      <c r="P420" s="316">
        <v>1</v>
      </c>
      <c r="Q420" s="316">
        <v>1</v>
      </c>
      <c r="R420" s="316">
        <v>1</v>
      </c>
      <c r="S420" s="316">
        <v>1</v>
      </c>
      <c r="T420" s="316">
        <v>1</v>
      </c>
      <c r="U420" s="316">
        <v>1</v>
      </c>
      <c r="V420" s="316">
        <v>1</v>
      </c>
      <c r="W420" s="316">
        <v>1</v>
      </c>
      <c r="X420" s="316">
        <v>1</v>
      </c>
      <c r="Y420" s="316">
        <v>1</v>
      </c>
      <c r="Z420" s="316">
        <v>1</v>
      </c>
      <c r="AA420" s="316">
        <v>1</v>
      </c>
      <c r="AB420" s="316">
        <v>1</v>
      </c>
      <c r="AC420" s="316">
        <v>1</v>
      </c>
      <c r="AD420" s="316">
        <v>1</v>
      </c>
      <c r="AE420" s="316">
        <v>1</v>
      </c>
      <c r="AF420" s="316">
        <v>1</v>
      </c>
      <c r="AG420" s="316">
        <v>1</v>
      </c>
      <c r="AH420" s="316">
        <v>1</v>
      </c>
      <c r="AI420" s="316">
        <v>1</v>
      </c>
      <c r="AJ420" s="316">
        <v>1</v>
      </c>
      <c r="AK420" s="316">
        <v>1</v>
      </c>
      <c r="AL420" s="316">
        <v>1</v>
      </c>
      <c r="AM420" s="316">
        <v>1</v>
      </c>
      <c r="AN420" s="316">
        <v>1</v>
      </c>
      <c r="AO420" s="316">
        <v>1</v>
      </c>
      <c r="AP420" s="316">
        <v>1</v>
      </c>
      <c r="AQ420" s="316">
        <v>1</v>
      </c>
      <c r="AR420" s="316">
        <v>1</v>
      </c>
      <c r="AS420" s="316">
        <v>1</v>
      </c>
      <c r="AT420" s="316">
        <v>1</v>
      </c>
    </row>
    <row r="421" spans="2:46" ht="12.75" customHeight="1" x14ac:dyDescent="0.15">
      <c r="B421" s="315">
        <v>1289</v>
      </c>
      <c r="C421" s="313" t="s">
        <v>1951</v>
      </c>
      <c r="D421" s="313" t="s">
        <v>1954</v>
      </c>
      <c r="E421" s="319" t="s">
        <v>1801</v>
      </c>
      <c r="F421" s="319" t="s">
        <v>1955</v>
      </c>
      <c r="G421" s="315" t="str">
        <f>_xlfn.XLOOKUP(B421,'WFP Details - 2026'!A:A,'WFP Details - 2026'!Z:Z)</f>
        <v>x</v>
      </c>
      <c r="H421" s="314">
        <v>45593</v>
      </c>
      <c r="I421" s="315">
        <v>10</v>
      </c>
      <c r="J421" s="315">
        <v>2024</v>
      </c>
      <c r="K421" s="316">
        <v>1</v>
      </c>
      <c r="L421" s="316">
        <v>1</v>
      </c>
      <c r="M421" s="316">
        <v>1</v>
      </c>
      <c r="N421" s="316">
        <v>1</v>
      </c>
      <c r="O421" s="316">
        <v>1</v>
      </c>
      <c r="P421" s="316">
        <v>1</v>
      </c>
      <c r="Q421" s="316">
        <v>1</v>
      </c>
      <c r="R421" s="316">
        <v>1</v>
      </c>
      <c r="S421" s="316">
        <v>1</v>
      </c>
      <c r="T421" s="316">
        <v>1</v>
      </c>
      <c r="U421" s="316">
        <v>1</v>
      </c>
      <c r="V421" s="316">
        <v>1</v>
      </c>
      <c r="W421" s="316">
        <v>1</v>
      </c>
      <c r="X421" s="316">
        <v>1</v>
      </c>
      <c r="Y421" s="316">
        <v>1</v>
      </c>
      <c r="Z421" s="316">
        <v>1</v>
      </c>
      <c r="AA421" s="316">
        <v>1</v>
      </c>
      <c r="AB421" s="316">
        <v>1</v>
      </c>
      <c r="AC421" s="316">
        <v>1</v>
      </c>
      <c r="AD421" s="316">
        <v>1</v>
      </c>
      <c r="AE421" s="316">
        <v>1</v>
      </c>
      <c r="AF421" s="316">
        <v>1</v>
      </c>
      <c r="AG421" s="316">
        <v>1</v>
      </c>
      <c r="AH421" s="316">
        <v>1</v>
      </c>
      <c r="AI421" s="316">
        <v>1</v>
      </c>
      <c r="AJ421" s="316">
        <v>1</v>
      </c>
      <c r="AK421" s="316">
        <v>1</v>
      </c>
      <c r="AL421" s="316">
        <v>1</v>
      </c>
      <c r="AM421" s="316">
        <v>1</v>
      </c>
      <c r="AN421" s="316">
        <v>1</v>
      </c>
      <c r="AO421" s="316">
        <v>1</v>
      </c>
      <c r="AP421" s="316">
        <v>1</v>
      </c>
      <c r="AQ421" s="316">
        <v>1</v>
      </c>
      <c r="AR421" s="316">
        <v>1</v>
      </c>
      <c r="AS421" s="316">
        <v>1</v>
      </c>
      <c r="AT421" s="316">
        <v>1</v>
      </c>
    </row>
    <row r="422" spans="2:46" ht="12.75" customHeight="1" x14ac:dyDescent="0.15">
      <c r="B422" s="318">
        <v>1290</v>
      </c>
      <c r="C422" s="313" t="s">
        <v>1951</v>
      </c>
      <c r="D422" s="313" t="s">
        <v>1956</v>
      </c>
      <c r="E422" s="319" t="s">
        <v>1793</v>
      </c>
      <c r="F422" s="319" t="s">
        <v>1957</v>
      </c>
      <c r="G422" s="315" t="str">
        <f>_xlfn.XLOOKUP(B422,'WFP Details - 2026'!A:A,'WFP Details - 2026'!Z:Z)</f>
        <v>x</v>
      </c>
      <c r="H422" s="314">
        <v>45600</v>
      </c>
      <c r="I422" s="315">
        <v>11</v>
      </c>
      <c r="J422" s="315">
        <v>2024</v>
      </c>
      <c r="K422" s="316">
        <v>1</v>
      </c>
      <c r="L422" s="316">
        <v>1</v>
      </c>
      <c r="M422" s="316">
        <v>1</v>
      </c>
      <c r="N422" s="316">
        <v>1</v>
      </c>
      <c r="O422" s="316">
        <v>1</v>
      </c>
      <c r="P422" s="316">
        <v>1</v>
      </c>
      <c r="Q422" s="316">
        <v>1</v>
      </c>
      <c r="R422" s="316">
        <v>1</v>
      </c>
      <c r="S422" s="316">
        <v>1</v>
      </c>
      <c r="T422" s="316">
        <v>1</v>
      </c>
      <c r="U422" s="316">
        <v>1</v>
      </c>
      <c r="V422" s="316">
        <v>1</v>
      </c>
      <c r="W422" s="316">
        <v>1</v>
      </c>
      <c r="X422" s="316">
        <v>1</v>
      </c>
      <c r="Y422" s="316">
        <v>1</v>
      </c>
      <c r="Z422" s="316">
        <v>1</v>
      </c>
      <c r="AA422" s="316">
        <v>1</v>
      </c>
      <c r="AB422" s="316">
        <v>1</v>
      </c>
      <c r="AC422" s="316">
        <v>1</v>
      </c>
      <c r="AD422" s="316">
        <v>1</v>
      </c>
      <c r="AE422" s="316">
        <v>1</v>
      </c>
      <c r="AF422" s="316">
        <v>1</v>
      </c>
      <c r="AG422" s="316">
        <v>1</v>
      </c>
      <c r="AH422" s="316">
        <v>1</v>
      </c>
      <c r="AI422" s="316">
        <v>1</v>
      </c>
      <c r="AJ422" s="316">
        <v>1</v>
      </c>
      <c r="AK422" s="316">
        <v>1</v>
      </c>
      <c r="AL422" s="316">
        <v>1</v>
      </c>
      <c r="AM422" s="316">
        <v>1</v>
      </c>
      <c r="AN422" s="316">
        <v>1</v>
      </c>
      <c r="AO422" s="316">
        <v>1</v>
      </c>
      <c r="AP422" s="316">
        <v>1</v>
      </c>
      <c r="AQ422" s="316">
        <v>1</v>
      </c>
      <c r="AR422" s="316">
        <v>1</v>
      </c>
      <c r="AS422" s="316">
        <v>1</v>
      </c>
      <c r="AT422" s="316">
        <v>1</v>
      </c>
    </row>
    <row r="423" spans="2:46" ht="12.75" customHeight="1" x14ac:dyDescent="0.15">
      <c r="B423" s="312">
        <v>1363</v>
      </c>
      <c r="C423" s="313" t="s">
        <v>1951</v>
      </c>
      <c r="D423" s="313" t="s">
        <v>774</v>
      </c>
      <c r="E423" s="319" t="s">
        <v>1792</v>
      </c>
      <c r="F423" s="319" t="s">
        <v>769</v>
      </c>
      <c r="G423" s="315" t="str">
        <f>_xlfn.XLOOKUP(B423,'WFP Details - 2026'!A:A,'WFP Details - 2026'!Z:Z)</f>
        <v>x</v>
      </c>
      <c r="H423" s="314">
        <v>45719</v>
      </c>
      <c r="I423" s="315">
        <v>3</v>
      </c>
      <c r="J423" s="315">
        <v>2025</v>
      </c>
      <c r="K423" s="316">
        <v>1</v>
      </c>
      <c r="L423" s="316">
        <v>1</v>
      </c>
      <c r="M423" s="316">
        <v>1</v>
      </c>
      <c r="N423" s="316">
        <v>1</v>
      </c>
      <c r="O423" s="316">
        <v>1</v>
      </c>
      <c r="P423" s="316">
        <v>1</v>
      </c>
      <c r="Q423" s="316">
        <v>1</v>
      </c>
      <c r="R423" s="316">
        <v>1</v>
      </c>
      <c r="S423" s="316">
        <v>1</v>
      </c>
      <c r="T423" s="316">
        <v>1</v>
      </c>
      <c r="U423" s="316">
        <v>1</v>
      </c>
      <c r="V423" s="316">
        <v>1</v>
      </c>
      <c r="W423" s="316">
        <v>1</v>
      </c>
      <c r="X423" s="316">
        <v>1</v>
      </c>
      <c r="Y423" s="316">
        <v>1</v>
      </c>
      <c r="Z423" s="316">
        <v>1</v>
      </c>
      <c r="AA423" s="316">
        <v>1</v>
      </c>
      <c r="AB423" s="316">
        <v>1</v>
      </c>
      <c r="AC423" s="316">
        <v>1</v>
      </c>
      <c r="AD423" s="316">
        <v>1</v>
      </c>
      <c r="AE423" s="316">
        <v>1</v>
      </c>
      <c r="AF423" s="316">
        <v>1</v>
      </c>
      <c r="AG423" s="316">
        <v>1</v>
      </c>
      <c r="AH423" s="316">
        <v>1</v>
      </c>
      <c r="AI423" s="316">
        <v>1</v>
      </c>
      <c r="AJ423" s="316">
        <v>1</v>
      </c>
      <c r="AK423" s="316">
        <v>1</v>
      </c>
      <c r="AL423" s="316">
        <v>1</v>
      </c>
      <c r="AM423" s="316">
        <v>1</v>
      </c>
      <c r="AN423" s="316">
        <v>1</v>
      </c>
      <c r="AO423" s="316">
        <v>1</v>
      </c>
      <c r="AP423" s="316">
        <v>1</v>
      </c>
      <c r="AQ423" s="316">
        <v>1</v>
      </c>
      <c r="AR423" s="316">
        <v>1</v>
      </c>
      <c r="AS423" s="316">
        <v>1</v>
      </c>
      <c r="AT423" s="316">
        <v>1</v>
      </c>
    </row>
    <row r="424" spans="2:46" ht="12.75" customHeight="1" x14ac:dyDescent="0.15">
      <c r="B424" s="312">
        <v>1364</v>
      </c>
      <c r="C424" s="313" t="s">
        <v>1951</v>
      </c>
      <c r="D424" s="313" t="s">
        <v>1958</v>
      </c>
      <c r="E424" s="319" t="s">
        <v>1805</v>
      </c>
      <c r="F424" s="319" t="s">
        <v>772</v>
      </c>
      <c r="G424" s="315" t="str">
        <f>_xlfn.XLOOKUP(B424,'WFP Details - 2026'!A:A,'WFP Details - 2026'!Z:Z)</f>
        <v>x</v>
      </c>
      <c r="H424" s="314">
        <v>45719</v>
      </c>
      <c r="I424" s="315">
        <v>3</v>
      </c>
      <c r="J424" s="315">
        <v>2025</v>
      </c>
      <c r="K424" s="316">
        <v>1</v>
      </c>
      <c r="L424" s="316">
        <v>1</v>
      </c>
      <c r="M424" s="316">
        <v>1</v>
      </c>
      <c r="N424" s="316">
        <v>1</v>
      </c>
      <c r="O424" s="316">
        <v>1</v>
      </c>
      <c r="P424" s="316">
        <v>1</v>
      </c>
      <c r="Q424" s="316">
        <v>1</v>
      </c>
      <c r="R424" s="316">
        <v>1</v>
      </c>
      <c r="S424" s="316">
        <v>1</v>
      </c>
      <c r="T424" s="316">
        <v>1</v>
      </c>
      <c r="U424" s="316">
        <v>1</v>
      </c>
      <c r="V424" s="316">
        <v>1</v>
      </c>
      <c r="W424" s="316">
        <v>1</v>
      </c>
      <c r="X424" s="316">
        <v>1</v>
      </c>
      <c r="Y424" s="316">
        <v>1</v>
      </c>
      <c r="Z424" s="316">
        <v>1</v>
      </c>
      <c r="AA424" s="316">
        <v>1</v>
      </c>
      <c r="AB424" s="316">
        <v>1</v>
      </c>
      <c r="AC424" s="316">
        <v>1</v>
      </c>
      <c r="AD424" s="316">
        <v>1</v>
      </c>
      <c r="AE424" s="316">
        <v>1</v>
      </c>
      <c r="AF424" s="316">
        <v>1</v>
      </c>
      <c r="AG424" s="316">
        <v>1</v>
      </c>
      <c r="AH424" s="316">
        <v>1</v>
      </c>
      <c r="AI424" s="316">
        <v>1</v>
      </c>
      <c r="AJ424" s="316">
        <v>1</v>
      </c>
      <c r="AK424" s="316">
        <v>1</v>
      </c>
      <c r="AL424" s="316">
        <v>1</v>
      </c>
      <c r="AM424" s="316">
        <v>1</v>
      </c>
      <c r="AN424" s="316">
        <v>1</v>
      </c>
      <c r="AO424" s="316">
        <v>1</v>
      </c>
      <c r="AP424" s="316">
        <v>1</v>
      </c>
      <c r="AQ424" s="316">
        <v>1</v>
      </c>
      <c r="AR424" s="316">
        <v>1</v>
      </c>
      <c r="AS424" s="316">
        <v>1</v>
      </c>
      <c r="AT424" s="316">
        <v>1</v>
      </c>
    </row>
    <row r="425" spans="2:46" ht="12.75" customHeight="1" x14ac:dyDescent="0.15">
      <c r="B425" s="318">
        <v>1365</v>
      </c>
      <c r="C425" s="313" t="s">
        <v>1951</v>
      </c>
      <c r="D425" s="313" t="s">
        <v>1959</v>
      </c>
      <c r="E425" s="319" t="s">
        <v>1793</v>
      </c>
      <c r="F425" s="319" t="s">
        <v>775</v>
      </c>
      <c r="G425" s="315" t="str">
        <f>_xlfn.XLOOKUP(B425,'WFP Details - 2026'!A:A,'WFP Details - 2026'!Z:Z)</f>
        <v>x</v>
      </c>
      <c r="H425" s="314">
        <v>45719</v>
      </c>
      <c r="I425" s="315">
        <v>3</v>
      </c>
      <c r="J425" s="315">
        <v>2025</v>
      </c>
      <c r="K425" s="316">
        <v>1</v>
      </c>
      <c r="L425" s="316">
        <v>1</v>
      </c>
      <c r="M425" s="316">
        <v>1</v>
      </c>
      <c r="N425" s="316">
        <v>1</v>
      </c>
      <c r="O425" s="316">
        <v>1</v>
      </c>
      <c r="P425" s="316">
        <v>1</v>
      </c>
      <c r="Q425" s="316">
        <v>1</v>
      </c>
      <c r="R425" s="316">
        <v>1</v>
      </c>
      <c r="S425" s="316">
        <v>1</v>
      </c>
      <c r="T425" s="316">
        <v>1</v>
      </c>
      <c r="U425" s="316">
        <v>1</v>
      </c>
      <c r="V425" s="316">
        <v>1</v>
      </c>
      <c r="W425" s="316">
        <v>1</v>
      </c>
      <c r="X425" s="316">
        <v>1</v>
      </c>
      <c r="Y425" s="316">
        <v>1</v>
      </c>
      <c r="Z425" s="316">
        <v>1</v>
      </c>
      <c r="AA425" s="316">
        <v>1</v>
      </c>
      <c r="AB425" s="316">
        <v>1</v>
      </c>
      <c r="AC425" s="316">
        <v>1</v>
      </c>
      <c r="AD425" s="316">
        <v>1</v>
      </c>
      <c r="AE425" s="316">
        <v>1</v>
      </c>
      <c r="AF425" s="316">
        <v>1</v>
      </c>
      <c r="AG425" s="316">
        <v>1</v>
      </c>
      <c r="AH425" s="316">
        <v>1</v>
      </c>
      <c r="AI425" s="316">
        <v>1</v>
      </c>
      <c r="AJ425" s="316">
        <v>1</v>
      </c>
      <c r="AK425" s="316">
        <v>1</v>
      </c>
      <c r="AL425" s="316">
        <v>1</v>
      </c>
      <c r="AM425" s="316">
        <v>1</v>
      </c>
      <c r="AN425" s="316">
        <v>1</v>
      </c>
      <c r="AO425" s="316">
        <v>1</v>
      </c>
      <c r="AP425" s="316">
        <v>1</v>
      </c>
      <c r="AQ425" s="316">
        <v>1</v>
      </c>
      <c r="AR425" s="316">
        <v>1</v>
      </c>
      <c r="AS425" s="316">
        <v>1</v>
      </c>
      <c r="AT425" s="316">
        <v>1</v>
      </c>
    </row>
    <row r="426" spans="2:46" ht="12.75" customHeight="1" x14ac:dyDescent="0.15">
      <c r="B426" s="318">
        <v>1110</v>
      </c>
      <c r="C426" s="313" t="s">
        <v>1951</v>
      </c>
      <c r="D426" s="313" t="s">
        <v>1960</v>
      </c>
      <c r="E426" s="319" t="s">
        <v>1793</v>
      </c>
      <c r="F426" s="319" t="s">
        <v>1276</v>
      </c>
      <c r="G426" s="315" t="str">
        <f>_xlfn.XLOOKUP(B426,'WFP Details - 2026'!A:A,'WFP Details - 2026'!Z:Z)</f>
        <v>x</v>
      </c>
      <c r="H426" s="314">
        <v>45719</v>
      </c>
      <c r="I426" s="315">
        <v>3</v>
      </c>
      <c r="J426" s="315">
        <v>2025</v>
      </c>
      <c r="K426" s="316">
        <v>1</v>
      </c>
      <c r="L426" s="316">
        <v>1</v>
      </c>
      <c r="M426" s="316">
        <v>1</v>
      </c>
      <c r="N426" s="316">
        <v>1</v>
      </c>
      <c r="O426" s="316">
        <v>1</v>
      </c>
      <c r="P426" s="316">
        <v>1</v>
      </c>
      <c r="Q426" s="316">
        <v>1</v>
      </c>
      <c r="R426" s="316">
        <v>1</v>
      </c>
      <c r="S426" s="316">
        <v>1</v>
      </c>
      <c r="T426" s="316">
        <v>1</v>
      </c>
      <c r="U426" s="316">
        <v>1</v>
      </c>
      <c r="V426" s="316">
        <v>1</v>
      </c>
      <c r="W426" s="316">
        <v>1</v>
      </c>
      <c r="X426" s="316">
        <v>1</v>
      </c>
      <c r="Y426" s="316">
        <v>1</v>
      </c>
      <c r="Z426" s="316">
        <v>1</v>
      </c>
      <c r="AA426" s="316">
        <v>1</v>
      </c>
      <c r="AB426" s="316">
        <v>1</v>
      </c>
      <c r="AC426" s="316">
        <v>1</v>
      </c>
      <c r="AD426" s="316">
        <v>1</v>
      </c>
      <c r="AE426" s="316">
        <v>1</v>
      </c>
      <c r="AF426" s="316">
        <v>1</v>
      </c>
      <c r="AG426" s="316">
        <v>1</v>
      </c>
      <c r="AH426" s="316">
        <v>1</v>
      </c>
      <c r="AI426" s="316">
        <v>1</v>
      </c>
      <c r="AJ426" s="316">
        <v>1</v>
      </c>
      <c r="AK426" s="316">
        <v>1</v>
      </c>
      <c r="AL426" s="316">
        <v>1</v>
      </c>
      <c r="AM426" s="316">
        <v>1</v>
      </c>
      <c r="AN426" s="316">
        <v>1</v>
      </c>
      <c r="AO426" s="316">
        <v>1</v>
      </c>
      <c r="AP426" s="316">
        <v>1</v>
      </c>
      <c r="AQ426" s="316">
        <v>1</v>
      </c>
      <c r="AR426" s="316">
        <v>1</v>
      </c>
      <c r="AS426" s="316">
        <v>1</v>
      </c>
      <c r="AT426" s="316">
        <v>1</v>
      </c>
    </row>
    <row r="427" spans="2:46" ht="12.75" customHeight="1" x14ac:dyDescent="0.15">
      <c r="B427" s="318">
        <v>1379</v>
      </c>
      <c r="C427" s="313" t="s">
        <v>1951</v>
      </c>
      <c r="D427" s="313" t="s">
        <v>755</v>
      </c>
      <c r="E427" s="319" t="s">
        <v>1831</v>
      </c>
      <c r="F427" s="319" t="s">
        <v>1961</v>
      </c>
      <c r="G427" s="315" t="str">
        <f>_xlfn.XLOOKUP(B427,'WFP Details - 2026'!A:A,'WFP Details - 2026'!Z:Z)</f>
        <v>x</v>
      </c>
      <c r="H427" s="314">
        <v>45978</v>
      </c>
      <c r="I427" s="315">
        <v>11</v>
      </c>
      <c r="J427" s="315">
        <v>2025</v>
      </c>
      <c r="K427" s="316">
        <v>1</v>
      </c>
      <c r="L427" s="316">
        <v>1</v>
      </c>
      <c r="M427" s="316">
        <v>1</v>
      </c>
      <c r="N427" s="316">
        <v>1</v>
      </c>
      <c r="O427" s="316">
        <v>1</v>
      </c>
      <c r="P427" s="316">
        <v>1</v>
      </c>
      <c r="Q427" s="316">
        <v>1</v>
      </c>
      <c r="R427" s="316">
        <v>1</v>
      </c>
      <c r="S427" s="316">
        <v>1</v>
      </c>
      <c r="T427" s="316">
        <v>1</v>
      </c>
      <c r="U427" s="316">
        <v>1</v>
      </c>
      <c r="V427" s="316">
        <v>1</v>
      </c>
      <c r="W427" s="316">
        <v>1</v>
      </c>
      <c r="X427" s="316">
        <v>1</v>
      </c>
      <c r="Y427" s="316">
        <v>1</v>
      </c>
      <c r="Z427" s="316">
        <v>1</v>
      </c>
      <c r="AA427" s="316">
        <v>1</v>
      </c>
      <c r="AB427" s="316">
        <v>1</v>
      </c>
      <c r="AC427" s="316">
        <v>1</v>
      </c>
      <c r="AD427" s="316">
        <v>1</v>
      </c>
      <c r="AE427" s="316">
        <v>1</v>
      </c>
      <c r="AF427" s="316">
        <v>1</v>
      </c>
      <c r="AG427" s="316">
        <v>1</v>
      </c>
      <c r="AH427" s="316">
        <v>1</v>
      </c>
      <c r="AI427" s="316">
        <v>1</v>
      </c>
      <c r="AJ427" s="316">
        <v>1</v>
      </c>
      <c r="AK427" s="316">
        <v>1</v>
      </c>
      <c r="AL427" s="316">
        <v>1</v>
      </c>
      <c r="AM427" s="316">
        <v>1</v>
      </c>
      <c r="AN427" s="316">
        <v>1</v>
      </c>
      <c r="AO427" s="316">
        <v>1</v>
      </c>
      <c r="AP427" s="316">
        <v>1</v>
      </c>
      <c r="AQ427" s="316">
        <v>1</v>
      </c>
      <c r="AR427" s="316">
        <v>1</v>
      </c>
      <c r="AS427" s="316">
        <v>1</v>
      </c>
      <c r="AT427" s="316">
        <v>1</v>
      </c>
    </row>
    <row r="428" spans="2:46" ht="12.75" customHeight="1" x14ac:dyDescent="0.15">
      <c r="B428" s="317">
        <v>1313</v>
      </c>
      <c r="C428" s="313" t="s">
        <v>1951</v>
      </c>
      <c r="D428" s="313" t="s">
        <v>1962</v>
      </c>
      <c r="E428" s="319" t="s">
        <v>1831</v>
      </c>
      <c r="F428" s="319" t="s">
        <v>1963</v>
      </c>
      <c r="G428" s="315" t="str">
        <f>_xlfn.XLOOKUP(B428,'WFP Details - 2026'!A:A,'WFP Details - 2026'!Z:Z)</f>
        <v>x</v>
      </c>
      <c r="H428" s="314">
        <v>46006</v>
      </c>
      <c r="I428" s="315">
        <v>12</v>
      </c>
      <c r="J428" s="315">
        <v>2025</v>
      </c>
      <c r="K428" s="316">
        <v>1</v>
      </c>
      <c r="L428" s="316">
        <v>1</v>
      </c>
      <c r="M428" s="316">
        <v>1</v>
      </c>
      <c r="N428" s="316">
        <v>1</v>
      </c>
      <c r="O428" s="316">
        <v>1</v>
      </c>
      <c r="P428" s="316">
        <v>1</v>
      </c>
      <c r="Q428" s="316">
        <v>1</v>
      </c>
      <c r="R428" s="316">
        <v>1</v>
      </c>
      <c r="S428" s="316">
        <v>1</v>
      </c>
      <c r="T428" s="316">
        <v>1</v>
      </c>
      <c r="U428" s="316">
        <v>1</v>
      </c>
      <c r="V428" s="316">
        <v>1</v>
      </c>
      <c r="W428" s="316">
        <v>1</v>
      </c>
      <c r="X428" s="316">
        <v>1</v>
      </c>
      <c r="Y428" s="316">
        <v>1</v>
      </c>
      <c r="Z428" s="316">
        <v>1</v>
      </c>
      <c r="AA428" s="316">
        <v>1</v>
      </c>
      <c r="AB428" s="316">
        <v>1</v>
      </c>
      <c r="AC428" s="316">
        <v>1</v>
      </c>
      <c r="AD428" s="316">
        <v>1</v>
      </c>
      <c r="AE428" s="316">
        <v>1</v>
      </c>
      <c r="AF428" s="316">
        <v>1</v>
      </c>
      <c r="AG428" s="316">
        <v>1</v>
      </c>
      <c r="AH428" s="316">
        <v>1</v>
      </c>
      <c r="AI428" s="316">
        <v>1</v>
      </c>
      <c r="AJ428" s="316">
        <v>1</v>
      </c>
      <c r="AK428" s="316">
        <v>1</v>
      </c>
      <c r="AL428" s="316">
        <v>1</v>
      </c>
      <c r="AM428" s="316">
        <v>1</v>
      </c>
      <c r="AN428" s="316">
        <v>1</v>
      </c>
      <c r="AO428" s="316">
        <v>1</v>
      </c>
      <c r="AP428" s="316">
        <v>1</v>
      </c>
      <c r="AQ428" s="316">
        <v>1</v>
      </c>
      <c r="AR428" s="316">
        <v>1</v>
      </c>
      <c r="AS428" s="316">
        <v>1</v>
      </c>
      <c r="AT428" s="316">
        <v>1</v>
      </c>
    </row>
    <row r="429" spans="2:46" ht="12.75" customHeight="1" x14ac:dyDescent="0.15">
      <c r="B429" s="312">
        <v>5214</v>
      </c>
      <c r="C429" s="313" t="s">
        <v>1951</v>
      </c>
      <c r="D429" s="313" t="s">
        <v>1964</v>
      </c>
      <c r="E429" s="319" t="s">
        <v>1831</v>
      </c>
      <c r="F429" s="319" t="s">
        <v>1965</v>
      </c>
      <c r="G429" s="315" t="str">
        <f>_xlfn.XLOOKUP(B429,'WFP Details - 2026'!A:A,'WFP Details - 2026'!Z:Z)</f>
        <v>x</v>
      </c>
      <c r="H429" s="314">
        <v>46096</v>
      </c>
      <c r="I429" s="315">
        <v>3</v>
      </c>
      <c r="J429" s="315">
        <v>2026</v>
      </c>
      <c r="K429" s="316">
        <v>0</v>
      </c>
      <c r="L429" s="316">
        <v>0</v>
      </c>
      <c r="M429" s="316">
        <v>1</v>
      </c>
      <c r="N429" s="316">
        <v>1</v>
      </c>
      <c r="O429" s="316">
        <v>1</v>
      </c>
      <c r="P429" s="316">
        <v>1</v>
      </c>
      <c r="Q429" s="316">
        <v>1</v>
      </c>
      <c r="R429" s="316">
        <v>1</v>
      </c>
      <c r="S429" s="316">
        <v>1</v>
      </c>
      <c r="T429" s="316">
        <v>1</v>
      </c>
      <c r="U429" s="316">
        <v>1</v>
      </c>
      <c r="V429" s="316">
        <v>1</v>
      </c>
      <c r="W429" s="316">
        <v>1</v>
      </c>
      <c r="X429" s="316">
        <v>1</v>
      </c>
      <c r="Y429" s="316">
        <v>1</v>
      </c>
      <c r="Z429" s="316">
        <v>1</v>
      </c>
      <c r="AA429" s="316">
        <v>1</v>
      </c>
      <c r="AB429" s="316">
        <v>1</v>
      </c>
      <c r="AC429" s="316">
        <v>1</v>
      </c>
      <c r="AD429" s="316">
        <v>1</v>
      </c>
      <c r="AE429" s="316">
        <v>1</v>
      </c>
      <c r="AF429" s="316">
        <v>1</v>
      </c>
      <c r="AG429" s="316">
        <v>1</v>
      </c>
      <c r="AH429" s="316">
        <v>1</v>
      </c>
      <c r="AI429" s="316">
        <v>1</v>
      </c>
      <c r="AJ429" s="316">
        <v>1</v>
      </c>
      <c r="AK429" s="316">
        <v>1</v>
      </c>
      <c r="AL429" s="316">
        <v>1</v>
      </c>
      <c r="AM429" s="316">
        <v>1</v>
      </c>
      <c r="AN429" s="316">
        <v>1</v>
      </c>
      <c r="AO429" s="316">
        <v>1</v>
      </c>
      <c r="AP429" s="316">
        <v>1</v>
      </c>
      <c r="AQ429" s="316">
        <v>1</v>
      </c>
      <c r="AR429" s="316">
        <v>1</v>
      </c>
      <c r="AS429" s="316">
        <v>1</v>
      </c>
      <c r="AT429" s="316">
        <v>1</v>
      </c>
    </row>
    <row r="430" spans="2:46" ht="12.75" customHeight="1" x14ac:dyDescent="0.15">
      <c r="B430" s="317">
        <v>5211</v>
      </c>
      <c r="C430" s="313" t="s">
        <v>1951</v>
      </c>
      <c r="D430" s="313" t="s">
        <v>101</v>
      </c>
      <c r="E430" s="319" t="s">
        <v>1831</v>
      </c>
      <c r="F430" s="319" t="s">
        <v>788</v>
      </c>
      <c r="G430" s="315" t="str">
        <f>_xlfn.XLOOKUP(B430,'WFP Details - 2026'!A:A,'WFP Details - 2026'!Z:Z)</f>
        <v>x</v>
      </c>
      <c r="H430" s="314">
        <v>46188</v>
      </c>
      <c r="I430" s="315">
        <v>6</v>
      </c>
      <c r="J430" s="315">
        <v>2026</v>
      </c>
      <c r="K430" s="316">
        <v>0</v>
      </c>
      <c r="L430" s="316">
        <v>0</v>
      </c>
      <c r="M430" s="316">
        <v>0</v>
      </c>
      <c r="N430" s="316">
        <v>0</v>
      </c>
      <c r="O430" s="316">
        <v>0</v>
      </c>
      <c r="P430" s="316">
        <v>1</v>
      </c>
      <c r="Q430" s="316">
        <v>1</v>
      </c>
      <c r="R430" s="316">
        <v>1</v>
      </c>
      <c r="S430" s="316">
        <v>1</v>
      </c>
      <c r="T430" s="316">
        <v>1</v>
      </c>
      <c r="U430" s="316">
        <v>1</v>
      </c>
      <c r="V430" s="316">
        <v>1</v>
      </c>
      <c r="W430" s="316">
        <v>1</v>
      </c>
      <c r="X430" s="316">
        <v>1</v>
      </c>
      <c r="Y430" s="316">
        <v>1</v>
      </c>
      <c r="Z430" s="316">
        <v>1</v>
      </c>
      <c r="AA430" s="316">
        <v>1</v>
      </c>
      <c r="AB430" s="316">
        <v>1</v>
      </c>
      <c r="AC430" s="316">
        <v>1</v>
      </c>
      <c r="AD430" s="316">
        <v>1</v>
      </c>
      <c r="AE430" s="316">
        <v>1</v>
      </c>
      <c r="AF430" s="316">
        <v>1</v>
      </c>
      <c r="AG430" s="316">
        <v>1</v>
      </c>
      <c r="AH430" s="316">
        <v>1</v>
      </c>
      <c r="AI430" s="316">
        <v>1</v>
      </c>
      <c r="AJ430" s="316">
        <v>1</v>
      </c>
      <c r="AK430" s="316">
        <v>1</v>
      </c>
      <c r="AL430" s="316">
        <v>1</v>
      </c>
      <c r="AM430" s="316">
        <v>1</v>
      </c>
      <c r="AN430" s="316">
        <v>1</v>
      </c>
      <c r="AO430" s="316">
        <v>1</v>
      </c>
      <c r="AP430" s="316">
        <v>1</v>
      </c>
      <c r="AQ430" s="316">
        <v>1</v>
      </c>
      <c r="AR430" s="316">
        <v>1</v>
      </c>
      <c r="AS430" s="316">
        <v>1</v>
      </c>
      <c r="AT430" s="316">
        <v>1</v>
      </c>
    </row>
    <row r="431" spans="2:46" ht="12.75" hidden="1" customHeight="1" x14ac:dyDescent="0.15">
      <c r="B431" s="318">
        <v>5212</v>
      </c>
      <c r="C431" s="313" t="s">
        <v>1951</v>
      </c>
      <c r="D431" s="313" t="s">
        <v>101</v>
      </c>
      <c r="E431" s="313" t="s">
        <v>1793</v>
      </c>
      <c r="F431" s="313" t="s">
        <v>1276</v>
      </c>
      <c r="G431" s="315" t="e">
        <f>_xlfn.XLOOKUP(B431,'WFP Details - 2026'!A:A,'WFP Details - 2026'!Z:Z)</f>
        <v>#N/A</v>
      </c>
      <c r="H431" s="314">
        <v>46461</v>
      </c>
      <c r="I431" s="315">
        <v>3</v>
      </c>
      <c r="J431" s="315">
        <v>2027</v>
      </c>
      <c r="K431" s="316">
        <v>0</v>
      </c>
      <c r="L431" s="316">
        <v>0</v>
      </c>
      <c r="M431" s="316">
        <v>0</v>
      </c>
      <c r="N431" s="316">
        <v>0</v>
      </c>
      <c r="O431" s="316">
        <v>0</v>
      </c>
      <c r="P431" s="316">
        <v>0</v>
      </c>
      <c r="Q431" s="316">
        <v>0</v>
      </c>
      <c r="R431" s="316">
        <v>0</v>
      </c>
      <c r="S431" s="316">
        <v>0</v>
      </c>
      <c r="T431" s="316">
        <v>0</v>
      </c>
      <c r="U431" s="316">
        <v>0</v>
      </c>
      <c r="V431" s="316">
        <v>0</v>
      </c>
      <c r="W431" s="316">
        <v>0</v>
      </c>
      <c r="X431" s="316">
        <v>0</v>
      </c>
      <c r="Y431" s="316">
        <v>1</v>
      </c>
      <c r="Z431" s="316">
        <v>1</v>
      </c>
      <c r="AA431" s="316">
        <v>1</v>
      </c>
      <c r="AB431" s="316">
        <v>1</v>
      </c>
      <c r="AC431" s="316">
        <v>1</v>
      </c>
      <c r="AD431" s="316">
        <v>1</v>
      </c>
      <c r="AE431" s="316">
        <v>1</v>
      </c>
      <c r="AF431" s="316">
        <v>1</v>
      </c>
      <c r="AG431" s="316">
        <v>1</v>
      </c>
      <c r="AH431" s="316">
        <v>1</v>
      </c>
      <c r="AI431" s="316">
        <v>1</v>
      </c>
      <c r="AJ431" s="316">
        <v>1</v>
      </c>
      <c r="AK431" s="316">
        <v>1</v>
      </c>
      <c r="AL431" s="316">
        <v>1</v>
      </c>
      <c r="AM431" s="316">
        <v>1</v>
      </c>
      <c r="AN431" s="316">
        <v>1</v>
      </c>
      <c r="AO431" s="316">
        <v>1</v>
      </c>
      <c r="AP431" s="316">
        <v>1</v>
      </c>
      <c r="AQ431" s="316">
        <v>1</v>
      </c>
      <c r="AR431" s="316">
        <v>1</v>
      </c>
      <c r="AS431" s="316">
        <v>1</v>
      </c>
      <c r="AT431" s="316">
        <v>1</v>
      </c>
    </row>
    <row r="432" spans="2:46" ht="12.75" hidden="1" customHeight="1" x14ac:dyDescent="0.15">
      <c r="B432" s="312">
        <v>5213</v>
      </c>
      <c r="C432" s="313" t="s">
        <v>1951</v>
      </c>
      <c r="D432" s="313" t="s">
        <v>101</v>
      </c>
      <c r="E432" s="313" t="s">
        <v>1795</v>
      </c>
      <c r="F432" s="313" t="s">
        <v>1277</v>
      </c>
      <c r="G432" s="315" t="e">
        <f>_xlfn.XLOOKUP(B432,'WFP Details - 2026'!A:A,'WFP Details - 2026'!Z:Z)</f>
        <v>#N/A</v>
      </c>
      <c r="H432" s="314">
        <v>46461</v>
      </c>
      <c r="I432" s="315">
        <v>3</v>
      </c>
      <c r="J432" s="315">
        <v>2027</v>
      </c>
      <c r="K432" s="316">
        <v>0</v>
      </c>
      <c r="L432" s="316">
        <v>0</v>
      </c>
      <c r="M432" s="316">
        <v>0</v>
      </c>
      <c r="N432" s="316">
        <v>0</v>
      </c>
      <c r="O432" s="316">
        <v>0</v>
      </c>
      <c r="P432" s="316">
        <v>0</v>
      </c>
      <c r="Q432" s="316">
        <v>0</v>
      </c>
      <c r="R432" s="316">
        <v>0</v>
      </c>
      <c r="S432" s="316">
        <v>0</v>
      </c>
      <c r="T432" s="316">
        <v>0</v>
      </c>
      <c r="U432" s="316">
        <v>0</v>
      </c>
      <c r="V432" s="316">
        <v>0</v>
      </c>
      <c r="W432" s="316">
        <v>0</v>
      </c>
      <c r="X432" s="316">
        <v>0</v>
      </c>
      <c r="Y432" s="316">
        <v>1</v>
      </c>
      <c r="Z432" s="316">
        <v>1</v>
      </c>
      <c r="AA432" s="316">
        <v>1</v>
      </c>
      <c r="AB432" s="316">
        <v>1</v>
      </c>
      <c r="AC432" s="316">
        <v>1</v>
      </c>
      <c r="AD432" s="316">
        <v>1</v>
      </c>
      <c r="AE432" s="316">
        <v>1</v>
      </c>
      <c r="AF432" s="316">
        <v>1</v>
      </c>
      <c r="AG432" s="316">
        <v>1</v>
      </c>
      <c r="AH432" s="316">
        <v>1</v>
      </c>
      <c r="AI432" s="316">
        <v>1</v>
      </c>
      <c r="AJ432" s="316">
        <v>1</v>
      </c>
      <c r="AK432" s="316">
        <v>1</v>
      </c>
      <c r="AL432" s="316">
        <v>1</v>
      </c>
      <c r="AM432" s="316">
        <v>1</v>
      </c>
      <c r="AN432" s="316">
        <v>1</v>
      </c>
      <c r="AO432" s="316">
        <v>1</v>
      </c>
      <c r="AP432" s="316">
        <v>1</v>
      </c>
      <c r="AQ432" s="316">
        <v>1</v>
      </c>
      <c r="AR432" s="316">
        <v>1</v>
      </c>
      <c r="AS432" s="316">
        <v>1</v>
      </c>
      <c r="AT432" s="316">
        <v>1</v>
      </c>
    </row>
    <row r="433" spans="2:46" ht="12.75" hidden="1" customHeight="1" x14ac:dyDescent="0.15">
      <c r="B433" s="312">
        <v>5215</v>
      </c>
      <c r="C433" s="313" t="s">
        <v>1951</v>
      </c>
      <c r="D433" s="313" t="s">
        <v>101</v>
      </c>
      <c r="E433" s="313" t="s">
        <v>1817</v>
      </c>
      <c r="F433" s="313" t="s">
        <v>783</v>
      </c>
      <c r="G433" s="315">
        <f>_xlfn.XLOOKUP(B433,'WFP Details - 2026'!A:A,'WFP Details - 2026'!Z:Z)</f>
        <v>0</v>
      </c>
      <c r="H433" s="314">
        <v>46461</v>
      </c>
      <c r="I433" s="315">
        <v>3</v>
      </c>
      <c r="J433" s="315">
        <v>2027</v>
      </c>
      <c r="K433" s="316">
        <v>0</v>
      </c>
      <c r="L433" s="316">
        <v>0</v>
      </c>
      <c r="M433" s="316">
        <v>0</v>
      </c>
      <c r="N433" s="316">
        <v>0</v>
      </c>
      <c r="O433" s="316">
        <v>0</v>
      </c>
      <c r="P433" s="316">
        <v>0</v>
      </c>
      <c r="Q433" s="316">
        <v>0</v>
      </c>
      <c r="R433" s="316">
        <v>0</v>
      </c>
      <c r="S433" s="316">
        <v>0</v>
      </c>
      <c r="T433" s="316">
        <v>0</v>
      </c>
      <c r="U433" s="316">
        <v>0</v>
      </c>
      <c r="V433" s="316">
        <v>0</v>
      </c>
      <c r="W433" s="316">
        <v>0</v>
      </c>
      <c r="X433" s="316">
        <v>0</v>
      </c>
      <c r="Y433" s="316">
        <v>1</v>
      </c>
      <c r="Z433" s="316">
        <v>1</v>
      </c>
      <c r="AA433" s="316">
        <v>1</v>
      </c>
      <c r="AB433" s="316">
        <v>1</v>
      </c>
      <c r="AC433" s="316">
        <v>1</v>
      </c>
      <c r="AD433" s="316">
        <v>1</v>
      </c>
      <c r="AE433" s="316">
        <v>1</v>
      </c>
      <c r="AF433" s="316">
        <v>1</v>
      </c>
      <c r="AG433" s="316">
        <v>1</v>
      </c>
      <c r="AH433" s="316">
        <v>1</v>
      </c>
      <c r="AI433" s="316">
        <v>1</v>
      </c>
      <c r="AJ433" s="316">
        <v>1</v>
      </c>
      <c r="AK433" s="316">
        <v>1</v>
      </c>
      <c r="AL433" s="316">
        <v>1</v>
      </c>
      <c r="AM433" s="316">
        <v>1</v>
      </c>
      <c r="AN433" s="316">
        <v>1</v>
      </c>
      <c r="AO433" s="316">
        <v>1</v>
      </c>
      <c r="AP433" s="316">
        <v>1</v>
      </c>
      <c r="AQ433" s="316">
        <v>1</v>
      </c>
      <c r="AR433" s="316">
        <v>1</v>
      </c>
      <c r="AS433" s="316">
        <v>1</v>
      </c>
      <c r="AT433" s="316">
        <v>1</v>
      </c>
    </row>
    <row r="434" spans="2:46" ht="12.75" customHeight="1" x14ac:dyDescent="0.15">
      <c r="B434" s="318">
        <v>1081</v>
      </c>
      <c r="C434" s="313" t="s">
        <v>552</v>
      </c>
      <c r="D434" s="313" t="s">
        <v>556</v>
      </c>
      <c r="E434" s="319" t="s">
        <v>1792</v>
      </c>
      <c r="F434" s="319" t="s">
        <v>1966</v>
      </c>
      <c r="G434" s="315" t="str">
        <f>_xlfn.XLOOKUP(B434,'WFP Details - 2026'!A:A,'WFP Details - 2026'!Z:Z)</f>
        <v>x</v>
      </c>
      <c r="H434" s="314">
        <v>45621</v>
      </c>
      <c r="I434" s="315">
        <v>11</v>
      </c>
      <c r="J434" s="315">
        <v>2024</v>
      </c>
      <c r="K434" s="316">
        <v>1</v>
      </c>
      <c r="L434" s="316">
        <v>1</v>
      </c>
      <c r="M434" s="316">
        <v>1</v>
      </c>
      <c r="N434" s="316">
        <v>1</v>
      </c>
      <c r="O434" s="316">
        <v>1</v>
      </c>
      <c r="P434" s="316">
        <v>1</v>
      </c>
      <c r="Q434" s="316">
        <v>1</v>
      </c>
      <c r="R434" s="316">
        <v>1</v>
      </c>
      <c r="S434" s="316">
        <v>1</v>
      </c>
      <c r="T434" s="316">
        <v>1</v>
      </c>
      <c r="U434" s="316">
        <v>1</v>
      </c>
      <c r="V434" s="316">
        <v>1</v>
      </c>
      <c r="W434" s="316">
        <v>1</v>
      </c>
      <c r="X434" s="316">
        <v>1</v>
      </c>
      <c r="Y434" s="316">
        <v>1</v>
      </c>
      <c r="Z434" s="316">
        <v>1</v>
      </c>
      <c r="AA434" s="316">
        <v>1</v>
      </c>
      <c r="AB434" s="316">
        <v>1</v>
      </c>
      <c r="AC434" s="316">
        <v>1</v>
      </c>
      <c r="AD434" s="316">
        <v>1</v>
      </c>
      <c r="AE434" s="316">
        <v>1</v>
      </c>
      <c r="AF434" s="316">
        <v>1</v>
      </c>
      <c r="AG434" s="316">
        <v>1</v>
      </c>
      <c r="AH434" s="316">
        <v>1</v>
      </c>
      <c r="AI434" s="316">
        <v>1</v>
      </c>
      <c r="AJ434" s="316">
        <v>1</v>
      </c>
      <c r="AK434" s="316">
        <v>1</v>
      </c>
      <c r="AL434" s="316">
        <v>1</v>
      </c>
      <c r="AM434" s="316">
        <v>1</v>
      </c>
      <c r="AN434" s="316">
        <v>1</v>
      </c>
      <c r="AO434" s="316">
        <v>1</v>
      </c>
      <c r="AP434" s="316">
        <v>1</v>
      </c>
      <c r="AQ434" s="316">
        <v>1</v>
      </c>
      <c r="AR434" s="316">
        <v>1</v>
      </c>
      <c r="AS434" s="316">
        <v>1</v>
      </c>
      <c r="AT434" s="316">
        <v>1</v>
      </c>
    </row>
    <row r="435" spans="2:46" ht="12.75" customHeight="1" x14ac:dyDescent="0.15">
      <c r="B435" s="315">
        <v>1229</v>
      </c>
      <c r="C435" s="313" t="s">
        <v>552</v>
      </c>
      <c r="D435" s="313" t="s">
        <v>563</v>
      </c>
      <c r="E435" s="319" t="s">
        <v>1817</v>
      </c>
      <c r="F435" s="319" t="s">
        <v>1967</v>
      </c>
      <c r="G435" s="315" t="str">
        <f>_xlfn.XLOOKUP(B435,'WFP Details - 2026'!A:A,'WFP Details - 2026'!Z:Z)</f>
        <v>x</v>
      </c>
      <c r="H435" s="314">
        <v>45678</v>
      </c>
      <c r="I435" s="315">
        <v>1</v>
      </c>
      <c r="J435" s="315">
        <v>2025</v>
      </c>
      <c r="K435" s="316">
        <v>1</v>
      </c>
      <c r="L435" s="316">
        <v>1</v>
      </c>
      <c r="M435" s="316">
        <v>1</v>
      </c>
      <c r="N435" s="316">
        <v>1</v>
      </c>
      <c r="O435" s="316">
        <v>1</v>
      </c>
      <c r="P435" s="316">
        <v>1</v>
      </c>
      <c r="Q435" s="316">
        <v>1</v>
      </c>
      <c r="R435" s="316">
        <v>1</v>
      </c>
      <c r="S435" s="316">
        <v>1</v>
      </c>
      <c r="T435" s="316">
        <v>1</v>
      </c>
      <c r="U435" s="316">
        <v>1</v>
      </c>
      <c r="V435" s="316">
        <v>1</v>
      </c>
      <c r="W435" s="316">
        <v>1</v>
      </c>
      <c r="X435" s="316">
        <v>1</v>
      </c>
      <c r="Y435" s="316">
        <v>1</v>
      </c>
      <c r="Z435" s="316">
        <v>1</v>
      </c>
      <c r="AA435" s="316">
        <v>1</v>
      </c>
      <c r="AB435" s="316">
        <v>1</v>
      </c>
      <c r="AC435" s="316">
        <v>1</v>
      </c>
      <c r="AD435" s="316">
        <v>1</v>
      </c>
      <c r="AE435" s="316">
        <v>1</v>
      </c>
      <c r="AF435" s="316">
        <v>1</v>
      </c>
      <c r="AG435" s="316">
        <v>1</v>
      </c>
      <c r="AH435" s="316">
        <v>1</v>
      </c>
      <c r="AI435" s="316">
        <v>1</v>
      </c>
      <c r="AJ435" s="316">
        <v>1</v>
      </c>
      <c r="AK435" s="316">
        <v>1</v>
      </c>
      <c r="AL435" s="316">
        <v>1</v>
      </c>
      <c r="AM435" s="316">
        <v>1</v>
      </c>
      <c r="AN435" s="316">
        <v>1</v>
      </c>
      <c r="AO435" s="316">
        <v>1</v>
      </c>
      <c r="AP435" s="316">
        <v>1</v>
      </c>
      <c r="AQ435" s="316">
        <v>1</v>
      </c>
      <c r="AR435" s="316">
        <v>1</v>
      </c>
      <c r="AS435" s="316">
        <v>1</v>
      </c>
      <c r="AT435" s="316">
        <v>1</v>
      </c>
    </row>
    <row r="436" spans="2:46" ht="12.75" customHeight="1" x14ac:dyDescent="0.15">
      <c r="B436" s="315">
        <v>1317</v>
      </c>
      <c r="C436" s="313" t="s">
        <v>552</v>
      </c>
      <c r="D436" s="313" t="s">
        <v>1968</v>
      </c>
      <c r="E436" s="319" t="s">
        <v>1793</v>
      </c>
      <c r="F436" s="319" t="s">
        <v>1969</v>
      </c>
      <c r="G436" s="315" t="str">
        <f>_xlfn.XLOOKUP(B436,'WFP Details - 2026'!A:A,'WFP Details - 2026'!Z:Z)</f>
        <v>x</v>
      </c>
      <c r="H436" s="314">
        <v>45726</v>
      </c>
      <c r="I436" s="315">
        <v>3</v>
      </c>
      <c r="J436" s="315">
        <v>2025</v>
      </c>
      <c r="K436" s="316">
        <v>1</v>
      </c>
      <c r="L436" s="316">
        <v>1</v>
      </c>
      <c r="M436" s="316">
        <v>1</v>
      </c>
      <c r="N436" s="316">
        <v>1</v>
      </c>
      <c r="O436" s="316">
        <v>1</v>
      </c>
      <c r="P436" s="316">
        <v>1</v>
      </c>
      <c r="Q436" s="316">
        <v>1</v>
      </c>
      <c r="R436" s="316">
        <v>1</v>
      </c>
      <c r="S436" s="316">
        <v>1</v>
      </c>
      <c r="T436" s="316">
        <v>1</v>
      </c>
      <c r="U436" s="316">
        <v>1</v>
      </c>
      <c r="V436" s="316">
        <v>1</v>
      </c>
      <c r="W436" s="316">
        <v>1</v>
      </c>
      <c r="X436" s="316">
        <v>1</v>
      </c>
      <c r="Y436" s="316">
        <v>1</v>
      </c>
      <c r="Z436" s="316">
        <v>1</v>
      </c>
      <c r="AA436" s="316">
        <v>1</v>
      </c>
      <c r="AB436" s="316">
        <v>1</v>
      </c>
      <c r="AC436" s="316">
        <v>1</v>
      </c>
      <c r="AD436" s="316">
        <v>1</v>
      </c>
      <c r="AE436" s="316">
        <v>1</v>
      </c>
      <c r="AF436" s="316">
        <v>1</v>
      </c>
      <c r="AG436" s="316">
        <v>1</v>
      </c>
      <c r="AH436" s="316">
        <v>1</v>
      </c>
      <c r="AI436" s="316">
        <v>1</v>
      </c>
      <c r="AJ436" s="316">
        <v>1</v>
      </c>
      <c r="AK436" s="316">
        <v>1</v>
      </c>
      <c r="AL436" s="316">
        <v>1</v>
      </c>
      <c r="AM436" s="316">
        <v>1</v>
      </c>
      <c r="AN436" s="316">
        <v>1</v>
      </c>
      <c r="AO436" s="316">
        <v>1</v>
      </c>
      <c r="AP436" s="316">
        <v>1</v>
      </c>
      <c r="AQ436" s="316">
        <v>1</v>
      </c>
      <c r="AR436" s="316">
        <v>1</v>
      </c>
      <c r="AS436" s="316">
        <v>1</v>
      </c>
      <c r="AT436" s="316">
        <v>1</v>
      </c>
    </row>
    <row r="437" spans="2:46" ht="12.75" customHeight="1" x14ac:dyDescent="0.15">
      <c r="B437" s="315">
        <v>1366</v>
      </c>
      <c r="C437" s="313" t="s">
        <v>552</v>
      </c>
      <c r="D437" s="313" t="s">
        <v>1970</v>
      </c>
      <c r="E437" s="319" t="s">
        <v>1793</v>
      </c>
      <c r="F437" s="319" t="s">
        <v>580</v>
      </c>
      <c r="G437" s="315" t="str">
        <f>_xlfn.XLOOKUP(B437,'WFP Details - 2026'!A:A,'WFP Details - 2026'!Z:Z)</f>
        <v>x</v>
      </c>
      <c r="H437" s="314">
        <v>45719</v>
      </c>
      <c r="I437" s="315">
        <v>3</v>
      </c>
      <c r="J437" s="315">
        <v>2025</v>
      </c>
      <c r="K437" s="316">
        <v>1</v>
      </c>
      <c r="L437" s="316">
        <v>1</v>
      </c>
      <c r="M437" s="316">
        <v>1</v>
      </c>
      <c r="N437" s="316">
        <v>1</v>
      </c>
      <c r="O437" s="316">
        <v>1</v>
      </c>
      <c r="P437" s="316">
        <v>1</v>
      </c>
      <c r="Q437" s="316">
        <v>1</v>
      </c>
      <c r="R437" s="316">
        <v>1</v>
      </c>
      <c r="S437" s="316">
        <v>1</v>
      </c>
      <c r="T437" s="316">
        <v>1</v>
      </c>
      <c r="U437" s="316">
        <v>1</v>
      </c>
      <c r="V437" s="316">
        <v>1</v>
      </c>
      <c r="W437" s="316">
        <v>1</v>
      </c>
      <c r="X437" s="316">
        <v>1</v>
      </c>
      <c r="Y437" s="316">
        <v>1</v>
      </c>
      <c r="Z437" s="316">
        <v>1</v>
      </c>
      <c r="AA437" s="316">
        <v>1</v>
      </c>
      <c r="AB437" s="316">
        <v>1</v>
      </c>
      <c r="AC437" s="316">
        <v>1</v>
      </c>
      <c r="AD437" s="316">
        <v>1</v>
      </c>
      <c r="AE437" s="316">
        <v>1</v>
      </c>
      <c r="AF437" s="316">
        <v>1</v>
      </c>
      <c r="AG437" s="316">
        <v>1</v>
      </c>
      <c r="AH437" s="316">
        <v>1</v>
      </c>
      <c r="AI437" s="316">
        <v>1</v>
      </c>
      <c r="AJ437" s="316">
        <v>1</v>
      </c>
      <c r="AK437" s="316">
        <v>1</v>
      </c>
      <c r="AL437" s="316">
        <v>1</v>
      </c>
      <c r="AM437" s="316">
        <v>1</v>
      </c>
      <c r="AN437" s="316">
        <v>1</v>
      </c>
      <c r="AO437" s="316">
        <v>1</v>
      </c>
      <c r="AP437" s="316">
        <v>1</v>
      </c>
      <c r="AQ437" s="316">
        <v>1</v>
      </c>
      <c r="AR437" s="316">
        <v>1</v>
      </c>
      <c r="AS437" s="316">
        <v>1</v>
      </c>
      <c r="AT437" s="316">
        <v>1</v>
      </c>
    </row>
    <row r="438" spans="2:46" ht="12.75" customHeight="1" x14ac:dyDescent="0.15">
      <c r="B438" s="315">
        <v>1230</v>
      </c>
      <c r="C438" s="313" t="s">
        <v>552</v>
      </c>
      <c r="D438" s="313" t="s">
        <v>1971</v>
      </c>
      <c r="E438" s="319" t="s">
        <v>1793</v>
      </c>
      <c r="F438" s="319" t="s">
        <v>1972</v>
      </c>
      <c r="G438" s="315" t="str">
        <f>_xlfn.XLOOKUP(B438,'WFP Details - 2026'!A:A,'WFP Details - 2026'!Z:Z)</f>
        <v>x</v>
      </c>
      <c r="H438" s="314">
        <v>45838</v>
      </c>
      <c r="I438" s="315">
        <v>6</v>
      </c>
      <c r="J438" s="315">
        <v>2025</v>
      </c>
      <c r="K438" s="316">
        <v>1</v>
      </c>
      <c r="L438" s="316">
        <v>1</v>
      </c>
      <c r="M438" s="316">
        <v>1</v>
      </c>
      <c r="N438" s="316">
        <v>1</v>
      </c>
      <c r="O438" s="316">
        <v>1</v>
      </c>
      <c r="P438" s="316">
        <v>1</v>
      </c>
      <c r="Q438" s="316">
        <v>1</v>
      </c>
      <c r="R438" s="316">
        <v>1</v>
      </c>
      <c r="S438" s="316">
        <v>1</v>
      </c>
      <c r="T438" s="316">
        <v>1</v>
      </c>
      <c r="U438" s="316">
        <v>1</v>
      </c>
      <c r="V438" s="316">
        <v>1</v>
      </c>
      <c r="W438" s="316">
        <v>1</v>
      </c>
      <c r="X438" s="316">
        <v>1</v>
      </c>
      <c r="Y438" s="316">
        <v>1</v>
      </c>
      <c r="Z438" s="316">
        <v>1</v>
      </c>
      <c r="AA438" s="316">
        <v>1</v>
      </c>
      <c r="AB438" s="316">
        <v>1</v>
      </c>
      <c r="AC438" s="316">
        <v>1</v>
      </c>
      <c r="AD438" s="316">
        <v>1</v>
      </c>
      <c r="AE438" s="316">
        <v>1</v>
      </c>
      <c r="AF438" s="316">
        <v>1</v>
      </c>
      <c r="AG438" s="316">
        <v>1</v>
      </c>
      <c r="AH438" s="316">
        <v>1</v>
      </c>
      <c r="AI438" s="316">
        <v>1</v>
      </c>
      <c r="AJ438" s="316">
        <v>1</v>
      </c>
      <c r="AK438" s="316">
        <v>1</v>
      </c>
      <c r="AL438" s="316">
        <v>1</v>
      </c>
      <c r="AM438" s="316">
        <v>1</v>
      </c>
      <c r="AN438" s="316">
        <v>1</v>
      </c>
      <c r="AO438" s="316">
        <v>1</v>
      </c>
      <c r="AP438" s="316">
        <v>1</v>
      </c>
      <c r="AQ438" s="316">
        <v>1</v>
      </c>
      <c r="AR438" s="316">
        <v>1</v>
      </c>
      <c r="AS438" s="316">
        <v>1</v>
      </c>
      <c r="AT438" s="316">
        <v>1</v>
      </c>
    </row>
    <row r="439" spans="2:46" ht="12.75" customHeight="1" x14ac:dyDescent="0.15">
      <c r="B439" s="315">
        <v>1232</v>
      </c>
      <c r="C439" s="313" t="s">
        <v>552</v>
      </c>
      <c r="D439" s="313" t="s">
        <v>1973</v>
      </c>
      <c r="E439" s="319" t="s">
        <v>1794</v>
      </c>
      <c r="F439" s="319" t="s">
        <v>1974</v>
      </c>
      <c r="G439" s="315" t="str">
        <f>_xlfn.XLOOKUP(B439,'WFP Details - 2026'!A:A,'WFP Details - 2026'!Z:Z)</f>
        <v>x</v>
      </c>
      <c r="H439" s="314">
        <v>45866</v>
      </c>
      <c r="I439" s="315">
        <v>7</v>
      </c>
      <c r="J439" s="315">
        <v>2025</v>
      </c>
      <c r="K439" s="316">
        <v>1</v>
      </c>
      <c r="L439" s="316">
        <v>1</v>
      </c>
      <c r="M439" s="316">
        <v>1</v>
      </c>
      <c r="N439" s="316">
        <v>1</v>
      </c>
      <c r="O439" s="316">
        <v>1</v>
      </c>
      <c r="P439" s="316">
        <v>1</v>
      </c>
      <c r="Q439" s="316">
        <v>1</v>
      </c>
      <c r="R439" s="316">
        <v>1</v>
      </c>
      <c r="S439" s="316">
        <v>1</v>
      </c>
      <c r="T439" s="316">
        <v>1</v>
      </c>
      <c r="U439" s="316">
        <v>1</v>
      </c>
      <c r="V439" s="316">
        <v>1</v>
      </c>
      <c r="W439" s="316">
        <v>1</v>
      </c>
      <c r="X439" s="316">
        <v>1</v>
      </c>
      <c r="Y439" s="316">
        <v>1</v>
      </c>
      <c r="Z439" s="316">
        <v>1</v>
      </c>
      <c r="AA439" s="316">
        <v>1</v>
      </c>
      <c r="AB439" s="316">
        <v>1</v>
      </c>
      <c r="AC439" s="316">
        <v>1</v>
      </c>
      <c r="AD439" s="316">
        <v>1</v>
      </c>
      <c r="AE439" s="316">
        <v>1</v>
      </c>
      <c r="AF439" s="316">
        <v>1</v>
      </c>
      <c r="AG439" s="316">
        <v>1</v>
      </c>
      <c r="AH439" s="316">
        <v>1</v>
      </c>
      <c r="AI439" s="316">
        <v>1</v>
      </c>
      <c r="AJ439" s="316">
        <v>1</v>
      </c>
      <c r="AK439" s="316">
        <v>1</v>
      </c>
      <c r="AL439" s="316">
        <v>1</v>
      </c>
      <c r="AM439" s="316">
        <v>1</v>
      </c>
      <c r="AN439" s="316">
        <v>1</v>
      </c>
      <c r="AO439" s="316">
        <v>1</v>
      </c>
      <c r="AP439" s="316">
        <v>1</v>
      </c>
      <c r="AQ439" s="316">
        <v>1</v>
      </c>
      <c r="AR439" s="316">
        <v>1</v>
      </c>
      <c r="AS439" s="316">
        <v>1</v>
      </c>
      <c r="AT439" s="316">
        <v>1</v>
      </c>
    </row>
    <row r="440" spans="2:46" ht="12.75" customHeight="1" x14ac:dyDescent="0.15">
      <c r="B440" s="315">
        <v>1231</v>
      </c>
      <c r="C440" s="313" t="s">
        <v>552</v>
      </c>
      <c r="D440" s="313" t="s">
        <v>1975</v>
      </c>
      <c r="E440" s="319" t="s">
        <v>1805</v>
      </c>
      <c r="F440" s="319" t="s">
        <v>582</v>
      </c>
      <c r="G440" s="315" t="str">
        <f>_xlfn.XLOOKUP(B440,'WFP Details - 2026'!A:A,'WFP Details - 2026'!Z:Z)</f>
        <v>x</v>
      </c>
      <c r="H440" s="314">
        <v>45922</v>
      </c>
      <c r="I440" s="315">
        <v>9</v>
      </c>
      <c r="J440" s="315">
        <v>2025</v>
      </c>
      <c r="K440" s="316">
        <v>1</v>
      </c>
      <c r="L440" s="316">
        <v>1</v>
      </c>
      <c r="M440" s="316">
        <v>1</v>
      </c>
      <c r="N440" s="316">
        <v>1</v>
      </c>
      <c r="O440" s="316">
        <v>1</v>
      </c>
      <c r="P440" s="316">
        <v>1</v>
      </c>
      <c r="Q440" s="316">
        <v>1</v>
      </c>
      <c r="R440" s="316">
        <v>1</v>
      </c>
      <c r="S440" s="316">
        <v>1</v>
      </c>
      <c r="T440" s="316">
        <v>1</v>
      </c>
      <c r="U440" s="316">
        <v>1</v>
      </c>
      <c r="V440" s="316">
        <v>1</v>
      </c>
      <c r="W440" s="316">
        <v>1</v>
      </c>
      <c r="X440" s="316">
        <v>1</v>
      </c>
      <c r="Y440" s="316">
        <v>1</v>
      </c>
      <c r="Z440" s="316">
        <v>1</v>
      </c>
      <c r="AA440" s="316">
        <v>1</v>
      </c>
      <c r="AB440" s="316">
        <v>1</v>
      </c>
      <c r="AC440" s="316">
        <v>1</v>
      </c>
      <c r="AD440" s="316">
        <v>1</v>
      </c>
      <c r="AE440" s="316">
        <v>1</v>
      </c>
      <c r="AF440" s="316">
        <v>1</v>
      </c>
      <c r="AG440" s="316">
        <v>1</v>
      </c>
      <c r="AH440" s="316">
        <v>1</v>
      </c>
      <c r="AI440" s="316">
        <v>1</v>
      </c>
      <c r="AJ440" s="316">
        <v>1</v>
      </c>
      <c r="AK440" s="316">
        <v>1</v>
      </c>
      <c r="AL440" s="316">
        <v>1</v>
      </c>
      <c r="AM440" s="316">
        <v>1</v>
      </c>
      <c r="AN440" s="316">
        <v>1</v>
      </c>
      <c r="AO440" s="316">
        <v>1</v>
      </c>
      <c r="AP440" s="316">
        <v>1</v>
      </c>
      <c r="AQ440" s="316">
        <v>1</v>
      </c>
      <c r="AR440" s="316">
        <v>1</v>
      </c>
      <c r="AS440" s="316">
        <v>1</v>
      </c>
      <c r="AT440" s="316">
        <v>1</v>
      </c>
    </row>
    <row r="441" spans="2:46" ht="12.75" customHeight="1" x14ac:dyDescent="0.15">
      <c r="B441" s="315">
        <v>1349</v>
      </c>
      <c r="C441" s="313" t="s">
        <v>552</v>
      </c>
      <c r="D441" s="313" t="s">
        <v>1976</v>
      </c>
      <c r="E441" s="319" t="s">
        <v>1793</v>
      </c>
      <c r="F441" s="319" t="s">
        <v>1243</v>
      </c>
      <c r="G441" s="315" t="str">
        <f>_xlfn.XLOOKUP(B441,'WFP Details - 2026'!A:A,'WFP Details - 2026'!Z:Z)</f>
        <v>x</v>
      </c>
      <c r="H441" s="314">
        <v>45971</v>
      </c>
      <c r="I441" s="315">
        <v>11</v>
      </c>
      <c r="J441" s="315">
        <v>2025</v>
      </c>
      <c r="K441" s="316">
        <v>1</v>
      </c>
      <c r="L441" s="316">
        <v>1</v>
      </c>
      <c r="M441" s="316">
        <v>1</v>
      </c>
      <c r="N441" s="316">
        <v>1</v>
      </c>
      <c r="O441" s="316">
        <v>1</v>
      </c>
      <c r="P441" s="316">
        <v>1</v>
      </c>
      <c r="Q441" s="316">
        <v>1</v>
      </c>
      <c r="R441" s="316">
        <v>1</v>
      </c>
      <c r="S441" s="316">
        <v>1</v>
      </c>
      <c r="T441" s="316">
        <v>1</v>
      </c>
      <c r="U441" s="316">
        <v>1</v>
      </c>
      <c r="V441" s="316">
        <v>1</v>
      </c>
      <c r="W441" s="316">
        <v>1</v>
      </c>
      <c r="X441" s="316">
        <v>1</v>
      </c>
      <c r="Y441" s="316">
        <v>1</v>
      </c>
      <c r="Z441" s="316">
        <v>1</v>
      </c>
      <c r="AA441" s="316">
        <v>1</v>
      </c>
      <c r="AB441" s="316">
        <v>1</v>
      </c>
      <c r="AC441" s="316">
        <v>1</v>
      </c>
      <c r="AD441" s="316">
        <v>1</v>
      </c>
      <c r="AE441" s="316">
        <v>1</v>
      </c>
      <c r="AF441" s="316">
        <v>1</v>
      </c>
      <c r="AG441" s="316">
        <v>1</v>
      </c>
      <c r="AH441" s="316">
        <v>1</v>
      </c>
      <c r="AI441" s="316">
        <v>1</v>
      </c>
      <c r="AJ441" s="316">
        <v>1</v>
      </c>
      <c r="AK441" s="316">
        <v>1</v>
      </c>
      <c r="AL441" s="316">
        <v>1</v>
      </c>
      <c r="AM441" s="316">
        <v>1</v>
      </c>
      <c r="AN441" s="316">
        <v>1</v>
      </c>
      <c r="AO441" s="316">
        <v>1</v>
      </c>
      <c r="AP441" s="316">
        <v>1</v>
      </c>
      <c r="AQ441" s="316">
        <v>1</v>
      </c>
      <c r="AR441" s="316">
        <v>1</v>
      </c>
      <c r="AS441" s="316">
        <v>1</v>
      </c>
      <c r="AT441" s="316">
        <v>1</v>
      </c>
    </row>
    <row r="442" spans="2:46" ht="12.75" customHeight="1" x14ac:dyDescent="0.15">
      <c r="B442" s="317">
        <v>5344</v>
      </c>
      <c r="C442" s="313" t="s">
        <v>552</v>
      </c>
      <c r="D442" s="313" t="s">
        <v>1977</v>
      </c>
      <c r="E442" s="319" t="s">
        <v>1792</v>
      </c>
      <c r="F442" s="319" t="s">
        <v>598</v>
      </c>
      <c r="G442" s="315" t="str">
        <f>_xlfn.XLOOKUP(B442,'WFP Details - 2026'!A:A,'WFP Details - 2026'!Z:Z)</f>
        <v>x</v>
      </c>
      <c r="H442" s="314">
        <v>46006</v>
      </c>
      <c r="I442" s="315">
        <v>12</v>
      </c>
      <c r="J442" s="315">
        <v>2025</v>
      </c>
      <c r="K442" s="316">
        <v>1</v>
      </c>
      <c r="L442" s="316">
        <v>1</v>
      </c>
      <c r="M442" s="316">
        <v>1</v>
      </c>
      <c r="N442" s="316">
        <v>1</v>
      </c>
      <c r="O442" s="316">
        <v>1</v>
      </c>
      <c r="P442" s="316">
        <v>1</v>
      </c>
      <c r="Q442" s="316">
        <v>1</v>
      </c>
      <c r="R442" s="316">
        <v>1</v>
      </c>
      <c r="S442" s="316">
        <v>1</v>
      </c>
      <c r="T442" s="316">
        <v>1</v>
      </c>
      <c r="U442" s="316">
        <v>1</v>
      </c>
      <c r="V442" s="316">
        <v>1</v>
      </c>
      <c r="W442" s="316">
        <v>1</v>
      </c>
      <c r="X442" s="316">
        <v>1</v>
      </c>
      <c r="Y442" s="316">
        <v>1</v>
      </c>
      <c r="Z442" s="316">
        <v>1</v>
      </c>
      <c r="AA442" s="316">
        <v>1</v>
      </c>
      <c r="AB442" s="316">
        <v>1</v>
      </c>
      <c r="AC442" s="316">
        <v>1</v>
      </c>
      <c r="AD442" s="316">
        <v>1</v>
      </c>
      <c r="AE442" s="316">
        <v>1</v>
      </c>
      <c r="AF442" s="316">
        <v>1</v>
      </c>
      <c r="AG442" s="316">
        <v>1</v>
      </c>
      <c r="AH442" s="316">
        <v>1</v>
      </c>
      <c r="AI442" s="316">
        <v>1</v>
      </c>
      <c r="AJ442" s="316">
        <v>1</v>
      </c>
      <c r="AK442" s="316">
        <v>1</v>
      </c>
      <c r="AL442" s="316">
        <v>1</v>
      </c>
      <c r="AM442" s="316">
        <v>1</v>
      </c>
      <c r="AN442" s="316">
        <v>1</v>
      </c>
      <c r="AO442" s="316">
        <v>1</v>
      </c>
      <c r="AP442" s="316">
        <v>1</v>
      </c>
      <c r="AQ442" s="316">
        <v>1</v>
      </c>
      <c r="AR442" s="316">
        <v>1</v>
      </c>
      <c r="AS442" s="316">
        <v>1</v>
      </c>
      <c r="AT442" s="316">
        <v>1</v>
      </c>
    </row>
    <row r="443" spans="2:46" ht="12.75" customHeight="1" x14ac:dyDescent="0.15">
      <c r="B443" s="315">
        <v>5179</v>
      </c>
      <c r="C443" s="313" t="s">
        <v>552</v>
      </c>
      <c r="D443" s="313" t="s">
        <v>101</v>
      </c>
      <c r="E443" s="319" t="s">
        <v>1794</v>
      </c>
      <c r="F443" s="319" t="s">
        <v>574</v>
      </c>
      <c r="G443" s="315" t="str">
        <f>_xlfn.XLOOKUP(B443,'WFP Details - 2026'!A:A,'WFP Details - 2026'!Z:Z)</f>
        <v>x</v>
      </c>
      <c r="H443" s="314">
        <v>46096</v>
      </c>
      <c r="I443" s="315">
        <v>3</v>
      </c>
      <c r="J443" s="315">
        <v>2026</v>
      </c>
      <c r="K443" s="316">
        <v>0</v>
      </c>
      <c r="L443" s="316">
        <v>0</v>
      </c>
      <c r="M443" s="316">
        <v>1</v>
      </c>
      <c r="N443" s="316">
        <v>1</v>
      </c>
      <c r="O443" s="316">
        <v>1</v>
      </c>
      <c r="P443" s="316">
        <v>1</v>
      </c>
      <c r="Q443" s="316">
        <v>1</v>
      </c>
      <c r="R443" s="316">
        <v>1</v>
      </c>
      <c r="S443" s="316">
        <v>1</v>
      </c>
      <c r="T443" s="316">
        <v>1</v>
      </c>
      <c r="U443" s="316">
        <v>1</v>
      </c>
      <c r="V443" s="316">
        <v>1</v>
      </c>
      <c r="W443" s="316">
        <v>1</v>
      </c>
      <c r="X443" s="316">
        <v>1</v>
      </c>
      <c r="Y443" s="316">
        <v>1</v>
      </c>
      <c r="Z443" s="316">
        <v>1</v>
      </c>
      <c r="AA443" s="316">
        <v>1</v>
      </c>
      <c r="AB443" s="316">
        <v>1</v>
      </c>
      <c r="AC443" s="316">
        <v>1</v>
      </c>
      <c r="AD443" s="316">
        <v>1</v>
      </c>
      <c r="AE443" s="316">
        <v>1</v>
      </c>
      <c r="AF443" s="316">
        <v>1</v>
      </c>
      <c r="AG443" s="316">
        <v>1</v>
      </c>
      <c r="AH443" s="316">
        <v>1</v>
      </c>
      <c r="AI443" s="316">
        <v>1</v>
      </c>
      <c r="AJ443" s="316">
        <v>1</v>
      </c>
      <c r="AK443" s="316">
        <v>1</v>
      </c>
      <c r="AL443" s="316">
        <v>1</v>
      </c>
      <c r="AM443" s="316">
        <v>1</v>
      </c>
      <c r="AN443" s="316">
        <v>1</v>
      </c>
      <c r="AO443" s="316">
        <v>1</v>
      </c>
      <c r="AP443" s="316">
        <v>1</v>
      </c>
      <c r="AQ443" s="316">
        <v>1</v>
      </c>
      <c r="AR443" s="316">
        <v>1</v>
      </c>
      <c r="AS443" s="316">
        <v>1</v>
      </c>
      <c r="AT443" s="316">
        <v>1</v>
      </c>
    </row>
    <row r="444" spans="2:46" ht="12.75" customHeight="1" x14ac:dyDescent="0.15">
      <c r="B444" s="315">
        <v>5180</v>
      </c>
      <c r="C444" s="313" t="s">
        <v>552</v>
      </c>
      <c r="D444" s="313" t="s">
        <v>101</v>
      </c>
      <c r="E444" s="319" t="s">
        <v>1792</v>
      </c>
      <c r="F444" s="319" t="s">
        <v>604</v>
      </c>
      <c r="G444" s="315" t="str">
        <f>_xlfn.XLOOKUP(B444,'WFP Details - 2026'!A:A,'WFP Details - 2026'!Z:Z)</f>
        <v>x</v>
      </c>
      <c r="H444" s="314">
        <v>46096</v>
      </c>
      <c r="I444" s="315">
        <v>3</v>
      </c>
      <c r="J444" s="315">
        <v>2026</v>
      </c>
      <c r="K444" s="316">
        <v>0</v>
      </c>
      <c r="L444" s="316">
        <v>0</v>
      </c>
      <c r="M444" s="316">
        <v>1</v>
      </c>
      <c r="N444" s="316">
        <v>1</v>
      </c>
      <c r="O444" s="316">
        <v>1</v>
      </c>
      <c r="P444" s="316">
        <v>1</v>
      </c>
      <c r="Q444" s="316">
        <v>1</v>
      </c>
      <c r="R444" s="316">
        <v>1</v>
      </c>
      <c r="S444" s="316">
        <v>1</v>
      </c>
      <c r="T444" s="316">
        <v>1</v>
      </c>
      <c r="U444" s="316">
        <v>1</v>
      </c>
      <c r="V444" s="316">
        <v>1</v>
      </c>
      <c r="W444" s="316">
        <v>1</v>
      </c>
      <c r="X444" s="316">
        <v>1</v>
      </c>
      <c r="Y444" s="316">
        <v>1</v>
      </c>
      <c r="Z444" s="316">
        <v>1</v>
      </c>
      <c r="AA444" s="316">
        <v>1</v>
      </c>
      <c r="AB444" s="316">
        <v>1</v>
      </c>
      <c r="AC444" s="316">
        <v>1</v>
      </c>
      <c r="AD444" s="316">
        <v>1</v>
      </c>
      <c r="AE444" s="316">
        <v>1</v>
      </c>
      <c r="AF444" s="316">
        <v>1</v>
      </c>
      <c r="AG444" s="316">
        <v>1</v>
      </c>
      <c r="AH444" s="316">
        <v>1</v>
      </c>
      <c r="AI444" s="316">
        <v>1</v>
      </c>
      <c r="AJ444" s="316">
        <v>1</v>
      </c>
      <c r="AK444" s="316">
        <v>1</v>
      </c>
      <c r="AL444" s="316">
        <v>1</v>
      </c>
      <c r="AM444" s="316">
        <v>1</v>
      </c>
      <c r="AN444" s="316">
        <v>1</v>
      </c>
      <c r="AO444" s="316">
        <v>1</v>
      </c>
      <c r="AP444" s="316">
        <v>1</v>
      </c>
      <c r="AQ444" s="316">
        <v>1</v>
      </c>
      <c r="AR444" s="316">
        <v>1</v>
      </c>
      <c r="AS444" s="316">
        <v>1</v>
      </c>
      <c r="AT444" s="316">
        <v>1</v>
      </c>
    </row>
    <row r="445" spans="2:46" ht="12.75" customHeight="1" x14ac:dyDescent="0.15">
      <c r="B445" s="315">
        <v>5340</v>
      </c>
      <c r="C445" s="313" t="s">
        <v>552</v>
      </c>
      <c r="D445" s="313" t="s">
        <v>101</v>
      </c>
      <c r="E445" s="319" t="s">
        <v>1794</v>
      </c>
      <c r="F445" s="319" t="s">
        <v>582</v>
      </c>
      <c r="G445" s="315" t="str">
        <f>_xlfn.XLOOKUP(B445,'WFP Details - 2026'!A:A,'WFP Details - 2026'!Z:Z)</f>
        <v>x</v>
      </c>
      <c r="H445" s="314">
        <v>46280</v>
      </c>
      <c r="I445" s="315">
        <v>9</v>
      </c>
      <c r="J445" s="315">
        <v>2026</v>
      </c>
      <c r="K445" s="316">
        <v>0</v>
      </c>
      <c r="L445" s="316">
        <v>0</v>
      </c>
      <c r="M445" s="316">
        <v>0</v>
      </c>
      <c r="N445" s="316">
        <v>0</v>
      </c>
      <c r="O445" s="316">
        <v>0</v>
      </c>
      <c r="P445" s="316">
        <v>0</v>
      </c>
      <c r="Q445" s="316">
        <v>0</v>
      </c>
      <c r="R445" s="316">
        <v>0</v>
      </c>
      <c r="S445" s="316">
        <v>1</v>
      </c>
      <c r="T445" s="316">
        <v>1</v>
      </c>
      <c r="U445" s="316">
        <v>1</v>
      </c>
      <c r="V445" s="316">
        <v>1</v>
      </c>
      <c r="W445" s="316">
        <v>1</v>
      </c>
      <c r="X445" s="316">
        <v>1</v>
      </c>
      <c r="Y445" s="316">
        <v>1</v>
      </c>
      <c r="Z445" s="316">
        <v>1</v>
      </c>
      <c r="AA445" s="316">
        <v>1</v>
      </c>
      <c r="AB445" s="316">
        <v>1</v>
      </c>
      <c r="AC445" s="316">
        <v>1</v>
      </c>
      <c r="AD445" s="316">
        <v>1</v>
      </c>
      <c r="AE445" s="316">
        <v>1</v>
      </c>
      <c r="AF445" s="316">
        <v>1</v>
      </c>
      <c r="AG445" s="316">
        <v>1</v>
      </c>
      <c r="AH445" s="316">
        <v>1</v>
      </c>
      <c r="AI445" s="316">
        <v>1</v>
      </c>
      <c r="AJ445" s="316">
        <v>1</v>
      </c>
      <c r="AK445" s="316">
        <v>1</v>
      </c>
      <c r="AL445" s="316">
        <v>1</v>
      </c>
      <c r="AM445" s="316">
        <v>1</v>
      </c>
      <c r="AN445" s="316">
        <v>1</v>
      </c>
      <c r="AO445" s="316">
        <v>1</v>
      </c>
      <c r="AP445" s="316">
        <v>1</v>
      </c>
      <c r="AQ445" s="316">
        <v>1</v>
      </c>
      <c r="AR445" s="316">
        <v>1</v>
      </c>
      <c r="AS445" s="316">
        <v>1</v>
      </c>
      <c r="AT445" s="316">
        <v>1</v>
      </c>
    </row>
    <row r="446" spans="2:46" ht="12.75" hidden="1" customHeight="1" x14ac:dyDescent="0.15">
      <c r="B446" s="318">
        <v>5342</v>
      </c>
      <c r="C446" s="313" t="s">
        <v>552</v>
      </c>
      <c r="D446" s="313" t="s">
        <v>101</v>
      </c>
      <c r="E446" s="313" t="s">
        <v>1801</v>
      </c>
      <c r="F446" s="313" t="s">
        <v>1240</v>
      </c>
      <c r="G446" s="315" t="e">
        <f>_xlfn.XLOOKUP(B446,'WFP Details - 2026'!A:A,'WFP Details - 2026'!Z:Z)</f>
        <v>#N/A</v>
      </c>
      <c r="H446" s="314">
        <v>46461</v>
      </c>
      <c r="I446" s="315">
        <v>3</v>
      </c>
      <c r="J446" s="315">
        <v>2027</v>
      </c>
      <c r="K446" s="316">
        <v>0</v>
      </c>
      <c r="L446" s="316">
        <v>0</v>
      </c>
      <c r="M446" s="316">
        <v>0</v>
      </c>
      <c r="N446" s="316">
        <v>0</v>
      </c>
      <c r="O446" s="316">
        <v>0</v>
      </c>
      <c r="P446" s="316">
        <v>0</v>
      </c>
      <c r="Q446" s="316">
        <v>0</v>
      </c>
      <c r="R446" s="316">
        <v>0</v>
      </c>
      <c r="S446" s="316">
        <v>0</v>
      </c>
      <c r="T446" s="316">
        <v>0</v>
      </c>
      <c r="U446" s="316">
        <v>0</v>
      </c>
      <c r="V446" s="316">
        <v>0</v>
      </c>
      <c r="W446" s="316">
        <v>0</v>
      </c>
      <c r="X446" s="316">
        <v>0</v>
      </c>
      <c r="Y446" s="316">
        <v>1</v>
      </c>
      <c r="Z446" s="316">
        <v>1</v>
      </c>
      <c r="AA446" s="316">
        <v>1</v>
      </c>
      <c r="AB446" s="316">
        <v>1</v>
      </c>
      <c r="AC446" s="316">
        <v>1</v>
      </c>
      <c r="AD446" s="316">
        <v>1</v>
      </c>
      <c r="AE446" s="316">
        <v>1</v>
      </c>
      <c r="AF446" s="316">
        <v>1</v>
      </c>
      <c r="AG446" s="316">
        <v>1</v>
      </c>
      <c r="AH446" s="316">
        <v>1</v>
      </c>
      <c r="AI446" s="316">
        <v>1</v>
      </c>
      <c r="AJ446" s="316">
        <v>1</v>
      </c>
      <c r="AK446" s="316">
        <v>1</v>
      </c>
      <c r="AL446" s="316">
        <v>1</v>
      </c>
      <c r="AM446" s="316">
        <v>1</v>
      </c>
      <c r="AN446" s="316">
        <v>1</v>
      </c>
      <c r="AO446" s="316">
        <v>1</v>
      </c>
      <c r="AP446" s="316">
        <v>1</v>
      </c>
      <c r="AQ446" s="316">
        <v>1</v>
      </c>
      <c r="AR446" s="316">
        <v>1</v>
      </c>
      <c r="AS446" s="316">
        <v>1</v>
      </c>
      <c r="AT446" s="316">
        <v>1</v>
      </c>
    </row>
    <row r="447" spans="2:46" ht="12.75" hidden="1" customHeight="1" x14ac:dyDescent="0.15">
      <c r="B447" s="318">
        <v>5341</v>
      </c>
      <c r="C447" s="313" t="s">
        <v>552</v>
      </c>
      <c r="D447" s="313" t="s">
        <v>101</v>
      </c>
      <c r="E447" s="313" t="s">
        <v>1794</v>
      </c>
      <c r="F447" s="313" t="s">
        <v>1243</v>
      </c>
      <c r="G447" s="315" t="e">
        <f>_xlfn.XLOOKUP(B447,'WFP Details - 2026'!A:A,'WFP Details - 2026'!Z:Z)</f>
        <v>#N/A</v>
      </c>
      <c r="H447" s="314">
        <v>46461</v>
      </c>
      <c r="I447" s="315">
        <v>3</v>
      </c>
      <c r="J447" s="315">
        <v>2027</v>
      </c>
      <c r="K447" s="316">
        <v>0</v>
      </c>
      <c r="L447" s="316">
        <v>0</v>
      </c>
      <c r="M447" s="316">
        <v>0</v>
      </c>
      <c r="N447" s="316">
        <v>0</v>
      </c>
      <c r="O447" s="316">
        <v>0</v>
      </c>
      <c r="P447" s="316">
        <v>0</v>
      </c>
      <c r="Q447" s="316">
        <v>0</v>
      </c>
      <c r="R447" s="316">
        <v>0</v>
      </c>
      <c r="S447" s="316">
        <v>0</v>
      </c>
      <c r="T447" s="316">
        <v>0</v>
      </c>
      <c r="U447" s="316">
        <v>0</v>
      </c>
      <c r="V447" s="316">
        <v>0</v>
      </c>
      <c r="W447" s="316">
        <v>0</v>
      </c>
      <c r="X447" s="316">
        <v>0</v>
      </c>
      <c r="Y447" s="316">
        <v>1</v>
      </c>
      <c r="Z447" s="316">
        <v>1</v>
      </c>
      <c r="AA447" s="316">
        <v>1</v>
      </c>
      <c r="AB447" s="316">
        <v>1</v>
      </c>
      <c r="AC447" s="316">
        <v>1</v>
      </c>
      <c r="AD447" s="316">
        <v>1</v>
      </c>
      <c r="AE447" s="316">
        <v>1</v>
      </c>
      <c r="AF447" s="316">
        <v>1</v>
      </c>
      <c r="AG447" s="316">
        <v>1</v>
      </c>
      <c r="AH447" s="316">
        <v>1</v>
      </c>
      <c r="AI447" s="316">
        <v>1</v>
      </c>
      <c r="AJ447" s="316">
        <v>1</v>
      </c>
      <c r="AK447" s="316">
        <v>1</v>
      </c>
      <c r="AL447" s="316">
        <v>1</v>
      </c>
      <c r="AM447" s="316">
        <v>1</v>
      </c>
      <c r="AN447" s="316">
        <v>1</v>
      </c>
      <c r="AO447" s="316">
        <v>1</v>
      </c>
      <c r="AP447" s="316">
        <v>1</v>
      </c>
      <c r="AQ447" s="316">
        <v>1</v>
      </c>
      <c r="AR447" s="316">
        <v>1</v>
      </c>
      <c r="AS447" s="316">
        <v>1</v>
      </c>
      <c r="AT447" s="316">
        <v>1</v>
      </c>
    </row>
    <row r="448" spans="2:46" ht="12.75" hidden="1" customHeight="1" x14ac:dyDescent="0.15">
      <c r="B448" s="318">
        <v>5181</v>
      </c>
      <c r="C448" s="313" t="s">
        <v>552</v>
      </c>
      <c r="D448" s="313" t="s">
        <v>101</v>
      </c>
      <c r="E448" s="313" t="s">
        <v>1805</v>
      </c>
      <c r="F448" s="313" t="s">
        <v>1245</v>
      </c>
      <c r="G448" s="315" t="e">
        <f>_xlfn.XLOOKUP(B448,'WFP Details - 2026'!A:A,'WFP Details - 2026'!Z:Z)</f>
        <v>#N/A</v>
      </c>
      <c r="H448" s="314">
        <v>46553</v>
      </c>
      <c r="I448" s="315">
        <v>6</v>
      </c>
      <c r="J448" s="315">
        <v>2027</v>
      </c>
      <c r="K448" s="316">
        <v>0</v>
      </c>
      <c r="L448" s="316">
        <v>0</v>
      </c>
      <c r="M448" s="316">
        <v>0</v>
      </c>
      <c r="N448" s="316">
        <v>0</v>
      </c>
      <c r="O448" s="316">
        <v>0</v>
      </c>
      <c r="P448" s="316">
        <v>0</v>
      </c>
      <c r="Q448" s="316">
        <v>0</v>
      </c>
      <c r="R448" s="316">
        <v>0</v>
      </c>
      <c r="S448" s="316">
        <v>0</v>
      </c>
      <c r="T448" s="316">
        <v>0</v>
      </c>
      <c r="U448" s="316">
        <v>0</v>
      </c>
      <c r="V448" s="316">
        <v>0</v>
      </c>
      <c r="W448" s="316">
        <v>0</v>
      </c>
      <c r="X448" s="316">
        <v>0</v>
      </c>
      <c r="Y448" s="316">
        <v>0</v>
      </c>
      <c r="Z448" s="316">
        <v>0</v>
      </c>
      <c r="AA448" s="316">
        <v>0</v>
      </c>
      <c r="AB448" s="316">
        <v>1</v>
      </c>
      <c r="AC448" s="316">
        <v>1</v>
      </c>
      <c r="AD448" s="316">
        <v>1</v>
      </c>
      <c r="AE448" s="316">
        <v>1</v>
      </c>
      <c r="AF448" s="316">
        <v>1</v>
      </c>
      <c r="AG448" s="316">
        <v>1</v>
      </c>
      <c r="AH448" s="316">
        <v>1</v>
      </c>
      <c r="AI448" s="316">
        <v>1</v>
      </c>
      <c r="AJ448" s="316">
        <v>1</v>
      </c>
      <c r="AK448" s="316">
        <v>1</v>
      </c>
      <c r="AL448" s="316">
        <v>1</v>
      </c>
      <c r="AM448" s="316">
        <v>1</v>
      </c>
      <c r="AN448" s="316">
        <v>1</v>
      </c>
      <c r="AO448" s="316">
        <v>1</v>
      </c>
      <c r="AP448" s="316">
        <v>1</v>
      </c>
      <c r="AQ448" s="316">
        <v>1</v>
      </c>
      <c r="AR448" s="316">
        <v>1</v>
      </c>
      <c r="AS448" s="316">
        <v>1</v>
      </c>
      <c r="AT448" s="316">
        <v>1</v>
      </c>
    </row>
    <row r="449" spans="2:46" ht="12.75" hidden="1" customHeight="1" x14ac:dyDescent="0.15">
      <c r="B449" s="318">
        <v>5343</v>
      </c>
      <c r="C449" s="313" t="s">
        <v>552</v>
      </c>
      <c r="D449" s="313" t="s">
        <v>101</v>
      </c>
      <c r="E449" s="313" t="s">
        <v>1801</v>
      </c>
      <c r="F449" s="313" t="s">
        <v>1240</v>
      </c>
      <c r="G449" s="315" t="e">
        <f>_xlfn.XLOOKUP(B449,'WFP Details - 2026'!A:A,'WFP Details - 2026'!Z:Z)</f>
        <v>#N/A</v>
      </c>
      <c r="H449" s="314">
        <v>46553</v>
      </c>
      <c r="I449" s="315">
        <v>6</v>
      </c>
      <c r="J449" s="315">
        <v>2027</v>
      </c>
      <c r="K449" s="316">
        <v>0</v>
      </c>
      <c r="L449" s="316">
        <v>0</v>
      </c>
      <c r="M449" s="316">
        <v>0</v>
      </c>
      <c r="N449" s="316">
        <v>0</v>
      </c>
      <c r="O449" s="316">
        <v>0</v>
      </c>
      <c r="P449" s="316">
        <v>0</v>
      </c>
      <c r="Q449" s="316">
        <v>0</v>
      </c>
      <c r="R449" s="316">
        <v>0</v>
      </c>
      <c r="S449" s="316">
        <v>0</v>
      </c>
      <c r="T449" s="316">
        <v>0</v>
      </c>
      <c r="U449" s="316">
        <v>0</v>
      </c>
      <c r="V449" s="316">
        <v>0</v>
      </c>
      <c r="W449" s="316">
        <v>0</v>
      </c>
      <c r="X449" s="316">
        <v>0</v>
      </c>
      <c r="Y449" s="316">
        <v>0</v>
      </c>
      <c r="Z449" s="316">
        <v>0</v>
      </c>
      <c r="AA449" s="316">
        <v>0</v>
      </c>
      <c r="AB449" s="316">
        <v>1</v>
      </c>
      <c r="AC449" s="316">
        <v>1</v>
      </c>
      <c r="AD449" s="316">
        <v>1</v>
      </c>
      <c r="AE449" s="316">
        <v>1</v>
      </c>
      <c r="AF449" s="316">
        <v>1</v>
      </c>
      <c r="AG449" s="316">
        <v>1</v>
      </c>
      <c r="AH449" s="316">
        <v>1</v>
      </c>
      <c r="AI449" s="316">
        <v>1</v>
      </c>
      <c r="AJ449" s="316">
        <v>1</v>
      </c>
      <c r="AK449" s="316">
        <v>1</v>
      </c>
      <c r="AL449" s="316">
        <v>1</v>
      </c>
      <c r="AM449" s="316">
        <v>1</v>
      </c>
      <c r="AN449" s="316">
        <v>1</v>
      </c>
      <c r="AO449" s="316">
        <v>1</v>
      </c>
      <c r="AP449" s="316">
        <v>1</v>
      </c>
      <c r="AQ449" s="316">
        <v>1</v>
      </c>
      <c r="AR449" s="316">
        <v>1</v>
      </c>
      <c r="AS449" s="316">
        <v>1</v>
      </c>
      <c r="AT449" s="316">
        <v>1</v>
      </c>
    </row>
    <row r="450" spans="2:46" ht="12.75" hidden="1" customHeight="1" x14ac:dyDescent="0.15">
      <c r="B450" s="318">
        <v>5182</v>
      </c>
      <c r="C450" s="313" t="s">
        <v>552</v>
      </c>
      <c r="D450" s="313" t="s">
        <v>101</v>
      </c>
      <c r="E450" s="313" t="s">
        <v>1805</v>
      </c>
      <c r="F450" s="313" t="s">
        <v>1249</v>
      </c>
      <c r="G450" s="315" t="e">
        <f>_xlfn.XLOOKUP(B450,'WFP Details - 2026'!A:A,'WFP Details - 2026'!Z:Z)</f>
        <v>#N/A</v>
      </c>
      <c r="H450" s="314">
        <v>46645</v>
      </c>
      <c r="I450" s="315">
        <v>9</v>
      </c>
      <c r="J450" s="315">
        <v>2027</v>
      </c>
      <c r="K450" s="316">
        <v>0</v>
      </c>
      <c r="L450" s="316">
        <v>0</v>
      </c>
      <c r="M450" s="316">
        <v>0</v>
      </c>
      <c r="N450" s="316">
        <v>0</v>
      </c>
      <c r="O450" s="316">
        <v>0</v>
      </c>
      <c r="P450" s="316">
        <v>0</v>
      </c>
      <c r="Q450" s="316">
        <v>0</v>
      </c>
      <c r="R450" s="316">
        <v>0</v>
      </c>
      <c r="S450" s="316">
        <v>0</v>
      </c>
      <c r="T450" s="316">
        <v>0</v>
      </c>
      <c r="U450" s="316">
        <v>0</v>
      </c>
      <c r="V450" s="316">
        <v>0</v>
      </c>
      <c r="W450" s="316">
        <v>0</v>
      </c>
      <c r="X450" s="316">
        <v>0</v>
      </c>
      <c r="Y450" s="316">
        <v>0</v>
      </c>
      <c r="Z450" s="316">
        <v>0</v>
      </c>
      <c r="AA450" s="316">
        <v>0</v>
      </c>
      <c r="AB450" s="316">
        <v>0</v>
      </c>
      <c r="AC450" s="316">
        <v>0</v>
      </c>
      <c r="AD450" s="316">
        <v>0</v>
      </c>
      <c r="AE450" s="316">
        <v>1</v>
      </c>
      <c r="AF450" s="316">
        <v>1</v>
      </c>
      <c r="AG450" s="316">
        <v>1</v>
      </c>
      <c r="AH450" s="316">
        <v>1</v>
      </c>
      <c r="AI450" s="316">
        <v>1</v>
      </c>
      <c r="AJ450" s="316">
        <v>1</v>
      </c>
      <c r="AK450" s="316">
        <v>1</v>
      </c>
      <c r="AL450" s="316">
        <v>1</v>
      </c>
      <c r="AM450" s="316">
        <v>1</v>
      </c>
      <c r="AN450" s="316">
        <v>1</v>
      </c>
      <c r="AO450" s="316">
        <v>1</v>
      </c>
      <c r="AP450" s="316">
        <v>1</v>
      </c>
      <c r="AQ450" s="316">
        <v>1</v>
      </c>
      <c r="AR450" s="316">
        <v>1</v>
      </c>
      <c r="AS450" s="316">
        <v>1</v>
      </c>
      <c r="AT450" s="316">
        <v>1</v>
      </c>
    </row>
    <row r="451" spans="2:46" ht="12.75" hidden="1" customHeight="1" x14ac:dyDescent="0.15">
      <c r="B451" s="318">
        <v>5183</v>
      </c>
      <c r="C451" s="313" t="s">
        <v>552</v>
      </c>
      <c r="D451" s="313" t="s">
        <v>101</v>
      </c>
      <c r="E451" s="313" t="s">
        <v>1805</v>
      </c>
      <c r="F451" s="313" t="s">
        <v>1251</v>
      </c>
      <c r="G451" s="315" t="e">
        <f>_xlfn.XLOOKUP(B451,'WFP Details - 2026'!A:A,'WFP Details - 2026'!Z:Z)</f>
        <v>#N/A</v>
      </c>
      <c r="H451" s="314">
        <v>46919</v>
      </c>
      <c r="I451" s="315">
        <v>6</v>
      </c>
      <c r="J451" s="315">
        <v>2028</v>
      </c>
      <c r="K451" s="316">
        <v>0</v>
      </c>
      <c r="L451" s="316">
        <v>0</v>
      </c>
      <c r="M451" s="316">
        <v>0</v>
      </c>
      <c r="N451" s="316">
        <v>0</v>
      </c>
      <c r="O451" s="316">
        <v>0</v>
      </c>
      <c r="P451" s="316">
        <v>0</v>
      </c>
      <c r="Q451" s="316">
        <v>0</v>
      </c>
      <c r="R451" s="316">
        <v>0</v>
      </c>
      <c r="S451" s="316">
        <v>0</v>
      </c>
      <c r="T451" s="316">
        <v>0</v>
      </c>
      <c r="U451" s="316">
        <v>0</v>
      </c>
      <c r="V451" s="316">
        <v>0</v>
      </c>
      <c r="W451" s="316">
        <v>0</v>
      </c>
      <c r="X451" s="316">
        <v>0</v>
      </c>
      <c r="Y451" s="316">
        <v>0</v>
      </c>
      <c r="Z451" s="316">
        <v>0</v>
      </c>
      <c r="AA451" s="316">
        <v>0</v>
      </c>
      <c r="AB451" s="316">
        <v>0</v>
      </c>
      <c r="AC451" s="316">
        <v>0</v>
      </c>
      <c r="AD451" s="316">
        <v>0</v>
      </c>
      <c r="AE451" s="316">
        <v>0</v>
      </c>
      <c r="AF451" s="316">
        <v>0</v>
      </c>
      <c r="AG451" s="316">
        <v>0</v>
      </c>
      <c r="AH451" s="316">
        <v>0</v>
      </c>
      <c r="AI451" s="316">
        <v>0</v>
      </c>
      <c r="AJ451" s="316">
        <v>0</v>
      </c>
      <c r="AK451" s="316">
        <v>0</v>
      </c>
      <c r="AL451" s="316">
        <v>0</v>
      </c>
      <c r="AM451" s="316">
        <v>0</v>
      </c>
      <c r="AN451" s="316">
        <v>1</v>
      </c>
      <c r="AO451" s="316">
        <v>1</v>
      </c>
      <c r="AP451" s="316">
        <v>1</v>
      </c>
      <c r="AQ451" s="316">
        <v>1</v>
      </c>
      <c r="AR451" s="316">
        <v>1</v>
      </c>
      <c r="AS451" s="316">
        <v>1</v>
      </c>
      <c r="AT451" s="316">
        <v>1</v>
      </c>
    </row>
    <row r="452" spans="2:46" ht="12.75" customHeight="1" x14ac:dyDescent="0.15">
      <c r="B452" s="315">
        <v>1227</v>
      </c>
      <c r="C452" s="313" t="s">
        <v>584</v>
      </c>
      <c r="D452" s="313" t="s">
        <v>547</v>
      </c>
      <c r="E452" s="319" t="s">
        <v>1810</v>
      </c>
      <c r="F452" s="319" t="s">
        <v>585</v>
      </c>
      <c r="G452" s="315" t="str">
        <f>_xlfn.XLOOKUP(B452,'WFP Details - 2026'!A:A,'WFP Details - 2026'!Z:Z)</f>
        <v>x</v>
      </c>
      <c r="H452" s="314">
        <v>45614</v>
      </c>
      <c r="I452" s="315">
        <v>11</v>
      </c>
      <c r="J452" s="315">
        <v>2024</v>
      </c>
      <c r="K452" s="316">
        <v>1</v>
      </c>
      <c r="L452" s="316">
        <v>1</v>
      </c>
      <c r="M452" s="316">
        <v>1</v>
      </c>
      <c r="N452" s="316">
        <v>1</v>
      </c>
      <c r="O452" s="316">
        <v>1</v>
      </c>
      <c r="P452" s="316">
        <v>1</v>
      </c>
      <c r="Q452" s="316">
        <v>1</v>
      </c>
      <c r="R452" s="316">
        <v>1</v>
      </c>
      <c r="S452" s="316">
        <v>1</v>
      </c>
      <c r="T452" s="316">
        <v>1</v>
      </c>
      <c r="U452" s="316">
        <v>1</v>
      </c>
      <c r="V452" s="316">
        <v>1</v>
      </c>
      <c r="W452" s="316">
        <v>1</v>
      </c>
      <c r="X452" s="316">
        <v>1</v>
      </c>
      <c r="Y452" s="316">
        <v>1</v>
      </c>
      <c r="Z452" s="316">
        <v>1</v>
      </c>
      <c r="AA452" s="316">
        <v>1</v>
      </c>
      <c r="AB452" s="316">
        <v>1</v>
      </c>
      <c r="AC452" s="316">
        <v>1</v>
      </c>
      <c r="AD452" s="316">
        <v>1</v>
      </c>
      <c r="AE452" s="316">
        <v>1</v>
      </c>
      <c r="AF452" s="316">
        <v>1</v>
      </c>
      <c r="AG452" s="316">
        <v>1</v>
      </c>
      <c r="AH452" s="316">
        <v>1</v>
      </c>
      <c r="AI452" s="316">
        <v>1</v>
      </c>
      <c r="AJ452" s="316">
        <v>1</v>
      </c>
      <c r="AK452" s="316">
        <v>1</v>
      </c>
      <c r="AL452" s="316">
        <v>1</v>
      </c>
      <c r="AM452" s="316">
        <v>1</v>
      </c>
      <c r="AN452" s="316">
        <v>1</v>
      </c>
      <c r="AO452" s="316">
        <v>1</v>
      </c>
      <c r="AP452" s="316">
        <v>1</v>
      </c>
      <c r="AQ452" s="316">
        <v>1</v>
      </c>
      <c r="AR452" s="316">
        <v>1</v>
      </c>
      <c r="AS452" s="316">
        <v>1</v>
      </c>
      <c r="AT452" s="316">
        <v>1</v>
      </c>
    </row>
    <row r="453" spans="2:46" ht="12.75" customHeight="1" x14ac:dyDescent="0.15">
      <c r="B453" s="315">
        <v>1224</v>
      </c>
      <c r="C453" s="313" t="s">
        <v>584</v>
      </c>
      <c r="D453" s="313" t="s">
        <v>1978</v>
      </c>
      <c r="E453" s="319" t="s">
        <v>1805</v>
      </c>
      <c r="F453" s="319" t="s">
        <v>1979</v>
      </c>
      <c r="G453" s="315" t="str">
        <f>_xlfn.XLOOKUP(B453,'WFP Details - 2026'!A:A,'WFP Details - 2026'!Z:Z)</f>
        <v>x</v>
      </c>
      <c r="H453" s="314">
        <v>45719</v>
      </c>
      <c r="I453" s="315">
        <v>3</v>
      </c>
      <c r="J453" s="315">
        <v>2025</v>
      </c>
      <c r="K453" s="316">
        <v>1</v>
      </c>
      <c r="L453" s="316">
        <v>1</v>
      </c>
      <c r="M453" s="316">
        <v>1</v>
      </c>
      <c r="N453" s="316">
        <v>1</v>
      </c>
      <c r="O453" s="316">
        <v>1</v>
      </c>
      <c r="P453" s="316">
        <v>1</v>
      </c>
      <c r="Q453" s="316">
        <v>1</v>
      </c>
      <c r="R453" s="316">
        <v>1</v>
      </c>
      <c r="S453" s="316">
        <v>1</v>
      </c>
      <c r="T453" s="316">
        <v>1</v>
      </c>
      <c r="U453" s="316">
        <v>1</v>
      </c>
      <c r="V453" s="316">
        <v>1</v>
      </c>
      <c r="W453" s="316">
        <v>1</v>
      </c>
      <c r="X453" s="316">
        <v>1</v>
      </c>
      <c r="Y453" s="316">
        <v>1</v>
      </c>
      <c r="Z453" s="316">
        <v>1</v>
      </c>
      <c r="AA453" s="316">
        <v>1</v>
      </c>
      <c r="AB453" s="316">
        <v>1</v>
      </c>
      <c r="AC453" s="316">
        <v>1</v>
      </c>
      <c r="AD453" s="316">
        <v>1</v>
      </c>
      <c r="AE453" s="316">
        <v>1</v>
      </c>
      <c r="AF453" s="316">
        <v>1</v>
      </c>
      <c r="AG453" s="316">
        <v>1</v>
      </c>
      <c r="AH453" s="316">
        <v>1</v>
      </c>
      <c r="AI453" s="316">
        <v>1</v>
      </c>
      <c r="AJ453" s="316">
        <v>1</v>
      </c>
      <c r="AK453" s="316">
        <v>1</v>
      </c>
      <c r="AL453" s="316">
        <v>1</v>
      </c>
      <c r="AM453" s="316">
        <v>1</v>
      </c>
      <c r="AN453" s="316">
        <v>1</v>
      </c>
      <c r="AO453" s="316">
        <v>1</v>
      </c>
      <c r="AP453" s="316">
        <v>1</v>
      </c>
      <c r="AQ453" s="316">
        <v>1</v>
      </c>
      <c r="AR453" s="316">
        <v>1</v>
      </c>
      <c r="AS453" s="316">
        <v>1</v>
      </c>
      <c r="AT453" s="316">
        <v>1</v>
      </c>
    </row>
    <row r="454" spans="2:46" ht="12.75" customHeight="1" x14ac:dyDescent="0.15">
      <c r="B454" s="315">
        <v>1226</v>
      </c>
      <c r="C454" s="313" t="s">
        <v>584</v>
      </c>
      <c r="D454" s="313" t="s">
        <v>1980</v>
      </c>
      <c r="E454" s="319" t="s">
        <v>1805</v>
      </c>
      <c r="F454" s="319" t="s">
        <v>1981</v>
      </c>
      <c r="G454" s="315" t="str">
        <f>_xlfn.XLOOKUP(B454,'WFP Details - 2026'!A:A,'WFP Details - 2026'!Z:Z)</f>
        <v>x</v>
      </c>
      <c r="H454" s="314">
        <v>45733</v>
      </c>
      <c r="I454" s="315">
        <v>3</v>
      </c>
      <c r="J454" s="315">
        <v>2025</v>
      </c>
      <c r="K454" s="316">
        <v>1</v>
      </c>
      <c r="L454" s="316">
        <v>1</v>
      </c>
      <c r="M454" s="316">
        <v>1</v>
      </c>
      <c r="N454" s="316">
        <v>1</v>
      </c>
      <c r="O454" s="316">
        <v>1</v>
      </c>
      <c r="P454" s="316">
        <v>1</v>
      </c>
      <c r="Q454" s="316">
        <v>1</v>
      </c>
      <c r="R454" s="316">
        <v>1</v>
      </c>
      <c r="S454" s="316">
        <v>1</v>
      </c>
      <c r="T454" s="316">
        <v>1</v>
      </c>
      <c r="U454" s="316">
        <v>1</v>
      </c>
      <c r="V454" s="316">
        <v>1</v>
      </c>
      <c r="W454" s="316">
        <v>1</v>
      </c>
      <c r="X454" s="316">
        <v>1</v>
      </c>
      <c r="Y454" s="316">
        <v>1</v>
      </c>
      <c r="Z454" s="316">
        <v>1</v>
      </c>
      <c r="AA454" s="316">
        <v>1</v>
      </c>
      <c r="AB454" s="316">
        <v>1</v>
      </c>
      <c r="AC454" s="316">
        <v>1</v>
      </c>
      <c r="AD454" s="316">
        <v>1</v>
      </c>
      <c r="AE454" s="316">
        <v>1</v>
      </c>
      <c r="AF454" s="316">
        <v>1</v>
      </c>
      <c r="AG454" s="316">
        <v>1</v>
      </c>
      <c r="AH454" s="316">
        <v>1</v>
      </c>
      <c r="AI454" s="316">
        <v>1</v>
      </c>
      <c r="AJ454" s="316">
        <v>1</v>
      </c>
      <c r="AK454" s="316">
        <v>1</v>
      </c>
      <c r="AL454" s="316">
        <v>1</v>
      </c>
      <c r="AM454" s="316">
        <v>1</v>
      </c>
      <c r="AN454" s="316">
        <v>1</v>
      </c>
      <c r="AO454" s="316">
        <v>1</v>
      </c>
      <c r="AP454" s="316">
        <v>1</v>
      </c>
      <c r="AQ454" s="316">
        <v>1</v>
      </c>
      <c r="AR454" s="316">
        <v>1</v>
      </c>
      <c r="AS454" s="316">
        <v>1</v>
      </c>
      <c r="AT454" s="316">
        <v>1</v>
      </c>
    </row>
    <row r="455" spans="2:46" ht="12.75" customHeight="1" x14ac:dyDescent="0.15">
      <c r="B455" s="315">
        <v>1367</v>
      </c>
      <c r="C455" s="313" t="s">
        <v>584</v>
      </c>
      <c r="D455" s="313" t="s">
        <v>1982</v>
      </c>
      <c r="E455" s="319" t="s">
        <v>1801</v>
      </c>
      <c r="F455" s="319" t="s">
        <v>1813</v>
      </c>
      <c r="G455" s="315" t="str">
        <f>_xlfn.XLOOKUP(B455,'WFP Details - 2026'!A:A,'WFP Details - 2026'!Z:Z)</f>
        <v>x</v>
      </c>
      <c r="H455" s="314">
        <v>45866</v>
      </c>
      <c r="I455" s="315">
        <v>7</v>
      </c>
      <c r="J455" s="315">
        <v>2025</v>
      </c>
      <c r="K455" s="316">
        <v>1</v>
      </c>
      <c r="L455" s="316">
        <v>1</v>
      </c>
      <c r="M455" s="316">
        <v>1</v>
      </c>
      <c r="N455" s="316">
        <v>1</v>
      </c>
      <c r="O455" s="316">
        <v>1</v>
      </c>
      <c r="P455" s="316">
        <v>1</v>
      </c>
      <c r="Q455" s="316">
        <v>1</v>
      </c>
      <c r="R455" s="316">
        <v>1</v>
      </c>
      <c r="S455" s="316">
        <v>1</v>
      </c>
      <c r="T455" s="316">
        <v>1</v>
      </c>
      <c r="U455" s="316">
        <v>1</v>
      </c>
      <c r="V455" s="316">
        <v>1</v>
      </c>
      <c r="W455" s="316">
        <v>1</v>
      </c>
      <c r="X455" s="316">
        <v>1</v>
      </c>
      <c r="Y455" s="316">
        <v>1</v>
      </c>
      <c r="Z455" s="316">
        <v>1</v>
      </c>
      <c r="AA455" s="316">
        <v>1</v>
      </c>
      <c r="AB455" s="316">
        <v>1</v>
      </c>
      <c r="AC455" s="316">
        <v>1</v>
      </c>
      <c r="AD455" s="316">
        <v>1</v>
      </c>
      <c r="AE455" s="316">
        <v>1</v>
      </c>
      <c r="AF455" s="316">
        <v>1</v>
      </c>
      <c r="AG455" s="316">
        <v>1</v>
      </c>
      <c r="AH455" s="316">
        <v>1</v>
      </c>
      <c r="AI455" s="316">
        <v>1</v>
      </c>
      <c r="AJ455" s="316">
        <v>1</v>
      </c>
      <c r="AK455" s="316">
        <v>1</v>
      </c>
      <c r="AL455" s="316">
        <v>1</v>
      </c>
      <c r="AM455" s="316">
        <v>1</v>
      </c>
      <c r="AN455" s="316">
        <v>1</v>
      </c>
      <c r="AO455" s="316">
        <v>1</v>
      </c>
      <c r="AP455" s="316">
        <v>1</v>
      </c>
      <c r="AQ455" s="316">
        <v>1</v>
      </c>
      <c r="AR455" s="316">
        <v>1</v>
      </c>
      <c r="AS455" s="316">
        <v>1</v>
      </c>
      <c r="AT455" s="316">
        <v>1</v>
      </c>
    </row>
    <row r="456" spans="2:46" ht="12.75" customHeight="1" x14ac:dyDescent="0.15">
      <c r="B456" s="315">
        <v>1362</v>
      </c>
      <c r="C456" s="313" t="s">
        <v>584</v>
      </c>
      <c r="D456" s="313" t="s">
        <v>1983</v>
      </c>
      <c r="E456" s="319" t="s">
        <v>1795</v>
      </c>
      <c r="F456" s="319" t="s">
        <v>593</v>
      </c>
      <c r="G456" s="315" t="str">
        <f>_xlfn.XLOOKUP(B456,'WFP Details - 2026'!A:A,'WFP Details - 2026'!Z:Z)</f>
        <v>x</v>
      </c>
      <c r="H456" s="314">
        <v>45873</v>
      </c>
      <c r="I456" s="315">
        <v>8</v>
      </c>
      <c r="J456" s="315">
        <v>2025</v>
      </c>
      <c r="K456" s="316">
        <v>1</v>
      </c>
      <c r="L456" s="316">
        <v>1</v>
      </c>
      <c r="M456" s="316">
        <v>1</v>
      </c>
      <c r="N456" s="316">
        <v>1</v>
      </c>
      <c r="O456" s="316">
        <v>1</v>
      </c>
      <c r="P456" s="316">
        <v>1</v>
      </c>
      <c r="Q456" s="316">
        <v>1</v>
      </c>
      <c r="R456" s="316">
        <v>1</v>
      </c>
      <c r="S456" s="316">
        <v>1</v>
      </c>
      <c r="T456" s="316">
        <v>1</v>
      </c>
      <c r="U456" s="316">
        <v>1</v>
      </c>
      <c r="V456" s="316">
        <v>1</v>
      </c>
      <c r="W456" s="316">
        <v>1</v>
      </c>
      <c r="X456" s="316">
        <v>1</v>
      </c>
      <c r="Y456" s="316">
        <v>1</v>
      </c>
      <c r="Z456" s="316">
        <v>1</v>
      </c>
      <c r="AA456" s="316">
        <v>1</v>
      </c>
      <c r="AB456" s="316">
        <v>1</v>
      </c>
      <c r="AC456" s="316">
        <v>1</v>
      </c>
      <c r="AD456" s="316">
        <v>1</v>
      </c>
      <c r="AE456" s="316">
        <v>1</v>
      </c>
      <c r="AF456" s="316">
        <v>1</v>
      </c>
      <c r="AG456" s="316">
        <v>1</v>
      </c>
      <c r="AH456" s="316">
        <v>1</v>
      </c>
      <c r="AI456" s="316">
        <v>1</v>
      </c>
      <c r="AJ456" s="316">
        <v>1</v>
      </c>
      <c r="AK456" s="316">
        <v>1</v>
      </c>
      <c r="AL456" s="316">
        <v>1</v>
      </c>
      <c r="AM456" s="316">
        <v>1</v>
      </c>
      <c r="AN456" s="316">
        <v>1</v>
      </c>
      <c r="AO456" s="316">
        <v>1</v>
      </c>
      <c r="AP456" s="316">
        <v>1</v>
      </c>
      <c r="AQ456" s="316">
        <v>1</v>
      </c>
      <c r="AR456" s="316">
        <v>1</v>
      </c>
      <c r="AS456" s="316">
        <v>1</v>
      </c>
      <c r="AT456" s="316">
        <v>1</v>
      </c>
    </row>
    <row r="457" spans="2:46" ht="12.75" customHeight="1" x14ac:dyDescent="0.15">
      <c r="B457" s="315">
        <v>1396</v>
      </c>
      <c r="C457" s="313" t="s">
        <v>584</v>
      </c>
      <c r="D457" s="313" t="s">
        <v>101</v>
      </c>
      <c r="E457" s="319" t="s">
        <v>1805</v>
      </c>
      <c r="F457" s="319" t="s">
        <v>1984</v>
      </c>
      <c r="G457" s="315" t="str">
        <f>_xlfn.XLOOKUP(B457,'WFP Details - 2026'!A:A,'WFP Details - 2026'!Z:Z)</f>
        <v>x</v>
      </c>
      <c r="H457" s="314">
        <v>46006</v>
      </c>
      <c r="I457" s="315">
        <v>12</v>
      </c>
      <c r="J457" s="315">
        <v>2025</v>
      </c>
      <c r="K457" s="316">
        <v>1</v>
      </c>
      <c r="L457" s="316">
        <v>1</v>
      </c>
      <c r="M457" s="316">
        <v>1</v>
      </c>
      <c r="N457" s="316">
        <v>1</v>
      </c>
      <c r="O457" s="316">
        <v>1</v>
      </c>
      <c r="P457" s="316">
        <v>1</v>
      </c>
      <c r="Q457" s="316">
        <v>1</v>
      </c>
      <c r="R457" s="316">
        <v>1</v>
      </c>
      <c r="S457" s="316">
        <v>1</v>
      </c>
      <c r="T457" s="316">
        <v>1</v>
      </c>
      <c r="U457" s="316">
        <v>1</v>
      </c>
      <c r="V457" s="316">
        <v>1</v>
      </c>
      <c r="W457" s="316">
        <v>1</v>
      </c>
      <c r="X457" s="316">
        <v>1</v>
      </c>
      <c r="Y457" s="316">
        <v>1</v>
      </c>
      <c r="Z457" s="316">
        <v>1</v>
      </c>
      <c r="AA457" s="316">
        <v>1</v>
      </c>
      <c r="AB457" s="316">
        <v>1</v>
      </c>
      <c r="AC457" s="316">
        <v>1</v>
      </c>
      <c r="AD457" s="316">
        <v>1</v>
      </c>
      <c r="AE457" s="316">
        <v>1</v>
      </c>
      <c r="AF457" s="316">
        <v>1</v>
      </c>
      <c r="AG457" s="316">
        <v>1</v>
      </c>
      <c r="AH457" s="316">
        <v>1</v>
      </c>
      <c r="AI457" s="316">
        <v>1</v>
      </c>
      <c r="AJ457" s="316">
        <v>1</v>
      </c>
      <c r="AK457" s="316">
        <v>1</v>
      </c>
      <c r="AL457" s="316">
        <v>1</v>
      </c>
      <c r="AM457" s="316">
        <v>1</v>
      </c>
      <c r="AN457" s="316">
        <v>1</v>
      </c>
      <c r="AO457" s="316">
        <v>1</v>
      </c>
      <c r="AP457" s="316">
        <v>1</v>
      </c>
      <c r="AQ457" s="316">
        <v>1</v>
      </c>
      <c r="AR457" s="316">
        <v>1</v>
      </c>
      <c r="AS457" s="316">
        <v>1</v>
      </c>
      <c r="AT457" s="316">
        <v>1</v>
      </c>
    </row>
    <row r="458" spans="2:46" ht="12.75" customHeight="1" x14ac:dyDescent="0.15">
      <c r="B458" s="315">
        <v>1109</v>
      </c>
      <c r="C458" s="319" t="s">
        <v>522</v>
      </c>
      <c r="D458" s="313" t="s">
        <v>1588</v>
      </c>
      <c r="E458" s="319" t="s">
        <v>1810</v>
      </c>
      <c r="F458" s="319" t="s">
        <v>533</v>
      </c>
      <c r="G458" s="315" t="str">
        <f>_xlfn.XLOOKUP(B458,'WFP Details - 2026'!A:A,'WFP Details - 2026'!Z:Z)</f>
        <v>x</v>
      </c>
      <c r="H458" s="314">
        <v>45635</v>
      </c>
      <c r="I458" s="315">
        <v>12</v>
      </c>
      <c r="J458" s="315">
        <v>2024</v>
      </c>
      <c r="K458" s="316">
        <v>1</v>
      </c>
      <c r="L458" s="316">
        <v>1</v>
      </c>
      <c r="M458" s="316">
        <v>1</v>
      </c>
      <c r="N458" s="316">
        <v>1</v>
      </c>
      <c r="O458" s="316">
        <v>1</v>
      </c>
      <c r="P458" s="316">
        <v>1</v>
      </c>
      <c r="Q458" s="316">
        <v>1</v>
      </c>
      <c r="R458" s="316">
        <v>1</v>
      </c>
      <c r="S458" s="316">
        <v>1</v>
      </c>
      <c r="T458" s="316">
        <v>1</v>
      </c>
      <c r="U458" s="316">
        <v>1</v>
      </c>
      <c r="V458" s="316">
        <v>1</v>
      </c>
      <c r="W458" s="316">
        <v>1</v>
      </c>
      <c r="X458" s="316">
        <v>1</v>
      </c>
      <c r="Y458" s="316">
        <v>1</v>
      </c>
      <c r="Z458" s="316">
        <v>1</v>
      </c>
      <c r="AA458" s="316">
        <v>1</v>
      </c>
      <c r="AB458" s="316">
        <v>1</v>
      </c>
      <c r="AC458" s="316">
        <v>1</v>
      </c>
      <c r="AD458" s="316">
        <v>1</v>
      </c>
      <c r="AE458" s="316">
        <v>1</v>
      </c>
      <c r="AF458" s="316">
        <v>1</v>
      </c>
      <c r="AG458" s="316">
        <v>1</v>
      </c>
      <c r="AH458" s="316">
        <v>1</v>
      </c>
      <c r="AI458" s="316">
        <v>1</v>
      </c>
      <c r="AJ458" s="316">
        <v>1</v>
      </c>
      <c r="AK458" s="316">
        <v>1</v>
      </c>
      <c r="AL458" s="316">
        <v>1</v>
      </c>
      <c r="AM458" s="316">
        <v>1</v>
      </c>
      <c r="AN458" s="316">
        <v>1</v>
      </c>
      <c r="AO458" s="316">
        <v>1</v>
      </c>
      <c r="AP458" s="316">
        <v>1</v>
      </c>
      <c r="AQ458" s="316">
        <v>1</v>
      </c>
      <c r="AR458" s="316">
        <v>1</v>
      </c>
      <c r="AS458" s="316">
        <v>1</v>
      </c>
      <c r="AT458" s="316">
        <v>1</v>
      </c>
    </row>
    <row r="459" spans="2:46" ht="12.75" customHeight="1" x14ac:dyDescent="0.15">
      <c r="B459" s="315">
        <v>1282</v>
      </c>
      <c r="C459" s="319" t="s">
        <v>522</v>
      </c>
      <c r="D459" s="313" t="s">
        <v>526</v>
      </c>
      <c r="E459" s="319" t="s">
        <v>1792</v>
      </c>
      <c r="F459" s="319" t="s">
        <v>1985</v>
      </c>
      <c r="G459" s="315" t="str">
        <f>_xlfn.XLOOKUP(B459,'WFP Details - 2026'!A:A,'WFP Details - 2026'!Z:Z)</f>
        <v>x</v>
      </c>
      <c r="H459" s="314">
        <v>45747</v>
      </c>
      <c r="I459" s="315">
        <v>3</v>
      </c>
      <c r="J459" s="315">
        <v>2025</v>
      </c>
      <c r="K459" s="316">
        <v>1</v>
      </c>
      <c r="L459" s="316">
        <v>1</v>
      </c>
      <c r="M459" s="316">
        <v>1</v>
      </c>
      <c r="N459" s="316">
        <v>1</v>
      </c>
      <c r="O459" s="316">
        <v>1</v>
      </c>
      <c r="P459" s="316">
        <v>1</v>
      </c>
      <c r="Q459" s="316">
        <v>1</v>
      </c>
      <c r="R459" s="316">
        <v>1</v>
      </c>
      <c r="S459" s="316">
        <v>1</v>
      </c>
      <c r="T459" s="316">
        <v>1</v>
      </c>
      <c r="U459" s="316">
        <v>1</v>
      </c>
      <c r="V459" s="316">
        <v>1</v>
      </c>
      <c r="W459" s="316">
        <v>1</v>
      </c>
      <c r="X459" s="316">
        <v>1</v>
      </c>
      <c r="Y459" s="316">
        <v>1</v>
      </c>
      <c r="Z459" s="316">
        <v>1</v>
      </c>
      <c r="AA459" s="316">
        <v>1</v>
      </c>
      <c r="AB459" s="316">
        <v>1</v>
      </c>
      <c r="AC459" s="316">
        <v>1</v>
      </c>
      <c r="AD459" s="316">
        <v>1</v>
      </c>
      <c r="AE459" s="316">
        <v>1</v>
      </c>
      <c r="AF459" s="316">
        <v>1</v>
      </c>
      <c r="AG459" s="316">
        <v>1</v>
      </c>
      <c r="AH459" s="316">
        <v>1</v>
      </c>
      <c r="AI459" s="316">
        <v>1</v>
      </c>
      <c r="AJ459" s="316">
        <v>1</v>
      </c>
      <c r="AK459" s="316">
        <v>1</v>
      </c>
      <c r="AL459" s="316">
        <v>1</v>
      </c>
      <c r="AM459" s="316">
        <v>1</v>
      </c>
      <c r="AN459" s="316">
        <v>1</v>
      </c>
      <c r="AO459" s="316">
        <v>1</v>
      </c>
      <c r="AP459" s="316">
        <v>1</v>
      </c>
      <c r="AQ459" s="316">
        <v>1</v>
      </c>
      <c r="AR459" s="316">
        <v>1</v>
      </c>
      <c r="AS459" s="316">
        <v>1</v>
      </c>
      <c r="AT459" s="316">
        <v>1</v>
      </c>
    </row>
    <row r="460" spans="2:46" ht="12.75" customHeight="1" x14ac:dyDescent="0.15">
      <c r="B460" s="315">
        <v>1283</v>
      </c>
      <c r="C460" s="319" t="s">
        <v>522</v>
      </c>
      <c r="D460" s="313" t="s">
        <v>1986</v>
      </c>
      <c r="E460" s="319" t="s">
        <v>1793</v>
      </c>
      <c r="F460" s="319" t="s">
        <v>1987</v>
      </c>
      <c r="G460" s="315" t="str">
        <f>_xlfn.XLOOKUP(B460,'WFP Details - 2026'!A:A,'WFP Details - 2026'!Z:Z)</f>
        <v>x</v>
      </c>
      <c r="H460" s="314">
        <v>45782</v>
      </c>
      <c r="I460" s="315">
        <v>5</v>
      </c>
      <c r="J460" s="315">
        <v>2025</v>
      </c>
      <c r="K460" s="316">
        <v>1</v>
      </c>
      <c r="L460" s="316">
        <v>1</v>
      </c>
      <c r="M460" s="316">
        <v>1</v>
      </c>
      <c r="N460" s="316">
        <v>1</v>
      </c>
      <c r="O460" s="316">
        <v>1</v>
      </c>
      <c r="P460" s="316">
        <v>1</v>
      </c>
      <c r="Q460" s="316">
        <v>1</v>
      </c>
      <c r="R460" s="316">
        <v>1</v>
      </c>
      <c r="S460" s="316">
        <v>1</v>
      </c>
      <c r="T460" s="316">
        <v>1</v>
      </c>
      <c r="U460" s="316">
        <v>1</v>
      </c>
      <c r="V460" s="316">
        <v>1</v>
      </c>
      <c r="W460" s="316">
        <v>1</v>
      </c>
      <c r="X460" s="316">
        <v>1</v>
      </c>
      <c r="Y460" s="316">
        <v>1</v>
      </c>
      <c r="Z460" s="316">
        <v>1</v>
      </c>
      <c r="AA460" s="316">
        <v>1</v>
      </c>
      <c r="AB460" s="316">
        <v>1</v>
      </c>
      <c r="AC460" s="316">
        <v>1</v>
      </c>
      <c r="AD460" s="316">
        <v>1</v>
      </c>
      <c r="AE460" s="316">
        <v>1</v>
      </c>
      <c r="AF460" s="316">
        <v>1</v>
      </c>
      <c r="AG460" s="316">
        <v>1</v>
      </c>
      <c r="AH460" s="316">
        <v>1</v>
      </c>
      <c r="AI460" s="316">
        <v>1</v>
      </c>
      <c r="AJ460" s="316">
        <v>1</v>
      </c>
      <c r="AK460" s="316">
        <v>1</v>
      </c>
      <c r="AL460" s="316">
        <v>1</v>
      </c>
      <c r="AM460" s="316">
        <v>1</v>
      </c>
      <c r="AN460" s="316">
        <v>1</v>
      </c>
      <c r="AO460" s="316">
        <v>1</v>
      </c>
      <c r="AP460" s="316">
        <v>1</v>
      </c>
      <c r="AQ460" s="316">
        <v>1</v>
      </c>
      <c r="AR460" s="316">
        <v>1</v>
      </c>
      <c r="AS460" s="316">
        <v>1</v>
      </c>
      <c r="AT460" s="316">
        <v>1</v>
      </c>
    </row>
    <row r="461" spans="2:46" ht="12.75" customHeight="1" x14ac:dyDescent="0.15">
      <c r="B461" s="315">
        <v>1280</v>
      </c>
      <c r="C461" s="319" t="s">
        <v>522</v>
      </c>
      <c r="D461" s="313" t="s">
        <v>544</v>
      </c>
      <c r="E461" s="319" t="s">
        <v>1792</v>
      </c>
      <c r="F461" s="319" t="s">
        <v>1988</v>
      </c>
      <c r="G461" s="315" t="str">
        <f>_xlfn.XLOOKUP(B461,'WFP Details - 2026'!A:A,'WFP Details - 2026'!Z:Z)</f>
        <v>x</v>
      </c>
      <c r="H461" s="314">
        <v>45894</v>
      </c>
      <c r="I461" s="315">
        <v>8</v>
      </c>
      <c r="J461" s="315">
        <v>2025</v>
      </c>
      <c r="K461" s="316">
        <v>1</v>
      </c>
      <c r="L461" s="316">
        <v>1</v>
      </c>
      <c r="M461" s="316">
        <v>1</v>
      </c>
      <c r="N461" s="316">
        <v>1</v>
      </c>
      <c r="O461" s="316">
        <v>1</v>
      </c>
      <c r="P461" s="316">
        <v>1</v>
      </c>
      <c r="Q461" s="316">
        <v>1</v>
      </c>
      <c r="R461" s="316">
        <v>1</v>
      </c>
      <c r="S461" s="316">
        <v>1</v>
      </c>
      <c r="T461" s="316">
        <v>1</v>
      </c>
      <c r="U461" s="316">
        <v>1</v>
      </c>
      <c r="V461" s="316">
        <v>1</v>
      </c>
      <c r="W461" s="316">
        <v>1</v>
      </c>
      <c r="X461" s="316">
        <v>1</v>
      </c>
      <c r="Y461" s="316">
        <v>1</v>
      </c>
      <c r="Z461" s="316">
        <v>1</v>
      </c>
      <c r="AA461" s="316">
        <v>1</v>
      </c>
      <c r="AB461" s="316">
        <v>1</v>
      </c>
      <c r="AC461" s="316">
        <v>1</v>
      </c>
      <c r="AD461" s="316">
        <v>1</v>
      </c>
      <c r="AE461" s="316">
        <v>1</v>
      </c>
      <c r="AF461" s="316">
        <v>1</v>
      </c>
      <c r="AG461" s="316">
        <v>1</v>
      </c>
      <c r="AH461" s="316">
        <v>1</v>
      </c>
      <c r="AI461" s="316">
        <v>1</v>
      </c>
      <c r="AJ461" s="316">
        <v>1</v>
      </c>
      <c r="AK461" s="316">
        <v>1</v>
      </c>
      <c r="AL461" s="316">
        <v>1</v>
      </c>
      <c r="AM461" s="316">
        <v>1</v>
      </c>
      <c r="AN461" s="316">
        <v>1</v>
      </c>
      <c r="AO461" s="316">
        <v>1</v>
      </c>
      <c r="AP461" s="316">
        <v>1</v>
      </c>
      <c r="AQ461" s="316">
        <v>1</v>
      </c>
      <c r="AR461" s="316">
        <v>1</v>
      </c>
      <c r="AS461" s="316">
        <v>1</v>
      </c>
      <c r="AT461" s="316">
        <v>1</v>
      </c>
    </row>
    <row r="462" spans="2:46" ht="12.75" customHeight="1" x14ac:dyDescent="0.15">
      <c r="B462" s="315">
        <v>1358</v>
      </c>
      <c r="C462" s="319" t="s">
        <v>522</v>
      </c>
      <c r="D462" s="313" t="s">
        <v>1989</v>
      </c>
      <c r="E462" s="319" t="s">
        <v>1805</v>
      </c>
      <c r="F462" s="319" t="s">
        <v>531</v>
      </c>
      <c r="G462" s="315" t="str">
        <f>_xlfn.XLOOKUP(B462,'WFP Details - 2026'!A:A,'WFP Details - 2026'!Z:Z)</f>
        <v>x</v>
      </c>
      <c r="H462" s="314">
        <v>45908</v>
      </c>
      <c r="I462" s="315">
        <v>9</v>
      </c>
      <c r="J462" s="315">
        <v>2025</v>
      </c>
      <c r="K462" s="316">
        <v>1</v>
      </c>
      <c r="L462" s="316">
        <v>1</v>
      </c>
      <c r="M462" s="316">
        <v>1</v>
      </c>
      <c r="N462" s="316">
        <v>1</v>
      </c>
      <c r="O462" s="316">
        <v>1</v>
      </c>
      <c r="P462" s="316">
        <v>1</v>
      </c>
      <c r="Q462" s="316">
        <v>1</v>
      </c>
      <c r="R462" s="316">
        <v>1</v>
      </c>
      <c r="S462" s="316">
        <v>1</v>
      </c>
      <c r="T462" s="316">
        <v>1</v>
      </c>
      <c r="U462" s="316">
        <v>1</v>
      </c>
      <c r="V462" s="316">
        <v>1</v>
      </c>
      <c r="W462" s="316">
        <v>1</v>
      </c>
      <c r="X462" s="316">
        <v>1</v>
      </c>
      <c r="Y462" s="316">
        <v>1</v>
      </c>
      <c r="Z462" s="316">
        <v>1</v>
      </c>
      <c r="AA462" s="316">
        <v>1</v>
      </c>
      <c r="AB462" s="316">
        <v>1</v>
      </c>
      <c r="AC462" s="316">
        <v>1</v>
      </c>
      <c r="AD462" s="316">
        <v>1</v>
      </c>
      <c r="AE462" s="316">
        <v>1</v>
      </c>
      <c r="AF462" s="316">
        <v>1</v>
      </c>
      <c r="AG462" s="316">
        <v>1</v>
      </c>
      <c r="AH462" s="316">
        <v>1</v>
      </c>
      <c r="AI462" s="316">
        <v>1</v>
      </c>
      <c r="AJ462" s="316">
        <v>1</v>
      </c>
      <c r="AK462" s="316">
        <v>1</v>
      </c>
      <c r="AL462" s="316">
        <v>1</v>
      </c>
      <c r="AM462" s="316">
        <v>1</v>
      </c>
      <c r="AN462" s="316">
        <v>1</v>
      </c>
      <c r="AO462" s="316">
        <v>1</v>
      </c>
      <c r="AP462" s="316">
        <v>1</v>
      </c>
      <c r="AQ462" s="316">
        <v>1</v>
      </c>
      <c r="AR462" s="316">
        <v>1</v>
      </c>
      <c r="AS462" s="316">
        <v>1</v>
      </c>
      <c r="AT462" s="316">
        <v>1</v>
      </c>
    </row>
    <row r="463" spans="2:46" ht="12.75" customHeight="1" x14ac:dyDescent="0.15">
      <c r="B463" s="315">
        <v>1378</v>
      </c>
      <c r="C463" s="319" t="s">
        <v>522</v>
      </c>
      <c r="D463" s="313" t="s">
        <v>1990</v>
      </c>
      <c r="E463" s="319" t="s">
        <v>1792</v>
      </c>
      <c r="F463" s="319" t="s">
        <v>1991</v>
      </c>
      <c r="G463" s="315" t="str">
        <f>_xlfn.XLOOKUP(B463,'WFP Details - 2026'!A:A,'WFP Details - 2026'!Z:Z)</f>
        <v>x</v>
      </c>
      <c r="H463" s="314">
        <v>45978</v>
      </c>
      <c r="I463" s="315">
        <v>11</v>
      </c>
      <c r="J463" s="315">
        <v>2025</v>
      </c>
      <c r="K463" s="316">
        <v>1</v>
      </c>
      <c r="L463" s="316">
        <v>1</v>
      </c>
      <c r="M463" s="316">
        <v>1</v>
      </c>
      <c r="N463" s="316">
        <v>1</v>
      </c>
      <c r="O463" s="316">
        <v>1</v>
      </c>
      <c r="P463" s="316">
        <v>1</v>
      </c>
      <c r="Q463" s="316">
        <v>1</v>
      </c>
      <c r="R463" s="316">
        <v>1</v>
      </c>
      <c r="S463" s="316">
        <v>1</v>
      </c>
      <c r="T463" s="316">
        <v>1</v>
      </c>
      <c r="U463" s="316">
        <v>1</v>
      </c>
      <c r="V463" s="316">
        <v>1</v>
      </c>
      <c r="W463" s="316">
        <v>1</v>
      </c>
      <c r="X463" s="316">
        <v>1</v>
      </c>
      <c r="Y463" s="316">
        <v>1</v>
      </c>
      <c r="Z463" s="316">
        <v>1</v>
      </c>
      <c r="AA463" s="316">
        <v>1</v>
      </c>
      <c r="AB463" s="316">
        <v>1</v>
      </c>
      <c r="AC463" s="316">
        <v>1</v>
      </c>
      <c r="AD463" s="316">
        <v>1</v>
      </c>
      <c r="AE463" s="316">
        <v>1</v>
      </c>
      <c r="AF463" s="316">
        <v>1</v>
      </c>
      <c r="AG463" s="316">
        <v>1</v>
      </c>
      <c r="AH463" s="316">
        <v>1</v>
      </c>
      <c r="AI463" s="316">
        <v>1</v>
      </c>
      <c r="AJ463" s="316">
        <v>1</v>
      </c>
      <c r="AK463" s="316">
        <v>1</v>
      </c>
      <c r="AL463" s="316">
        <v>1</v>
      </c>
      <c r="AM463" s="316">
        <v>1</v>
      </c>
      <c r="AN463" s="316">
        <v>1</v>
      </c>
      <c r="AO463" s="316">
        <v>1</v>
      </c>
      <c r="AP463" s="316">
        <v>1</v>
      </c>
      <c r="AQ463" s="316">
        <v>1</v>
      </c>
      <c r="AR463" s="316">
        <v>1</v>
      </c>
      <c r="AS463" s="316">
        <v>1</v>
      </c>
      <c r="AT463" s="316">
        <v>1</v>
      </c>
    </row>
    <row r="464" spans="2:46" ht="12.75" customHeight="1" x14ac:dyDescent="0.15">
      <c r="B464" s="315">
        <v>1377</v>
      </c>
      <c r="C464" s="319" t="s">
        <v>522</v>
      </c>
      <c r="D464" s="313" t="s">
        <v>101</v>
      </c>
      <c r="E464" s="319" t="s">
        <v>1817</v>
      </c>
      <c r="F464" s="319" t="s">
        <v>1992</v>
      </c>
      <c r="G464" s="315" t="str">
        <f>_xlfn.XLOOKUP(B464,'WFP Details - 2026'!A:A,'WFP Details - 2026'!Z:Z)</f>
        <v>x</v>
      </c>
      <c r="H464" s="314">
        <v>46006</v>
      </c>
      <c r="I464" s="315">
        <v>12</v>
      </c>
      <c r="J464" s="315">
        <v>2025</v>
      </c>
      <c r="K464" s="316">
        <v>1</v>
      </c>
      <c r="L464" s="316">
        <v>1</v>
      </c>
      <c r="M464" s="316">
        <v>1</v>
      </c>
      <c r="N464" s="316">
        <v>1</v>
      </c>
      <c r="O464" s="316">
        <v>1</v>
      </c>
      <c r="P464" s="316">
        <v>1</v>
      </c>
      <c r="Q464" s="316">
        <v>1</v>
      </c>
      <c r="R464" s="316">
        <v>1</v>
      </c>
      <c r="S464" s="316">
        <v>1</v>
      </c>
      <c r="T464" s="316">
        <v>1</v>
      </c>
      <c r="U464" s="316">
        <v>1</v>
      </c>
      <c r="V464" s="316">
        <v>1</v>
      </c>
      <c r="W464" s="316">
        <v>1</v>
      </c>
      <c r="X464" s="316">
        <v>1</v>
      </c>
      <c r="Y464" s="316">
        <v>1</v>
      </c>
      <c r="Z464" s="316">
        <v>1</v>
      </c>
      <c r="AA464" s="316">
        <v>1</v>
      </c>
      <c r="AB464" s="316">
        <v>1</v>
      </c>
      <c r="AC464" s="316">
        <v>1</v>
      </c>
      <c r="AD464" s="316">
        <v>1</v>
      </c>
      <c r="AE464" s="316">
        <v>1</v>
      </c>
      <c r="AF464" s="316">
        <v>1</v>
      </c>
      <c r="AG464" s="316">
        <v>1</v>
      </c>
      <c r="AH464" s="316">
        <v>1</v>
      </c>
      <c r="AI464" s="316">
        <v>1</v>
      </c>
      <c r="AJ464" s="316">
        <v>1</v>
      </c>
      <c r="AK464" s="316">
        <v>1</v>
      </c>
      <c r="AL464" s="316">
        <v>1</v>
      </c>
      <c r="AM464" s="316">
        <v>1</v>
      </c>
      <c r="AN464" s="316">
        <v>1</v>
      </c>
      <c r="AO464" s="316">
        <v>1</v>
      </c>
      <c r="AP464" s="316">
        <v>1</v>
      </c>
      <c r="AQ464" s="316">
        <v>1</v>
      </c>
      <c r="AR464" s="316">
        <v>1</v>
      </c>
      <c r="AS464" s="316">
        <v>1</v>
      </c>
      <c r="AT464" s="316">
        <v>1</v>
      </c>
    </row>
    <row r="465" spans="2:46" ht="12.75" customHeight="1" x14ac:dyDescent="0.15">
      <c r="B465" s="315">
        <v>1281</v>
      </c>
      <c r="C465" s="319" t="s">
        <v>522</v>
      </c>
      <c r="D465" s="313" t="s">
        <v>101</v>
      </c>
      <c r="E465" s="319" t="s">
        <v>1805</v>
      </c>
      <c r="F465" s="319" t="s">
        <v>1993</v>
      </c>
      <c r="G465" s="315" t="str">
        <f>_xlfn.XLOOKUP(B465,'WFP Details - 2026'!A:A,'WFP Details - 2026'!Z:Z)</f>
        <v>x</v>
      </c>
      <c r="H465" s="314">
        <v>46096</v>
      </c>
      <c r="I465" s="315">
        <v>3</v>
      </c>
      <c r="J465" s="315">
        <v>2026</v>
      </c>
      <c r="K465" s="316">
        <v>0</v>
      </c>
      <c r="L465" s="316">
        <v>0</v>
      </c>
      <c r="M465" s="316">
        <v>1</v>
      </c>
      <c r="N465" s="316">
        <v>1</v>
      </c>
      <c r="O465" s="316">
        <v>1</v>
      </c>
      <c r="P465" s="316">
        <v>1</v>
      </c>
      <c r="Q465" s="316">
        <v>1</v>
      </c>
      <c r="R465" s="316">
        <v>1</v>
      </c>
      <c r="S465" s="316">
        <v>1</v>
      </c>
      <c r="T465" s="316">
        <v>1</v>
      </c>
      <c r="U465" s="316">
        <v>1</v>
      </c>
      <c r="V465" s="316">
        <v>1</v>
      </c>
      <c r="W465" s="316">
        <v>1</v>
      </c>
      <c r="X465" s="316">
        <v>1</v>
      </c>
      <c r="Y465" s="316">
        <v>1</v>
      </c>
      <c r="Z465" s="316">
        <v>1</v>
      </c>
      <c r="AA465" s="316">
        <v>1</v>
      </c>
      <c r="AB465" s="316">
        <v>1</v>
      </c>
      <c r="AC465" s="316">
        <v>1</v>
      </c>
      <c r="AD465" s="316">
        <v>1</v>
      </c>
      <c r="AE465" s="316">
        <v>1</v>
      </c>
      <c r="AF465" s="316">
        <v>1</v>
      </c>
      <c r="AG465" s="316">
        <v>1</v>
      </c>
      <c r="AH465" s="316">
        <v>1</v>
      </c>
      <c r="AI465" s="316">
        <v>1</v>
      </c>
      <c r="AJ465" s="316">
        <v>1</v>
      </c>
      <c r="AK465" s="316">
        <v>1</v>
      </c>
      <c r="AL465" s="316">
        <v>1</v>
      </c>
      <c r="AM465" s="316">
        <v>1</v>
      </c>
      <c r="AN465" s="316">
        <v>1</v>
      </c>
      <c r="AO465" s="316">
        <v>1</v>
      </c>
      <c r="AP465" s="316">
        <v>1</v>
      </c>
      <c r="AQ465" s="316">
        <v>1</v>
      </c>
      <c r="AR465" s="316">
        <v>1</v>
      </c>
      <c r="AS465" s="316">
        <v>1</v>
      </c>
      <c r="AT465" s="316">
        <v>1</v>
      </c>
    </row>
    <row r="466" spans="2:46" ht="12.75" customHeight="1" x14ac:dyDescent="0.15">
      <c r="B466" s="315">
        <v>5203</v>
      </c>
      <c r="C466" s="319" t="s">
        <v>522</v>
      </c>
      <c r="D466" s="313" t="s">
        <v>101</v>
      </c>
      <c r="E466" s="319" t="s">
        <v>1793</v>
      </c>
      <c r="F466" s="319" t="s">
        <v>1994</v>
      </c>
      <c r="G466" s="315" t="str">
        <f>_xlfn.XLOOKUP(B466,'WFP Details - 2026'!A:A,'WFP Details - 2026'!Z:Z)</f>
        <v>x</v>
      </c>
      <c r="H466" s="314">
        <v>46096</v>
      </c>
      <c r="I466" s="315">
        <v>3</v>
      </c>
      <c r="J466" s="315">
        <v>2026</v>
      </c>
      <c r="K466" s="316">
        <v>0</v>
      </c>
      <c r="L466" s="316">
        <v>0</v>
      </c>
      <c r="M466" s="316">
        <v>1</v>
      </c>
      <c r="N466" s="316">
        <v>1</v>
      </c>
      <c r="O466" s="316">
        <v>1</v>
      </c>
      <c r="P466" s="316">
        <v>1</v>
      </c>
      <c r="Q466" s="316">
        <v>1</v>
      </c>
      <c r="R466" s="316">
        <v>1</v>
      </c>
      <c r="S466" s="316">
        <v>1</v>
      </c>
      <c r="T466" s="316">
        <v>1</v>
      </c>
      <c r="U466" s="316">
        <v>1</v>
      </c>
      <c r="V466" s="316">
        <v>1</v>
      </c>
      <c r="W466" s="316">
        <v>1</v>
      </c>
      <c r="X466" s="316">
        <v>1</v>
      </c>
      <c r="Y466" s="316">
        <v>1</v>
      </c>
      <c r="Z466" s="316">
        <v>1</v>
      </c>
      <c r="AA466" s="316">
        <v>1</v>
      </c>
      <c r="AB466" s="316">
        <v>1</v>
      </c>
      <c r="AC466" s="316">
        <v>1</v>
      </c>
      <c r="AD466" s="316">
        <v>1</v>
      </c>
      <c r="AE466" s="316">
        <v>1</v>
      </c>
      <c r="AF466" s="316">
        <v>1</v>
      </c>
      <c r="AG466" s="316">
        <v>1</v>
      </c>
      <c r="AH466" s="316">
        <v>1</v>
      </c>
      <c r="AI466" s="316">
        <v>1</v>
      </c>
      <c r="AJ466" s="316">
        <v>1</v>
      </c>
      <c r="AK466" s="316">
        <v>1</v>
      </c>
      <c r="AL466" s="316">
        <v>1</v>
      </c>
      <c r="AM466" s="316">
        <v>1</v>
      </c>
      <c r="AN466" s="316">
        <v>1</v>
      </c>
      <c r="AO466" s="316">
        <v>1</v>
      </c>
      <c r="AP466" s="316">
        <v>1</v>
      </c>
      <c r="AQ466" s="316">
        <v>1</v>
      </c>
      <c r="AR466" s="316">
        <v>1</v>
      </c>
      <c r="AS466" s="316">
        <v>1</v>
      </c>
      <c r="AT466" s="316">
        <v>1</v>
      </c>
    </row>
    <row r="467" spans="2:46" ht="12.75" customHeight="1" x14ac:dyDescent="0.15">
      <c r="B467" s="315">
        <v>5201</v>
      </c>
      <c r="C467" s="319" t="s">
        <v>522</v>
      </c>
      <c r="D467" s="313" t="s">
        <v>101</v>
      </c>
      <c r="E467" s="319" t="s">
        <v>1817</v>
      </c>
      <c r="F467" s="319" t="s">
        <v>1995</v>
      </c>
      <c r="G467" s="315" t="str">
        <f>_xlfn.XLOOKUP(B467,'WFP Details - 2026'!A:A,'WFP Details - 2026'!Z:Z)</f>
        <v>x</v>
      </c>
      <c r="H467" s="314">
        <v>46280</v>
      </c>
      <c r="I467" s="315">
        <v>9</v>
      </c>
      <c r="J467" s="315">
        <v>2026</v>
      </c>
      <c r="K467" s="316">
        <v>0</v>
      </c>
      <c r="L467" s="316">
        <v>0</v>
      </c>
      <c r="M467" s="316">
        <v>0</v>
      </c>
      <c r="N467" s="316">
        <v>0</v>
      </c>
      <c r="O467" s="316">
        <v>0</v>
      </c>
      <c r="P467" s="316">
        <v>0</v>
      </c>
      <c r="Q467" s="316">
        <v>0</v>
      </c>
      <c r="R467" s="316">
        <v>0</v>
      </c>
      <c r="S467" s="316">
        <v>1</v>
      </c>
      <c r="T467" s="316">
        <v>1</v>
      </c>
      <c r="U467" s="316">
        <v>1</v>
      </c>
      <c r="V467" s="316">
        <v>1</v>
      </c>
      <c r="W467" s="316">
        <v>1</v>
      </c>
      <c r="X467" s="316">
        <v>1</v>
      </c>
      <c r="Y467" s="316">
        <v>1</v>
      </c>
      <c r="Z467" s="316">
        <v>1</v>
      </c>
      <c r="AA467" s="316">
        <v>1</v>
      </c>
      <c r="AB467" s="316">
        <v>1</v>
      </c>
      <c r="AC467" s="316">
        <v>1</v>
      </c>
      <c r="AD467" s="316">
        <v>1</v>
      </c>
      <c r="AE467" s="316">
        <v>1</v>
      </c>
      <c r="AF467" s="316">
        <v>1</v>
      </c>
      <c r="AG467" s="316">
        <v>1</v>
      </c>
      <c r="AH467" s="316">
        <v>1</v>
      </c>
      <c r="AI467" s="316">
        <v>1</v>
      </c>
      <c r="AJ467" s="316">
        <v>1</v>
      </c>
      <c r="AK467" s="316">
        <v>1</v>
      </c>
      <c r="AL467" s="316">
        <v>1</v>
      </c>
      <c r="AM467" s="316">
        <v>1</v>
      </c>
      <c r="AN467" s="316">
        <v>1</v>
      </c>
      <c r="AO467" s="316">
        <v>1</v>
      </c>
      <c r="AP467" s="316">
        <v>1</v>
      </c>
      <c r="AQ467" s="316">
        <v>1</v>
      </c>
      <c r="AR467" s="316">
        <v>1</v>
      </c>
      <c r="AS467" s="316">
        <v>1</v>
      </c>
      <c r="AT467" s="316">
        <v>1</v>
      </c>
    </row>
    <row r="468" spans="2:46" ht="12.75" customHeight="1" x14ac:dyDescent="0.15">
      <c r="B468" s="315">
        <v>5200</v>
      </c>
      <c r="C468" s="319" t="s">
        <v>522</v>
      </c>
      <c r="D468" s="313" t="s">
        <v>101</v>
      </c>
      <c r="E468" s="319" t="s">
        <v>1805</v>
      </c>
      <c r="F468" s="319" t="s">
        <v>550</v>
      </c>
      <c r="G468" s="315" t="str">
        <f>_xlfn.XLOOKUP(B468,'WFP Details - 2026'!A:A,'WFP Details - 2026'!Z:Z)</f>
        <v>x</v>
      </c>
      <c r="H468" s="314">
        <v>46280</v>
      </c>
      <c r="I468" s="315">
        <v>9</v>
      </c>
      <c r="J468" s="315">
        <v>2026</v>
      </c>
      <c r="K468" s="316">
        <v>0</v>
      </c>
      <c r="L468" s="316">
        <v>0</v>
      </c>
      <c r="M468" s="316">
        <v>0</v>
      </c>
      <c r="N468" s="316">
        <v>0</v>
      </c>
      <c r="O468" s="316">
        <v>0</v>
      </c>
      <c r="P468" s="316">
        <v>0</v>
      </c>
      <c r="Q468" s="316">
        <v>0</v>
      </c>
      <c r="R468" s="316">
        <v>0</v>
      </c>
      <c r="S468" s="316">
        <v>1</v>
      </c>
      <c r="T468" s="316">
        <v>1</v>
      </c>
      <c r="U468" s="316">
        <v>1</v>
      </c>
      <c r="V468" s="316">
        <v>1</v>
      </c>
      <c r="W468" s="316">
        <v>1</v>
      </c>
      <c r="X468" s="316">
        <v>1</v>
      </c>
      <c r="Y468" s="316">
        <v>1</v>
      </c>
      <c r="Z468" s="316">
        <v>1</v>
      </c>
      <c r="AA468" s="316">
        <v>1</v>
      </c>
      <c r="AB468" s="316">
        <v>1</v>
      </c>
      <c r="AC468" s="316">
        <v>1</v>
      </c>
      <c r="AD468" s="316">
        <v>1</v>
      </c>
      <c r="AE468" s="316">
        <v>1</v>
      </c>
      <c r="AF468" s="316">
        <v>1</v>
      </c>
      <c r="AG468" s="316">
        <v>1</v>
      </c>
      <c r="AH468" s="316">
        <v>1</v>
      </c>
      <c r="AI468" s="316">
        <v>1</v>
      </c>
      <c r="AJ468" s="316">
        <v>1</v>
      </c>
      <c r="AK468" s="316">
        <v>1</v>
      </c>
      <c r="AL468" s="316">
        <v>1</v>
      </c>
      <c r="AM468" s="316">
        <v>1</v>
      </c>
      <c r="AN468" s="316">
        <v>1</v>
      </c>
      <c r="AO468" s="316">
        <v>1</v>
      </c>
      <c r="AP468" s="316">
        <v>1</v>
      </c>
      <c r="AQ468" s="316">
        <v>1</v>
      </c>
      <c r="AR468" s="316">
        <v>1</v>
      </c>
      <c r="AS468" s="316">
        <v>1</v>
      </c>
      <c r="AT468" s="316">
        <v>1</v>
      </c>
    </row>
    <row r="469" spans="2:46" ht="12.75" customHeight="1" x14ac:dyDescent="0.15">
      <c r="B469" s="315">
        <v>1359</v>
      </c>
      <c r="C469" s="319" t="s">
        <v>522</v>
      </c>
      <c r="D469" s="313" t="s">
        <v>101</v>
      </c>
      <c r="E469" s="319" t="s">
        <v>1805</v>
      </c>
      <c r="F469" s="319" t="s">
        <v>548</v>
      </c>
      <c r="G469" s="315" t="str">
        <f>_xlfn.XLOOKUP(B469,'WFP Details - 2026'!A:A,'WFP Details - 2026'!Z:Z)</f>
        <v>x</v>
      </c>
      <c r="H469" s="314">
        <v>46280</v>
      </c>
      <c r="I469" s="315">
        <v>9</v>
      </c>
      <c r="J469" s="315">
        <v>2026</v>
      </c>
      <c r="K469" s="316">
        <v>0</v>
      </c>
      <c r="L469" s="316">
        <v>0</v>
      </c>
      <c r="M469" s="316">
        <v>0</v>
      </c>
      <c r="N469" s="316">
        <v>0</v>
      </c>
      <c r="O469" s="316">
        <v>0</v>
      </c>
      <c r="P469" s="316">
        <v>0</v>
      </c>
      <c r="Q469" s="316">
        <v>0</v>
      </c>
      <c r="R469" s="316">
        <v>0</v>
      </c>
      <c r="S469" s="316">
        <v>1</v>
      </c>
      <c r="T469" s="316">
        <v>1</v>
      </c>
      <c r="U469" s="316">
        <v>1</v>
      </c>
      <c r="V469" s="316">
        <v>1</v>
      </c>
      <c r="W469" s="316">
        <v>1</v>
      </c>
      <c r="X469" s="316">
        <v>1</v>
      </c>
      <c r="Y469" s="316">
        <v>1</v>
      </c>
      <c r="Z469" s="316">
        <v>1</v>
      </c>
      <c r="AA469" s="316">
        <v>1</v>
      </c>
      <c r="AB469" s="316">
        <v>1</v>
      </c>
      <c r="AC469" s="316">
        <v>1</v>
      </c>
      <c r="AD469" s="316">
        <v>1</v>
      </c>
      <c r="AE469" s="316">
        <v>1</v>
      </c>
      <c r="AF469" s="316">
        <v>1</v>
      </c>
      <c r="AG469" s="316">
        <v>1</v>
      </c>
      <c r="AH469" s="316">
        <v>1</v>
      </c>
      <c r="AI469" s="316">
        <v>1</v>
      </c>
      <c r="AJ469" s="316">
        <v>1</v>
      </c>
      <c r="AK469" s="316">
        <v>1</v>
      </c>
      <c r="AL469" s="316">
        <v>1</v>
      </c>
      <c r="AM469" s="316">
        <v>1</v>
      </c>
      <c r="AN469" s="316">
        <v>1</v>
      </c>
      <c r="AO469" s="316">
        <v>1</v>
      </c>
      <c r="AP469" s="316">
        <v>1</v>
      </c>
      <c r="AQ469" s="316">
        <v>1</v>
      </c>
      <c r="AR469" s="316">
        <v>1</v>
      </c>
      <c r="AS469" s="316">
        <v>1</v>
      </c>
      <c r="AT469" s="316">
        <v>1</v>
      </c>
    </row>
    <row r="470" spans="2:46" ht="12.75" hidden="1" customHeight="1" x14ac:dyDescent="0.15">
      <c r="B470" s="312">
        <v>1360</v>
      </c>
      <c r="C470" s="313" t="s">
        <v>522</v>
      </c>
      <c r="D470" s="313" t="s">
        <v>101</v>
      </c>
      <c r="E470" s="313" t="s">
        <v>1817</v>
      </c>
      <c r="F470" s="313" t="s">
        <v>1589</v>
      </c>
      <c r="G470" s="315" t="e">
        <f>_xlfn.XLOOKUP(B470,'WFP Details - 2026'!A:A,'WFP Details - 2026'!Z:Z)</f>
        <v>#N/A</v>
      </c>
      <c r="H470" s="314">
        <v>46461</v>
      </c>
      <c r="I470" s="315">
        <v>3</v>
      </c>
      <c r="J470" s="315">
        <v>2027</v>
      </c>
      <c r="K470" s="316">
        <v>0</v>
      </c>
      <c r="L470" s="316">
        <v>0</v>
      </c>
      <c r="M470" s="316">
        <v>0</v>
      </c>
      <c r="N470" s="316">
        <v>0</v>
      </c>
      <c r="O470" s="316">
        <v>0</v>
      </c>
      <c r="P470" s="316">
        <v>0</v>
      </c>
      <c r="Q470" s="316">
        <v>0</v>
      </c>
      <c r="R470" s="316">
        <v>0</v>
      </c>
      <c r="S470" s="316">
        <v>0</v>
      </c>
      <c r="T470" s="316">
        <v>0</v>
      </c>
      <c r="U470" s="316">
        <v>0</v>
      </c>
      <c r="V470" s="316">
        <v>0</v>
      </c>
      <c r="W470" s="316">
        <v>0</v>
      </c>
      <c r="X470" s="316">
        <v>0</v>
      </c>
      <c r="Y470" s="316">
        <v>1</v>
      </c>
      <c r="Z470" s="316">
        <v>1</v>
      </c>
      <c r="AA470" s="316">
        <v>1</v>
      </c>
      <c r="AB470" s="316">
        <v>1</v>
      </c>
      <c r="AC470" s="316">
        <v>1</v>
      </c>
      <c r="AD470" s="316">
        <v>1</v>
      </c>
      <c r="AE470" s="316">
        <v>1</v>
      </c>
      <c r="AF470" s="316">
        <v>1</v>
      </c>
      <c r="AG470" s="316">
        <v>1</v>
      </c>
      <c r="AH470" s="316">
        <v>1</v>
      </c>
      <c r="AI470" s="316">
        <v>1</v>
      </c>
      <c r="AJ470" s="316">
        <v>1</v>
      </c>
      <c r="AK470" s="316">
        <v>1</v>
      </c>
      <c r="AL470" s="316">
        <v>1</v>
      </c>
      <c r="AM470" s="316">
        <v>1</v>
      </c>
      <c r="AN470" s="316">
        <v>1</v>
      </c>
      <c r="AO470" s="316">
        <v>1</v>
      </c>
      <c r="AP470" s="316">
        <v>1</v>
      </c>
      <c r="AQ470" s="316">
        <v>1</v>
      </c>
      <c r="AR470" s="316">
        <v>1</v>
      </c>
      <c r="AS470" s="316">
        <v>1</v>
      </c>
      <c r="AT470" s="316">
        <v>1</v>
      </c>
    </row>
    <row r="471" spans="2:46" ht="12.75" hidden="1" customHeight="1" x14ac:dyDescent="0.15">
      <c r="B471" s="312">
        <v>5199</v>
      </c>
      <c r="C471" s="313" t="s">
        <v>522</v>
      </c>
      <c r="D471" s="313" t="s">
        <v>101</v>
      </c>
      <c r="E471" s="313" t="s">
        <v>1817</v>
      </c>
      <c r="F471" s="313" t="s">
        <v>1591</v>
      </c>
      <c r="G471" s="315" t="e">
        <f>_xlfn.XLOOKUP(B471,'WFP Details - 2026'!A:A,'WFP Details - 2026'!Z:Z)</f>
        <v>#N/A</v>
      </c>
      <c r="H471" s="314">
        <v>46461</v>
      </c>
      <c r="I471" s="315">
        <v>3</v>
      </c>
      <c r="J471" s="315">
        <v>2027</v>
      </c>
      <c r="K471" s="316">
        <v>0</v>
      </c>
      <c r="L471" s="316">
        <v>0</v>
      </c>
      <c r="M471" s="316">
        <v>0</v>
      </c>
      <c r="N471" s="316">
        <v>0</v>
      </c>
      <c r="O471" s="316">
        <v>0</v>
      </c>
      <c r="P471" s="316">
        <v>0</v>
      </c>
      <c r="Q471" s="316">
        <v>0</v>
      </c>
      <c r="R471" s="316">
        <v>0</v>
      </c>
      <c r="S471" s="316">
        <v>0</v>
      </c>
      <c r="T471" s="316">
        <v>0</v>
      </c>
      <c r="U471" s="316">
        <v>0</v>
      </c>
      <c r="V471" s="316">
        <v>0</v>
      </c>
      <c r="W471" s="316">
        <v>0</v>
      </c>
      <c r="X471" s="316">
        <v>0</v>
      </c>
      <c r="Y471" s="316">
        <v>1</v>
      </c>
      <c r="Z471" s="316">
        <v>1</v>
      </c>
      <c r="AA471" s="316">
        <v>1</v>
      </c>
      <c r="AB471" s="316">
        <v>1</v>
      </c>
      <c r="AC471" s="316">
        <v>1</v>
      </c>
      <c r="AD471" s="316">
        <v>1</v>
      </c>
      <c r="AE471" s="316">
        <v>1</v>
      </c>
      <c r="AF471" s="316">
        <v>1</v>
      </c>
      <c r="AG471" s="316">
        <v>1</v>
      </c>
      <c r="AH471" s="316">
        <v>1</v>
      </c>
      <c r="AI471" s="316">
        <v>1</v>
      </c>
      <c r="AJ471" s="316">
        <v>1</v>
      </c>
      <c r="AK471" s="316">
        <v>1</v>
      </c>
      <c r="AL471" s="316">
        <v>1</v>
      </c>
      <c r="AM471" s="316">
        <v>1</v>
      </c>
      <c r="AN471" s="316">
        <v>1</v>
      </c>
      <c r="AO471" s="316">
        <v>1</v>
      </c>
      <c r="AP471" s="316">
        <v>1</v>
      </c>
      <c r="AQ471" s="316">
        <v>1</v>
      </c>
      <c r="AR471" s="316">
        <v>1</v>
      </c>
      <c r="AS471" s="316">
        <v>1</v>
      </c>
      <c r="AT471" s="316">
        <v>1</v>
      </c>
    </row>
    <row r="472" spans="2:46" ht="12.75" hidden="1" customHeight="1" x14ac:dyDescent="0.15">
      <c r="B472" s="312">
        <v>5202</v>
      </c>
      <c r="C472" s="313" t="s">
        <v>522</v>
      </c>
      <c r="D472" s="313" t="s">
        <v>101</v>
      </c>
      <c r="E472" s="313" t="s">
        <v>1805</v>
      </c>
      <c r="F472" s="313" t="s">
        <v>1592</v>
      </c>
      <c r="G472" s="315" t="e">
        <f>_xlfn.XLOOKUP(B472,'WFP Details - 2026'!A:A,'WFP Details - 2026'!Z:Z)</f>
        <v>#N/A</v>
      </c>
      <c r="H472" s="314">
        <v>46461</v>
      </c>
      <c r="I472" s="315">
        <v>3</v>
      </c>
      <c r="J472" s="315">
        <v>2027</v>
      </c>
      <c r="K472" s="316">
        <v>0</v>
      </c>
      <c r="L472" s="316">
        <v>0</v>
      </c>
      <c r="M472" s="316">
        <v>0</v>
      </c>
      <c r="N472" s="316">
        <v>0</v>
      </c>
      <c r="O472" s="316">
        <v>0</v>
      </c>
      <c r="P472" s="316">
        <v>0</v>
      </c>
      <c r="Q472" s="316">
        <v>0</v>
      </c>
      <c r="R472" s="316">
        <v>0</v>
      </c>
      <c r="S472" s="316">
        <v>0</v>
      </c>
      <c r="T472" s="316">
        <v>0</v>
      </c>
      <c r="U472" s="316">
        <v>0</v>
      </c>
      <c r="V472" s="316">
        <v>0</v>
      </c>
      <c r="W472" s="316">
        <v>0</v>
      </c>
      <c r="X472" s="316">
        <v>0</v>
      </c>
      <c r="Y472" s="316">
        <v>1</v>
      </c>
      <c r="Z472" s="316">
        <v>1</v>
      </c>
      <c r="AA472" s="316">
        <v>1</v>
      </c>
      <c r="AB472" s="316">
        <v>1</v>
      </c>
      <c r="AC472" s="316">
        <v>1</v>
      </c>
      <c r="AD472" s="316">
        <v>1</v>
      </c>
      <c r="AE472" s="316">
        <v>1</v>
      </c>
      <c r="AF472" s="316">
        <v>1</v>
      </c>
      <c r="AG472" s="316">
        <v>1</v>
      </c>
      <c r="AH472" s="316">
        <v>1</v>
      </c>
      <c r="AI472" s="316">
        <v>1</v>
      </c>
      <c r="AJ472" s="316">
        <v>1</v>
      </c>
      <c r="AK472" s="316">
        <v>1</v>
      </c>
      <c r="AL472" s="316">
        <v>1</v>
      </c>
      <c r="AM472" s="316">
        <v>1</v>
      </c>
      <c r="AN472" s="316">
        <v>1</v>
      </c>
      <c r="AO472" s="316">
        <v>1</v>
      </c>
      <c r="AP472" s="316">
        <v>1</v>
      </c>
      <c r="AQ472" s="316">
        <v>1</v>
      </c>
      <c r="AR472" s="316">
        <v>1</v>
      </c>
      <c r="AS472" s="316">
        <v>1</v>
      </c>
      <c r="AT472" s="316">
        <v>1</v>
      </c>
    </row>
    <row r="473" spans="2:46" ht="12.75" hidden="1" customHeight="1" x14ac:dyDescent="0.15">
      <c r="B473" s="312">
        <v>5205</v>
      </c>
      <c r="C473" s="313" t="s">
        <v>522</v>
      </c>
      <c r="D473" s="313" t="s">
        <v>101</v>
      </c>
      <c r="E473" s="313" t="s">
        <v>1817</v>
      </c>
      <c r="F473" s="313" t="s">
        <v>1593</v>
      </c>
      <c r="G473" s="315" t="e">
        <f>_xlfn.XLOOKUP(B473,'WFP Details - 2026'!A:A,'WFP Details - 2026'!Z:Z)</f>
        <v>#N/A</v>
      </c>
      <c r="H473" s="314">
        <v>46461</v>
      </c>
      <c r="I473" s="315">
        <v>3</v>
      </c>
      <c r="J473" s="315">
        <v>2027</v>
      </c>
      <c r="K473" s="316">
        <v>0</v>
      </c>
      <c r="L473" s="316">
        <v>0</v>
      </c>
      <c r="M473" s="316">
        <v>0</v>
      </c>
      <c r="N473" s="316">
        <v>0</v>
      </c>
      <c r="O473" s="316">
        <v>0</v>
      </c>
      <c r="P473" s="316">
        <v>0</v>
      </c>
      <c r="Q473" s="316">
        <v>0</v>
      </c>
      <c r="R473" s="316">
        <v>0</v>
      </c>
      <c r="S473" s="316">
        <v>0</v>
      </c>
      <c r="T473" s="316">
        <v>0</v>
      </c>
      <c r="U473" s="316">
        <v>0</v>
      </c>
      <c r="V473" s="316">
        <v>0</v>
      </c>
      <c r="W473" s="316">
        <v>0</v>
      </c>
      <c r="X473" s="316">
        <v>0</v>
      </c>
      <c r="Y473" s="316">
        <v>1</v>
      </c>
      <c r="Z473" s="316">
        <v>1</v>
      </c>
      <c r="AA473" s="316">
        <v>1</v>
      </c>
      <c r="AB473" s="316">
        <v>1</v>
      </c>
      <c r="AC473" s="316">
        <v>1</v>
      </c>
      <c r="AD473" s="316">
        <v>1</v>
      </c>
      <c r="AE473" s="316">
        <v>1</v>
      </c>
      <c r="AF473" s="316">
        <v>1</v>
      </c>
      <c r="AG473" s="316">
        <v>1</v>
      </c>
      <c r="AH473" s="316">
        <v>1</v>
      </c>
      <c r="AI473" s="316">
        <v>1</v>
      </c>
      <c r="AJ473" s="316">
        <v>1</v>
      </c>
      <c r="AK473" s="316">
        <v>1</v>
      </c>
      <c r="AL473" s="316">
        <v>1</v>
      </c>
      <c r="AM473" s="316">
        <v>1</v>
      </c>
      <c r="AN473" s="316">
        <v>1</v>
      </c>
      <c r="AO473" s="316">
        <v>1</v>
      </c>
      <c r="AP473" s="316">
        <v>1</v>
      </c>
      <c r="AQ473" s="316">
        <v>1</v>
      </c>
      <c r="AR473" s="316">
        <v>1</v>
      </c>
      <c r="AS473" s="316">
        <v>1</v>
      </c>
      <c r="AT473" s="316">
        <v>1</v>
      </c>
    </row>
    <row r="474" spans="2:46" ht="12.75" hidden="1" customHeight="1" x14ac:dyDescent="0.15">
      <c r="B474" s="312">
        <v>5209</v>
      </c>
      <c r="C474" s="313" t="s">
        <v>522</v>
      </c>
      <c r="D474" s="313" t="s">
        <v>101</v>
      </c>
      <c r="E474" s="313" t="s">
        <v>1805</v>
      </c>
      <c r="F474" s="313" t="s">
        <v>1592</v>
      </c>
      <c r="G474" s="315" t="e">
        <f>_xlfn.XLOOKUP(B474,'WFP Details - 2026'!A:A,'WFP Details - 2026'!Z:Z)</f>
        <v>#N/A</v>
      </c>
      <c r="H474" s="314">
        <v>46461</v>
      </c>
      <c r="I474" s="315">
        <v>3</v>
      </c>
      <c r="J474" s="315">
        <v>2027</v>
      </c>
      <c r="K474" s="316">
        <v>0</v>
      </c>
      <c r="L474" s="316">
        <v>0</v>
      </c>
      <c r="M474" s="316">
        <v>0</v>
      </c>
      <c r="N474" s="316">
        <v>0</v>
      </c>
      <c r="O474" s="316">
        <v>0</v>
      </c>
      <c r="P474" s="316">
        <v>0</v>
      </c>
      <c r="Q474" s="316">
        <v>0</v>
      </c>
      <c r="R474" s="316">
        <v>0</v>
      </c>
      <c r="S474" s="316">
        <v>0</v>
      </c>
      <c r="T474" s="316">
        <v>0</v>
      </c>
      <c r="U474" s="316">
        <v>0</v>
      </c>
      <c r="V474" s="316">
        <v>0</v>
      </c>
      <c r="W474" s="316">
        <v>0</v>
      </c>
      <c r="X474" s="316">
        <v>0</v>
      </c>
      <c r="Y474" s="316">
        <v>1</v>
      </c>
      <c r="Z474" s="316">
        <v>1</v>
      </c>
      <c r="AA474" s="316">
        <v>1</v>
      </c>
      <c r="AB474" s="316">
        <v>1</v>
      </c>
      <c r="AC474" s="316">
        <v>1</v>
      </c>
      <c r="AD474" s="316">
        <v>1</v>
      </c>
      <c r="AE474" s="316">
        <v>1</v>
      </c>
      <c r="AF474" s="316">
        <v>1</v>
      </c>
      <c r="AG474" s="316">
        <v>1</v>
      </c>
      <c r="AH474" s="316">
        <v>1</v>
      </c>
      <c r="AI474" s="316">
        <v>1</v>
      </c>
      <c r="AJ474" s="316">
        <v>1</v>
      </c>
      <c r="AK474" s="316">
        <v>1</v>
      </c>
      <c r="AL474" s="316">
        <v>1</v>
      </c>
      <c r="AM474" s="316">
        <v>1</v>
      </c>
      <c r="AN474" s="316">
        <v>1</v>
      </c>
      <c r="AO474" s="316">
        <v>1</v>
      </c>
      <c r="AP474" s="316">
        <v>1</v>
      </c>
      <c r="AQ474" s="316">
        <v>1</v>
      </c>
      <c r="AR474" s="316">
        <v>1</v>
      </c>
      <c r="AS474" s="316">
        <v>1</v>
      </c>
      <c r="AT474" s="316">
        <v>1</v>
      </c>
    </row>
    <row r="475" spans="2:46" ht="12.75" hidden="1" customHeight="1" x14ac:dyDescent="0.15">
      <c r="B475" s="312">
        <v>5204</v>
      </c>
      <c r="C475" s="313" t="s">
        <v>522</v>
      </c>
      <c r="D475" s="313" t="s">
        <v>101</v>
      </c>
      <c r="E475" s="313" t="s">
        <v>1792</v>
      </c>
      <c r="F475" s="313" t="s">
        <v>1595</v>
      </c>
      <c r="G475" s="315" t="e">
        <f>_xlfn.XLOOKUP(B475,'WFP Details - 2026'!A:A,'WFP Details - 2026'!Z:Z)</f>
        <v>#N/A</v>
      </c>
      <c r="H475" s="314">
        <v>46553</v>
      </c>
      <c r="I475" s="315">
        <v>6</v>
      </c>
      <c r="J475" s="315">
        <v>2027</v>
      </c>
      <c r="K475" s="316">
        <v>0</v>
      </c>
      <c r="L475" s="316">
        <v>0</v>
      </c>
      <c r="M475" s="316">
        <v>0</v>
      </c>
      <c r="N475" s="316">
        <v>0</v>
      </c>
      <c r="O475" s="316">
        <v>0</v>
      </c>
      <c r="P475" s="316">
        <v>0</v>
      </c>
      <c r="Q475" s="316">
        <v>0</v>
      </c>
      <c r="R475" s="316">
        <v>0</v>
      </c>
      <c r="S475" s="316">
        <v>0</v>
      </c>
      <c r="T475" s="316">
        <v>0</v>
      </c>
      <c r="U475" s="316">
        <v>0</v>
      </c>
      <c r="V475" s="316">
        <v>0</v>
      </c>
      <c r="W475" s="316">
        <v>0</v>
      </c>
      <c r="X475" s="316">
        <v>0</v>
      </c>
      <c r="Y475" s="316">
        <v>0</v>
      </c>
      <c r="Z475" s="316">
        <v>0</v>
      </c>
      <c r="AA475" s="316">
        <v>0</v>
      </c>
      <c r="AB475" s="316">
        <v>1</v>
      </c>
      <c r="AC475" s="316">
        <v>1</v>
      </c>
      <c r="AD475" s="316">
        <v>1</v>
      </c>
      <c r="AE475" s="316">
        <v>1</v>
      </c>
      <c r="AF475" s="316">
        <v>1</v>
      </c>
      <c r="AG475" s="316">
        <v>1</v>
      </c>
      <c r="AH475" s="316">
        <v>1</v>
      </c>
      <c r="AI475" s="316">
        <v>1</v>
      </c>
      <c r="AJ475" s="316">
        <v>1</v>
      </c>
      <c r="AK475" s="316">
        <v>1</v>
      </c>
      <c r="AL475" s="316">
        <v>1</v>
      </c>
      <c r="AM475" s="316">
        <v>1</v>
      </c>
      <c r="AN475" s="316">
        <v>1</v>
      </c>
      <c r="AO475" s="316">
        <v>1</v>
      </c>
      <c r="AP475" s="316">
        <v>1</v>
      </c>
      <c r="AQ475" s="316">
        <v>1</v>
      </c>
      <c r="AR475" s="316">
        <v>1</v>
      </c>
      <c r="AS475" s="316">
        <v>1</v>
      </c>
      <c r="AT475" s="316">
        <v>1</v>
      </c>
    </row>
    <row r="476" spans="2:46" ht="12.75" hidden="1" customHeight="1" x14ac:dyDescent="0.15">
      <c r="B476" s="312">
        <v>5207</v>
      </c>
      <c r="C476" s="313" t="s">
        <v>522</v>
      </c>
      <c r="D476" s="313" t="s">
        <v>101</v>
      </c>
      <c r="E476" s="313" t="s">
        <v>1805</v>
      </c>
      <c r="F476" s="313" t="s">
        <v>1596</v>
      </c>
      <c r="G476" s="315" t="e">
        <f>_xlfn.XLOOKUP(B476,'WFP Details - 2026'!A:A,'WFP Details - 2026'!Z:Z)</f>
        <v>#N/A</v>
      </c>
      <c r="H476" s="314">
        <v>46553</v>
      </c>
      <c r="I476" s="315">
        <v>6</v>
      </c>
      <c r="J476" s="315">
        <v>2027</v>
      </c>
      <c r="K476" s="316">
        <v>0</v>
      </c>
      <c r="L476" s="316">
        <v>0</v>
      </c>
      <c r="M476" s="316">
        <v>0</v>
      </c>
      <c r="N476" s="316">
        <v>0</v>
      </c>
      <c r="O476" s="316">
        <v>0</v>
      </c>
      <c r="P476" s="316">
        <v>0</v>
      </c>
      <c r="Q476" s="316">
        <v>0</v>
      </c>
      <c r="R476" s="316">
        <v>0</v>
      </c>
      <c r="S476" s="316">
        <v>0</v>
      </c>
      <c r="T476" s="316">
        <v>0</v>
      </c>
      <c r="U476" s="316">
        <v>0</v>
      </c>
      <c r="V476" s="316">
        <v>0</v>
      </c>
      <c r="W476" s="316">
        <v>0</v>
      </c>
      <c r="X476" s="316">
        <v>0</v>
      </c>
      <c r="Y476" s="316">
        <v>0</v>
      </c>
      <c r="Z476" s="316">
        <v>0</v>
      </c>
      <c r="AA476" s="316">
        <v>0</v>
      </c>
      <c r="AB476" s="316">
        <v>1</v>
      </c>
      <c r="AC476" s="316">
        <v>1</v>
      </c>
      <c r="AD476" s="316">
        <v>1</v>
      </c>
      <c r="AE476" s="316">
        <v>1</v>
      </c>
      <c r="AF476" s="316">
        <v>1</v>
      </c>
      <c r="AG476" s="316">
        <v>1</v>
      </c>
      <c r="AH476" s="316">
        <v>1</v>
      </c>
      <c r="AI476" s="316">
        <v>1</v>
      </c>
      <c r="AJ476" s="316">
        <v>1</v>
      </c>
      <c r="AK476" s="316">
        <v>1</v>
      </c>
      <c r="AL476" s="316">
        <v>1</v>
      </c>
      <c r="AM476" s="316">
        <v>1</v>
      </c>
      <c r="AN476" s="316">
        <v>1</v>
      </c>
      <c r="AO476" s="316">
        <v>1</v>
      </c>
      <c r="AP476" s="316">
        <v>1</v>
      </c>
      <c r="AQ476" s="316">
        <v>1</v>
      </c>
      <c r="AR476" s="316">
        <v>1</v>
      </c>
      <c r="AS476" s="316">
        <v>1</v>
      </c>
      <c r="AT476" s="316">
        <v>1</v>
      </c>
    </row>
    <row r="477" spans="2:46" ht="12.75" hidden="1" customHeight="1" x14ac:dyDescent="0.15">
      <c r="B477" s="312">
        <v>1357</v>
      </c>
      <c r="C477" s="313" t="s">
        <v>522</v>
      </c>
      <c r="D477" s="313" t="s">
        <v>101</v>
      </c>
      <c r="E477" s="313" t="s">
        <v>1793</v>
      </c>
      <c r="F477" s="313" t="s">
        <v>1597</v>
      </c>
      <c r="G477" s="315" t="e">
        <f>_xlfn.XLOOKUP(B477,'WFP Details - 2026'!A:A,'WFP Details - 2026'!Z:Z)</f>
        <v>#N/A</v>
      </c>
      <c r="H477" s="314">
        <v>46645</v>
      </c>
      <c r="I477" s="315">
        <v>9</v>
      </c>
      <c r="J477" s="315">
        <v>2027</v>
      </c>
      <c r="K477" s="316">
        <v>0</v>
      </c>
      <c r="L477" s="316">
        <v>0</v>
      </c>
      <c r="M477" s="316">
        <v>0</v>
      </c>
      <c r="N477" s="316">
        <v>0</v>
      </c>
      <c r="O477" s="316">
        <v>0</v>
      </c>
      <c r="P477" s="316">
        <v>0</v>
      </c>
      <c r="Q477" s="316">
        <v>0</v>
      </c>
      <c r="R477" s="316">
        <v>0</v>
      </c>
      <c r="S477" s="316">
        <v>0</v>
      </c>
      <c r="T477" s="316">
        <v>0</v>
      </c>
      <c r="U477" s="316">
        <v>0</v>
      </c>
      <c r="V477" s="316">
        <v>0</v>
      </c>
      <c r="W477" s="316">
        <v>0</v>
      </c>
      <c r="X477" s="316">
        <v>0</v>
      </c>
      <c r="Y477" s="316">
        <v>0</v>
      </c>
      <c r="Z477" s="316">
        <v>0</v>
      </c>
      <c r="AA477" s="316">
        <v>0</v>
      </c>
      <c r="AB477" s="316">
        <v>0</v>
      </c>
      <c r="AC477" s="316">
        <v>0</v>
      </c>
      <c r="AD477" s="316">
        <v>0</v>
      </c>
      <c r="AE477" s="316">
        <v>1</v>
      </c>
      <c r="AF477" s="316">
        <v>1</v>
      </c>
      <c r="AG477" s="316">
        <v>1</v>
      </c>
      <c r="AH477" s="316">
        <v>1</v>
      </c>
      <c r="AI477" s="316">
        <v>1</v>
      </c>
      <c r="AJ477" s="316">
        <v>1</v>
      </c>
      <c r="AK477" s="316">
        <v>1</v>
      </c>
      <c r="AL477" s="316">
        <v>1</v>
      </c>
      <c r="AM477" s="316">
        <v>1</v>
      </c>
      <c r="AN477" s="316">
        <v>1</v>
      </c>
      <c r="AO477" s="316">
        <v>1</v>
      </c>
      <c r="AP477" s="316">
        <v>1</v>
      </c>
      <c r="AQ477" s="316">
        <v>1</v>
      </c>
      <c r="AR477" s="316">
        <v>1</v>
      </c>
      <c r="AS477" s="316">
        <v>1</v>
      </c>
      <c r="AT477" s="316">
        <v>1</v>
      </c>
    </row>
    <row r="478" spans="2:46" ht="12.75" hidden="1" customHeight="1" x14ac:dyDescent="0.15">
      <c r="B478" s="312">
        <v>5206</v>
      </c>
      <c r="C478" s="313" t="s">
        <v>522</v>
      </c>
      <c r="D478" s="313" t="s">
        <v>101</v>
      </c>
      <c r="E478" s="313" t="s">
        <v>1805</v>
      </c>
      <c r="F478" s="313" t="s">
        <v>1599</v>
      </c>
      <c r="G478" s="315" t="e">
        <f>_xlfn.XLOOKUP(B478,'WFP Details - 2026'!A:A,'WFP Details - 2026'!Z:Z)</f>
        <v>#N/A</v>
      </c>
      <c r="H478" s="314">
        <v>46645</v>
      </c>
      <c r="I478" s="315">
        <v>9</v>
      </c>
      <c r="J478" s="315">
        <v>2027</v>
      </c>
      <c r="K478" s="316">
        <v>0</v>
      </c>
      <c r="L478" s="316">
        <v>0</v>
      </c>
      <c r="M478" s="316">
        <v>0</v>
      </c>
      <c r="N478" s="316">
        <v>0</v>
      </c>
      <c r="O478" s="316">
        <v>0</v>
      </c>
      <c r="P478" s="316">
        <v>0</v>
      </c>
      <c r="Q478" s="316">
        <v>0</v>
      </c>
      <c r="R478" s="316">
        <v>0</v>
      </c>
      <c r="S478" s="316">
        <v>0</v>
      </c>
      <c r="T478" s="316">
        <v>0</v>
      </c>
      <c r="U478" s="316">
        <v>0</v>
      </c>
      <c r="V478" s="316">
        <v>0</v>
      </c>
      <c r="W478" s="316">
        <v>0</v>
      </c>
      <c r="X478" s="316">
        <v>0</v>
      </c>
      <c r="Y478" s="316">
        <v>0</v>
      </c>
      <c r="Z478" s="316">
        <v>0</v>
      </c>
      <c r="AA478" s="316">
        <v>0</v>
      </c>
      <c r="AB478" s="316">
        <v>0</v>
      </c>
      <c r="AC478" s="316">
        <v>0</v>
      </c>
      <c r="AD478" s="316">
        <v>0</v>
      </c>
      <c r="AE478" s="316">
        <v>1</v>
      </c>
      <c r="AF478" s="316">
        <v>1</v>
      </c>
      <c r="AG478" s="316">
        <v>1</v>
      </c>
      <c r="AH478" s="316">
        <v>1</v>
      </c>
      <c r="AI478" s="316">
        <v>1</v>
      </c>
      <c r="AJ478" s="316">
        <v>1</v>
      </c>
      <c r="AK478" s="316">
        <v>1</v>
      </c>
      <c r="AL478" s="316">
        <v>1</v>
      </c>
      <c r="AM478" s="316">
        <v>1</v>
      </c>
      <c r="AN478" s="316">
        <v>1</v>
      </c>
      <c r="AO478" s="316">
        <v>1</v>
      </c>
      <c r="AP478" s="316">
        <v>1</v>
      </c>
      <c r="AQ478" s="316">
        <v>1</v>
      </c>
      <c r="AR478" s="316">
        <v>1</v>
      </c>
      <c r="AS478" s="316">
        <v>1</v>
      </c>
      <c r="AT478" s="316">
        <v>1</v>
      </c>
    </row>
    <row r="479" spans="2:46" ht="12.75" hidden="1" customHeight="1" x14ac:dyDescent="0.15">
      <c r="B479" s="318">
        <v>5208</v>
      </c>
      <c r="C479" s="313" t="s">
        <v>522</v>
      </c>
      <c r="D479" s="313" t="s">
        <v>101</v>
      </c>
      <c r="E479" s="313" t="s">
        <v>1805</v>
      </c>
      <c r="F479" s="313" t="s">
        <v>1600</v>
      </c>
      <c r="G479" s="315" t="e">
        <f>_xlfn.XLOOKUP(B479,'WFP Details - 2026'!A:A,'WFP Details - 2026'!Z:Z)</f>
        <v>#N/A</v>
      </c>
      <c r="H479" s="314">
        <v>46645</v>
      </c>
      <c r="I479" s="315">
        <v>9</v>
      </c>
      <c r="J479" s="315">
        <v>2027</v>
      </c>
      <c r="K479" s="316">
        <v>0</v>
      </c>
      <c r="L479" s="316">
        <v>0</v>
      </c>
      <c r="M479" s="316">
        <v>0</v>
      </c>
      <c r="N479" s="316">
        <v>0</v>
      </c>
      <c r="O479" s="316">
        <v>0</v>
      </c>
      <c r="P479" s="316">
        <v>0</v>
      </c>
      <c r="Q479" s="316">
        <v>0</v>
      </c>
      <c r="R479" s="316">
        <v>0</v>
      </c>
      <c r="S479" s="316">
        <v>0</v>
      </c>
      <c r="T479" s="316">
        <v>0</v>
      </c>
      <c r="U479" s="316">
        <v>0</v>
      </c>
      <c r="V479" s="316">
        <v>0</v>
      </c>
      <c r="W479" s="316">
        <v>0</v>
      </c>
      <c r="X479" s="316">
        <v>0</v>
      </c>
      <c r="Y479" s="316">
        <v>0</v>
      </c>
      <c r="Z479" s="316">
        <v>0</v>
      </c>
      <c r="AA479" s="316">
        <v>0</v>
      </c>
      <c r="AB479" s="316">
        <v>0</v>
      </c>
      <c r="AC479" s="316">
        <v>0</v>
      </c>
      <c r="AD479" s="316">
        <v>0</v>
      </c>
      <c r="AE479" s="316">
        <v>1</v>
      </c>
      <c r="AF479" s="316">
        <v>1</v>
      </c>
      <c r="AG479" s="316">
        <v>1</v>
      </c>
      <c r="AH479" s="316">
        <v>1</v>
      </c>
      <c r="AI479" s="316">
        <v>1</v>
      </c>
      <c r="AJ479" s="316">
        <v>1</v>
      </c>
      <c r="AK479" s="316">
        <v>1</v>
      </c>
      <c r="AL479" s="316">
        <v>1</v>
      </c>
      <c r="AM479" s="316">
        <v>1</v>
      </c>
      <c r="AN479" s="316">
        <v>1</v>
      </c>
      <c r="AO479" s="316">
        <v>1</v>
      </c>
      <c r="AP479" s="316">
        <v>1</v>
      </c>
      <c r="AQ479" s="316">
        <v>1</v>
      </c>
      <c r="AR479" s="316">
        <v>1</v>
      </c>
      <c r="AS479" s="316">
        <v>1</v>
      </c>
      <c r="AT479" s="316">
        <v>1</v>
      </c>
    </row>
    <row r="480" spans="2:46" ht="12.75" hidden="1" customHeight="1" x14ac:dyDescent="0.15">
      <c r="B480" s="318">
        <v>5210</v>
      </c>
      <c r="C480" s="313" t="s">
        <v>522</v>
      </c>
      <c r="D480" s="313" t="s">
        <v>101</v>
      </c>
      <c r="E480" s="313" t="s">
        <v>1805</v>
      </c>
      <c r="F480" s="313" t="s">
        <v>1596</v>
      </c>
      <c r="G480" s="315" t="e">
        <f>_xlfn.XLOOKUP(B480,'WFP Details - 2026'!A:A,'WFP Details - 2026'!Z:Z)</f>
        <v>#N/A</v>
      </c>
      <c r="H480" s="314">
        <v>46827</v>
      </c>
      <c r="I480" s="315">
        <v>3</v>
      </c>
      <c r="J480" s="315">
        <v>2028</v>
      </c>
      <c r="K480" s="316">
        <v>0</v>
      </c>
      <c r="L480" s="316">
        <v>0</v>
      </c>
      <c r="M480" s="316">
        <v>0</v>
      </c>
      <c r="N480" s="316">
        <v>0</v>
      </c>
      <c r="O480" s="316">
        <v>0</v>
      </c>
      <c r="P480" s="316">
        <v>0</v>
      </c>
      <c r="Q480" s="316">
        <v>0</v>
      </c>
      <c r="R480" s="316">
        <v>0</v>
      </c>
      <c r="S480" s="316">
        <v>0</v>
      </c>
      <c r="T480" s="316">
        <v>0</v>
      </c>
      <c r="U480" s="316">
        <v>0</v>
      </c>
      <c r="V480" s="316">
        <v>0</v>
      </c>
      <c r="W480" s="316">
        <v>0</v>
      </c>
      <c r="X480" s="316">
        <v>0</v>
      </c>
      <c r="Y480" s="316">
        <v>0</v>
      </c>
      <c r="Z480" s="316">
        <v>0</v>
      </c>
      <c r="AA480" s="316">
        <v>0</v>
      </c>
      <c r="AB480" s="316">
        <v>0</v>
      </c>
      <c r="AC480" s="316">
        <v>0</v>
      </c>
      <c r="AD480" s="316">
        <v>0</v>
      </c>
      <c r="AE480" s="316">
        <v>0</v>
      </c>
      <c r="AF480" s="316">
        <v>0</v>
      </c>
      <c r="AG480" s="316">
        <v>0</v>
      </c>
      <c r="AH480" s="316">
        <v>0</v>
      </c>
      <c r="AI480" s="316">
        <v>0</v>
      </c>
      <c r="AJ480" s="316">
        <v>0</v>
      </c>
      <c r="AK480" s="316">
        <v>1</v>
      </c>
      <c r="AL480" s="316">
        <v>1</v>
      </c>
      <c r="AM480" s="316">
        <v>1</v>
      </c>
      <c r="AN480" s="316">
        <v>1</v>
      </c>
      <c r="AO480" s="316">
        <v>1</v>
      </c>
      <c r="AP480" s="316">
        <v>1</v>
      </c>
      <c r="AQ480" s="316">
        <v>1</v>
      </c>
      <c r="AR480" s="316">
        <v>1</v>
      </c>
      <c r="AS480" s="316">
        <v>1</v>
      </c>
      <c r="AT480" s="316">
        <v>1</v>
      </c>
    </row>
    <row r="481" spans="2:46" ht="12.75" customHeight="1" x14ac:dyDescent="0.15">
      <c r="B481" s="315">
        <v>1005</v>
      </c>
      <c r="C481" s="319" t="s">
        <v>733</v>
      </c>
      <c r="D481" s="313" t="s">
        <v>1996</v>
      </c>
      <c r="E481" s="319" t="s">
        <v>1817</v>
      </c>
      <c r="F481" s="319" t="s">
        <v>1997</v>
      </c>
      <c r="G481" s="315" t="str">
        <f>_xlfn.XLOOKUP(B481,'WFP Details - 2026'!A:A,'WFP Details - 2026'!Z:Z)</f>
        <v>x</v>
      </c>
      <c r="H481" s="314">
        <v>45506</v>
      </c>
      <c r="I481" s="315">
        <v>8</v>
      </c>
      <c r="J481" s="315">
        <v>2024</v>
      </c>
      <c r="K481" s="316">
        <v>1</v>
      </c>
      <c r="L481" s="316">
        <v>1</v>
      </c>
      <c r="M481" s="316">
        <v>1</v>
      </c>
      <c r="N481" s="316">
        <v>1</v>
      </c>
      <c r="O481" s="316">
        <v>1</v>
      </c>
      <c r="P481" s="316">
        <v>1</v>
      </c>
      <c r="Q481" s="316">
        <v>1</v>
      </c>
      <c r="R481" s="316">
        <v>1</v>
      </c>
      <c r="S481" s="316">
        <v>1</v>
      </c>
      <c r="T481" s="316">
        <v>1</v>
      </c>
      <c r="U481" s="316">
        <v>1</v>
      </c>
      <c r="V481" s="316">
        <v>1</v>
      </c>
      <c r="W481" s="316">
        <v>1</v>
      </c>
      <c r="X481" s="316">
        <v>1</v>
      </c>
      <c r="Y481" s="316">
        <v>1</v>
      </c>
      <c r="Z481" s="316">
        <v>1</v>
      </c>
      <c r="AA481" s="316">
        <v>1</v>
      </c>
      <c r="AB481" s="316">
        <v>1</v>
      </c>
      <c r="AC481" s="316">
        <v>1</v>
      </c>
      <c r="AD481" s="316">
        <v>1</v>
      </c>
      <c r="AE481" s="316">
        <v>1</v>
      </c>
      <c r="AF481" s="316">
        <v>1</v>
      </c>
      <c r="AG481" s="316">
        <v>1</v>
      </c>
      <c r="AH481" s="316">
        <v>1</v>
      </c>
      <c r="AI481" s="316">
        <v>1</v>
      </c>
      <c r="AJ481" s="316">
        <v>1</v>
      </c>
      <c r="AK481" s="316">
        <v>1</v>
      </c>
      <c r="AL481" s="316">
        <v>1</v>
      </c>
      <c r="AM481" s="316">
        <v>1</v>
      </c>
      <c r="AN481" s="316">
        <v>1</v>
      </c>
      <c r="AO481" s="316">
        <v>1</v>
      </c>
      <c r="AP481" s="316">
        <v>1</v>
      </c>
      <c r="AQ481" s="316">
        <v>1</v>
      </c>
      <c r="AR481" s="316">
        <v>1</v>
      </c>
      <c r="AS481" s="316">
        <v>1</v>
      </c>
      <c r="AT481" s="316">
        <v>1</v>
      </c>
    </row>
    <row r="482" spans="2:46" ht="12.75" customHeight="1" x14ac:dyDescent="0.15">
      <c r="B482" s="318">
        <v>1397</v>
      </c>
      <c r="C482" s="313" t="s">
        <v>733</v>
      </c>
      <c r="D482" s="313" t="s">
        <v>101</v>
      </c>
      <c r="E482" s="319" t="s">
        <v>1792</v>
      </c>
      <c r="F482" s="319" t="s">
        <v>734</v>
      </c>
      <c r="G482" s="315" t="str">
        <f>_xlfn.XLOOKUP(B482,'WFP Details - 2026'!A:A,'WFP Details - 2026'!Z:Z)</f>
        <v>x</v>
      </c>
      <c r="H482" s="314">
        <v>46006</v>
      </c>
      <c r="I482" s="315">
        <v>12</v>
      </c>
      <c r="J482" s="315">
        <v>2025</v>
      </c>
      <c r="K482" s="316">
        <v>1</v>
      </c>
      <c r="L482" s="316">
        <v>1</v>
      </c>
      <c r="M482" s="316">
        <v>1</v>
      </c>
      <c r="N482" s="316">
        <v>1</v>
      </c>
      <c r="O482" s="316">
        <v>1</v>
      </c>
      <c r="P482" s="316">
        <v>1</v>
      </c>
      <c r="Q482" s="316">
        <v>1</v>
      </c>
      <c r="R482" s="316">
        <v>1</v>
      </c>
      <c r="S482" s="316">
        <v>1</v>
      </c>
      <c r="T482" s="316">
        <v>1</v>
      </c>
      <c r="U482" s="316">
        <v>1</v>
      </c>
      <c r="V482" s="316">
        <v>1</v>
      </c>
      <c r="W482" s="316">
        <v>1</v>
      </c>
      <c r="X482" s="316">
        <v>1</v>
      </c>
      <c r="Y482" s="316">
        <v>1</v>
      </c>
      <c r="Z482" s="316">
        <v>1</v>
      </c>
      <c r="AA482" s="316">
        <v>1</v>
      </c>
      <c r="AB482" s="316">
        <v>1</v>
      </c>
      <c r="AC482" s="316">
        <v>1</v>
      </c>
      <c r="AD482" s="316">
        <v>1</v>
      </c>
      <c r="AE482" s="316">
        <v>1</v>
      </c>
      <c r="AF482" s="316">
        <v>1</v>
      </c>
      <c r="AG482" s="316">
        <v>1</v>
      </c>
      <c r="AH482" s="316">
        <v>1</v>
      </c>
      <c r="AI482" s="316">
        <v>1</v>
      </c>
      <c r="AJ482" s="316">
        <v>1</v>
      </c>
      <c r="AK482" s="316">
        <v>1</v>
      </c>
      <c r="AL482" s="316">
        <v>1</v>
      </c>
      <c r="AM482" s="316">
        <v>1</v>
      </c>
      <c r="AN482" s="316">
        <v>1</v>
      </c>
      <c r="AO482" s="316">
        <v>1</v>
      </c>
      <c r="AP482" s="316">
        <v>1</v>
      </c>
      <c r="AQ482" s="316">
        <v>1</v>
      </c>
      <c r="AR482" s="316">
        <v>1</v>
      </c>
      <c r="AS482" s="316">
        <v>1</v>
      </c>
      <c r="AT482" s="316">
        <v>1</v>
      </c>
    </row>
    <row r="483" spans="2:46" ht="12.75" hidden="1" customHeight="1" x14ac:dyDescent="0.15">
      <c r="B483" s="315">
        <v>5346</v>
      </c>
      <c r="C483" s="319" t="s">
        <v>733</v>
      </c>
      <c r="D483" s="313" t="s">
        <v>101</v>
      </c>
      <c r="E483" s="313" t="s">
        <v>1793</v>
      </c>
      <c r="F483" s="319" t="s">
        <v>1129</v>
      </c>
      <c r="G483" s="315" t="e">
        <f>_xlfn.XLOOKUP(B483,'WFP Details - 2026'!A:A,'WFP Details - 2026'!Z:Z)</f>
        <v>#N/A</v>
      </c>
      <c r="H483" s="314">
        <v>46461</v>
      </c>
      <c r="I483" s="315">
        <v>3</v>
      </c>
      <c r="J483" s="315">
        <v>2027</v>
      </c>
      <c r="K483" s="316">
        <v>0</v>
      </c>
      <c r="L483" s="316">
        <v>0</v>
      </c>
      <c r="M483" s="316">
        <v>0</v>
      </c>
      <c r="N483" s="316">
        <v>0</v>
      </c>
      <c r="O483" s="316">
        <v>0</v>
      </c>
      <c r="P483" s="316">
        <v>0</v>
      </c>
      <c r="Q483" s="316">
        <v>0</v>
      </c>
      <c r="R483" s="316">
        <v>0</v>
      </c>
      <c r="S483" s="316">
        <v>0</v>
      </c>
      <c r="T483" s="316">
        <v>0</v>
      </c>
      <c r="U483" s="316">
        <v>0</v>
      </c>
      <c r="V483" s="316">
        <v>0</v>
      </c>
      <c r="W483" s="316">
        <v>0</v>
      </c>
      <c r="X483" s="316">
        <v>0</v>
      </c>
      <c r="Y483" s="316">
        <v>1</v>
      </c>
      <c r="Z483" s="316">
        <v>1</v>
      </c>
      <c r="AA483" s="316">
        <v>1</v>
      </c>
      <c r="AB483" s="316">
        <v>1</v>
      </c>
      <c r="AC483" s="316">
        <v>1</v>
      </c>
      <c r="AD483" s="316">
        <v>1</v>
      </c>
      <c r="AE483" s="316">
        <v>1</v>
      </c>
      <c r="AF483" s="316">
        <v>1</v>
      </c>
      <c r="AG483" s="316">
        <v>1</v>
      </c>
      <c r="AH483" s="316">
        <v>1</v>
      </c>
      <c r="AI483" s="316">
        <v>1</v>
      </c>
      <c r="AJ483" s="316">
        <v>1</v>
      </c>
      <c r="AK483" s="316">
        <v>1</v>
      </c>
      <c r="AL483" s="316">
        <v>1</v>
      </c>
      <c r="AM483" s="316">
        <v>1</v>
      </c>
      <c r="AN483" s="316">
        <v>1</v>
      </c>
      <c r="AO483" s="316">
        <v>1</v>
      </c>
      <c r="AP483" s="316">
        <v>1</v>
      </c>
      <c r="AQ483" s="316">
        <v>1</v>
      </c>
      <c r="AR483" s="316">
        <v>1</v>
      </c>
      <c r="AS483" s="316">
        <v>1</v>
      </c>
      <c r="AT483" s="316">
        <v>1</v>
      </c>
    </row>
    <row r="484" spans="2:46" ht="12.75" hidden="1" customHeight="1" x14ac:dyDescent="0.15">
      <c r="B484" s="315">
        <v>5347</v>
      </c>
      <c r="C484" s="319" t="s">
        <v>733</v>
      </c>
      <c r="D484" s="313" t="s">
        <v>101</v>
      </c>
      <c r="E484" s="313" t="s">
        <v>1794</v>
      </c>
      <c r="F484" s="319" t="s">
        <v>1135</v>
      </c>
      <c r="G484" s="315" t="e">
        <f>_xlfn.XLOOKUP(B484,'WFP Details - 2026'!A:A,'WFP Details - 2026'!Z:Z)</f>
        <v>#N/A</v>
      </c>
      <c r="H484" s="314">
        <v>46553</v>
      </c>
      <c r="I484" s="315">
        <v>6</v>
      </c>
      <c r="J484" s="315">
        <v>2027</v>
      </c>
      <c r="K484" s="316">
        <v>0</v>
      </c>
      <c r="L484" s="316">
        <v>0</v>
      </c>
      <c r="M484" s="316">
        <v>0</v>
      </c>
      <c r="N484" s="316">
        <v>0</v>
      </c>
      <c r="O484" s="316">
        <v>0</v>
      </c>
      <c r="P484" s="316">
        <v>0</v>
      </c>
      <c r="Q484" s="316">
        <v>0</v>
      </c>
      <c r="R484" s="316">
        <v>0</v>
      </c>
      <c r="S484" s="316">
        <v>0</v>
      </c>
      <c r="T484" s="316">
        <v>0</v>
      </c>
      <c r="U484" s="316">
        <v>0</v>
      </c>
      <c r="V484" s="316">
        <v>0</v>
      </c>
      <c r="W484" s="316">
        <v>0</v>
      </c>
      <c r="X484" s="316">
        <v>0</v>
      </c>
      <c r="Y484" s="316">
        <v>0</v>
      </c>
      <c r="Z484" s="316">
        <v>0</v>
      </c>
      <c r="AA484" s="316">
        <v>0</v>
      </c>
      <c r="AB484" s="316">
        <v>1</v>
      </c>
      <c r="AC484" s="316">
        <v>1</v>
      </c>
      <c r="AD484" s="316">
        <v>1</v>
      </c>
      <c r="AE484" s="316">
        <v>1</v>
      </c>
      <c r="AF484" s="316">
        <v>1</v>
      </c>
      <c r="AG484" s="316">
        <v>1</v>
      </c>
      <c r="AH484" s="316">
        <v>1</v>
      </c>
      <c r="AI484" s="316">
        <v>1</v>
      </c>
      <c r="AJ484" s="316">
        <v>1</v>
      </c>
      <c r="AK484" s="316">
        <v>1</v>
      </c>
      <c r="AL484" s="316">
        <v>1</v>
      </c>
      <c r="AM484" s="316">
        <v>1</v>
      </c>
      <c r="AN484" s="316">
        <v>1</v>
      </c>
      <c r="AO484" s="316">
        <v>1</v>
      </c>
      <c r="AP484" s="316">
        <v>1</v>
      </c>
      <c r="AQ484" s="316">
        <v>1</v>
      </c>
      <c r="AR484" s="316">
        <v>1</v>
      </c>
      <c r="AS484" s="316">
        <v>1</v>
      </c>
      <c r="AT484" s="316">
        <v>1</v>
      </c>
    </row>
    <row r="485" spans="2:46" ht="12.75" hidden="1" customHeight="1" x14ac:dyDescent="0.15">
      <c r="B485" s="315">
        <v>5345</v>
      </c>
      <c r="C485" s="319" t="s">
        <v>733</v>
      </c>
      <c r="D485" s="313" t="s">
        <v>101</v>
      </c>
      <c r="E485" s="313" t="s">
        <v>1805</v>
      </c>
      <c r="F485" s="319" t="s">
        <v>1139</v>
      </c>
      <c r="G485" s="315" t="e">
        <f>_xlfn.XLOOKUP(B485,'WFP Details - 2026'!A:A,'WFP Details - 2026'!Z:Z)</f>
        <v>#N/A</v>
      </c>
      <c r="H485" s="314">
        <v>46645</v>
      </c>
      <c r="I485" s="315">
        <v>9</v>
      </c>
      <c r="J485" s="315">
        <v>2027</v>
      </c>
      <c r="K485" s="316">
        <v>0</v>
      </c>
      <c r="L485" s="316">
        <v>0</v>
      </c>
      <c r="M485" s="316">
        <v>0</v>
      </c>
      <c r="N485" s="316">
        <v>0</v>
      </c>
      <c r="O485" s="316">
        <v>0</v>
      </c>
      <c r="P485" s="316">
        <v>0</v>
      </c>
      <c r="Q485" s="316">
        <v>0</v>
      </c>
      <c r="R485" s="316">
        <v>0</v>
      </c>
      <c r="S485" s="316">
        <v>0</v>
      </c>
      <c r="T485" s="316">
        <v>0</v>
      </c>
      <c r="U485" s="316">
        <v>0</v>
      </c>
      <c r="V485" s="316">
        <v>0</v>
      </c>
      <c r="W485" s="316">
        <v>0</v>
      </c>
      <c r="X485" s="316">
        <v>0</v>
      </c>
      <c r="Y485" s="316">
        <v>0</v>
      </c>
      <c r="Z485" s="316">
        <v>0</v>
      </c>
      <c r="AA485" s="316">
        <v>0</v>
      </c>
      <c r="AB485" s="316">
        <v>0</v>
      </c>
      <c r="AC485" s="316">
        <v>0</v>
      </c>
      <c r="AD485" s="316">
        <v>0</v>
      </c>
      <c r="AE485" s="316">
        <v>1</v>
      </c>
      <c r="AF485" s="316">
        <v>1</v>
      </c>
      <c r="AG485" s="316">
        <v>1</v>
      </c>
      <c r="AH485" s="316">
        <v>1</v>
      </c>
      <c r="AI485" s="316">
        <v>1</v>
      </c>
      <c r="AJ485" s="316">
        <v>1</v>
      </c>
      <c r="AK485" s="316">
        <v>1</v>
      </c>
      <c r="AL485" s="316">
        <v>1</v>
      </c>
      <c r="AM485" s="316">
        <v>1</v>
      </c>
      <c r="AN485" s="316">
        <v>1</v>
      </c>
      <c r="AO485" s="316">
        <v>1</v>
      </c>
      <c r="AP485" s="316">
        <v>1</v>
      </c>
      <c r="AQ485" s="316">
        <v>1</v>
      </c>
      <c r="AR485" s="316">
        <v>1</v>
      </c>
      <c r="AS485" s="316">
        <v>1</v>
      </c>
      <c r="AT485" s="316">
        <v>1</v>
      </c>
    </row>
    <row r="486" spans="2:46" ht="12.75" hidden="1" customHeight="1" x14ac:dyDescent="0.15">
      <c r="B486" s="315">
        <v>5348</v>
      </c>
      <c r="C486" s="319" t="s">
        <v>733</v>
      </c>
      <c r="D486" s="313" t="s">
        <v>101</v>
      </c>
      <c r="E486" s="313" t="s">
        <v>1801</v>
      </c>
      <c r="F486" s="319" t="s">
        <v>1144</v>
      </c>
      <c r="G486" s="315" t="e">
        <f>_xlfn.XLOOKUP(B486,'WFP Details - 2026'!A:A,'WFP Details - 2026'!Z:Z)</f>
        <v>#N/A</v>
      </c>
      <c r="H486" s="314">
        <v>46645</v>
      </c>
      <c r="I486" s="315">
        <v>9</v>
      </c>
      <c r="J486" s="315">
        <v>2027</v>
      </c>
      <c r="K486" s="316">
        <v>0</v>
      </c>
      <c r="L486" s="316">
        <v>0</v>
      </c>
      <c r="M486" s="316">
        <v>0</v>
      </c>
      <c r="N486" s="316">
        <v>0</v>
      </c>
      <c r="O486" s="316">
        <v>0</v>
      </c>
      <c r="P486" s="316">
        <v>0</v>
      </c>
      <c r="Q486" s="316">
        <v>0</v>
      </c>
      <c r="R486" s="316">
        <v>0</v>
      </c>
      <c r="S486" s="316">
        <v>0</v>
      </c>
      <c r="T486" s="316">
        <v>0</v>
      </c>
      <c r="U486" s="316">
        <v>0</v>
      </c>
      <c r="V486" s="316">
        <v>0</v>
      </c>
      <c r="W486" s="316">
        <v>0</v>
      </c>
      <c r="X486" s="316">
        <v>0</v>
      </c>
      <c r="Y486" s="316">
        <v>0</v>
      </c>
      <c r="Z486" s="316">
        <v>0</v>
      </c>
      <c r="AA486" s="316">
        <v>0</v>
      </c>
      <c r="AB486" s="316">
        <v>0</v>
      </c>
      <c r="AC486" s="316">
        <v>0</v>
      </c>
      <c r="AD486" s="316">
        <v>0</v>
      </c>
      <c r="AE486" s="316">
        <v>1</v>
      </c>
      <c r="AF486" s="316">
        <v>1</v>
      </c>
      <c r="AG486" s="316">
        <v>1</v>
      </c>
      <c r="AH486" s="316">
        <v>1</v>
      </c>
      <c r="AI486" s="316">
        <v>1</v>
      </c>
      <c r="AJ486" s="316">
        <v>1</v>
      </c>
      <c r="AK486" s="316">
        <v>1</v>
      </c>
      <c r="AL486" s="316">
        <v>1</v>
      </c>
      <c r="AM486" s="316">
        <v>1</v>
      </c>
      <c r="AN486" s="316">
        <v>1</v>
      </c>
      <c r="AO486" s="316">
        <v>1</v>
      </c>
      <c r="AP486" s="316">
        <v>1</v>
      </c>
      <c r="AQ486" s="316">
        <v>1</v>
      </c>
      <c r="AR486" s="316">
        <v>1</v>
      </c>
      <c r="AS486" s="316">
        <v>1</v>
      </c>
      <c r="AT486" s="316">
        <v>1</v>
      </c>
    </row>
    <row r="487" spans="2:46" ht="12.75" customHeight="1" x14ac:dyDescent="0.15">
      <c r="B487" s="312">
        <v>1002</v>
      </c>
      <c r="C487" s="313" t="s">
        <v>32</v>
      </c>
      <c r="D487" s="313" t="s">
        <v>47</v>
      </c>
      <c r="E487" s="319" t="s">
        <v>1810</v>
      </c>
      <c r="F487" s="319" t="s">
        <v>36</v>
      </c>
      <c r="G487" s="315" t="str">
        <f>_xlfn.XLOOKUP(B487,'WFP Details - 2026'!A:A,'WFP Details - 2026'!Z:Z)</f>
        <v>x</v>
      </c>
      <c r="H487" s="314">
        <v>45488</v>
      </c>
      <c r="I487" s="315">
        <v>7</v>
      </c>
      <c r="J487" s="315">
        <v>2024</v>
      </c>
      <c r="K487" s="316">
        <v>1</v>
      </c>
      <c r="L487" s="316">
        <v>1</v>
      </c>
      <c r="M487" s="316">
        <v>1</v>
      </c>
      <c r="N487" s="316">
        <v>1</v>
      </c>
      <c r="O487" s="316">
        <v>1</v>
      </c>
      <c r="P487" s="316">
        <v>1</v>
      </c>
      <c r="Q487" s="316">
        <v>1</v>
      </c>
      <c r="R487" s="316">
        <v>1</v>
      </c>
      <c r="S487" s="316">
        <v>1</v>
      </c>
      <c r="T487" s="316">
        <v>1</v>
      </c>
      <c r="U487" s="316">
        <v>1</v>
      </c>
      <c r="V487" s="316">
        <v>1</v>
      </c>
      <c r="W487" s="316">
        <v>1</v>
      </c>
      <c r="X487" s="316">
        <v>1</v>
      </c>
      <c r="Y487" s="316">
        <v>1</v>
      </c>
      <c r="Z487" s="316">
        <v>1</v>
      </c>
      <c r="AA487" s="316">
        <v>1</v>
      </c>
      <c r="AB487" s="316">
        <v>1</v>
      </c>
      <c r="AC487" s="316">
        <v>1</v>
      </c>
      <c r="AD487" s="316">
        <v>1</v>
      </c>
      <c r="AE487" s="316">
        <v>1</v>
      </c>
      <c r="AF487" s="316">
        <v>1</v>
      </c>
      <c r="AG487" s="316">
        <v>1</v>
      </c>
      <c r="AH487" s="316">
        <v>1</v>
      </c>
      <c r="AI487" s="316">
        <v>1</v>
      </c>
      <c r="AJ487" s="316">
        <v>1</v>
      </c>
      <c r="AK487" s="316">
        <v>1</v>
      </c>
      <c r="AL487" s="316">
        <v>1</v>
      </c>
      <c r="AM487" s="316">
        <v>1</v>
      </c>
      <c r="AN487" s="316">
        <v>1</v>
      </c>
      <c r="AO487" s="316">
        <v>1</v>
      </c>
      <c r="AP487" s="316">
        <v>1</v>
      </c>
      <c r="AQ487" s="316">
        <v>1</v>
      </c>
      <c r="AR487" s="316">
        <v>1</v>
      </c>
      <c r="AS487" s="316">
        <v>1</v>
      </c>
      <c r="AT487" s="316">
        <v>1</v>
      </c>
    </row>
    <row r="488" spans="2:46" ht="12.75" customHeight="1" x14ac:dyDescent="0.15">
      <c r="B488" s="312">
        <v>1003</v>
      </c>
      <c r="C488" s="313" t="s">
        <v>32</v>
      </c>
      <c r="D488" s="313" t="s">
        <v>1998</v>
      </c>
      <c r="E488" s="319" t="s">
        <v>1831</v>
      </c>
      <c r="F488" s="319" t="s">
        <v>1999</v>
      </c>
      <c r="G488" s="315" t="str">
        <f>_xlfn.XLOOKUP(B488,'WFP Details - 2026'!A:A,'WFP Details - 2026'!Z:Z)</f>
        <v>x</v>
      </c>
      <c r="H488" s="314">
        <v>45894</v>
      </c>
      <c r="I488" s="315">
        <v>8</v>
      </c>
      <c r="J488" s="315">
        <v>2025</v>
      </c>
      <c r="K488" s="316">
        <v>1</v>
      </c>
      <c r="L488" s="316">
        <v>1</v>
      </c>
      <c r="M488" s="316">
        <v>1</v>
      </c>
      <c r="N488" s="316">
        <v>1</v>
      </c>
      <c r="O488" s="316">
        <v>1</v>
      </c>
      <c r="P488" s="316">
        <v>1</v>
      </c>
      <c r="Q488" s="316">
        <v>1</v>
      </c>
      <c r="R488" s="316">
        <v>1</v>
      </c>
      <c r="S488" s="316">
        <v>1</v>
      </c>
      <c r="T488" s="316">
        <v>1</v>
      </c>
      <c r="U488" s="316">
        <v>1</v>
      </c>
      <c r="V488" s="316">
        <v>1</v>
      </c>
      <c r="W488" s="316">
        <v>1</v>
      </c>
      <c r="X488" s="316">
        <v>1</v>
      </c>
      <c r="Y488" s="316">
        <v>1</v>
      </c>
      <c r="Z488" s="316">
        <v>1</v>
      </c>
      <c r="AA488" s="316">
        <v>1</v>
      </c>
      <c r="AB488" s="316">
        <v>1</v>
      </c>
      <c r="AC488" s="316">
        <v>1</v>
      </c>
      <c r="AD488" s="316">
        <v>1</v>
      </c>
      <c r="AE488" s="316">
        <v>1</v>
      </c>
      <c r="AF488" s="316">
        <v>1</v>
      </c>
      <c r="AG488" s="316">
        <v>1</v>
      </c>
      <c r="AH488" s="316">
        <v>1</v>
      </c>
      <c r="AI488" s="316">
        <v>1</v>
      </c>
      <c r="AJ488" s="316">
        <v>1</v>
      </c>
      <c r="AK488" s="316">
        <v>1</v>
      </c>
      <c r="AL488" s="316">
        <v>1</v>
      </c>
      <c r="AM488" s="316">
        <v>1</v>
      </c>
      <c r="AN488" s="316">
        <v>1</v>
      </c>
      <c r="AO488" s="316">
        <v>1</v>
      </c>
      <c r="AP488" s="316">
        <v>1</v>
      </c>
      <c r="AQ488" s="316">
        <v>1</v>
      </c>
      <c r="AR488" s="316">
        <v>1</v>
      </c>
      <c r="AS488" s="316">
        <v>1</v>
      </c>
      <c r="AT488" s="316">
        <v>1</v>
      </c>
    </row>
    <row r="489" spans="2:46" ht="12.75" customHeight="1" x14ac:dyDescent="0.15">
      <c r="B489" s="317">
        <v>1004</v>
      </c>
      <c r="C489" s="313" t="s">
        <v>32</v>
      </c>
      <c r="D489" s="313" t="s">
        <v>2000</v>
      </c>
      <c r="E489" s="319" t="s">
        <v>1817</v>
      </c>
      <c r="F489" s="319" t="s">
        <v>2001</v>
      </c>
      <c r="G489" s="315" t="str">
        <f>_xlfn.XLOOKUP(B489,'WFP Details - 2026'!A:A,'WFP Details - 2026'!Z:Z)</f>
        <v>x</v>
      </c>
      <c r="H489" s="314">
        <v>46096</v>
      </c>
      <c r="I489" s="315">
        <v>3</v>
      </c>
      <c r="J489" s="315">
        <v>2026</v>
      </c>
      <c r="K489" s="316">
        <v>0</v>
      </c>
      <c r="L489" s="316">
        <v>0</v>
      </c>
      <c r="M489" s="316">
        <v>1</v>
      </c>
      <c r="N489" s="316">
        <v>1</v>
      </c>
      <c r="O489" s="316">
        <v>1</v>
      </c>
      <c r="P489" s="316">
        <v>1</v>
      </c>
      <c r="Q489" s="316">
        <v>1</v>
      </c>
      <c r="R489" s="316">
        <v>1</v>
      </c>
      <c r="S489" s="316">
        <v>1</v>
      </c>
      <c r="T489" s="316">
        <v>1</v>
      </c>
      <c r="U489" s="316">
        <v>1</v>
      </c>
      <c r="V489" s="316">
        <v>1</v>
      </c>
      <c r="W489" s="316">
        <v>1</v>
      </c>
      <c r="X489" s="316">
        <v>1</v>
      </c>
      <c r="Y489" s="316">
        <v>1</v>
      </c>
      <c r="Z489" s="316">
        <v>1</v>
      </c>
      <c r="AA489" s="316">
        <v>1</v>
      </c>
      <c r="AB489" s="316">
        <v>1</v>
      </c>
      <c r="AC489" s="316">
        <v>1</v>
      </c>
      <c r="AD489" s="316">
        <v>1</v>
      </c>
      <c r="AE489" s="316">
        <v>1</v>
      </c>
      <c r="AF489" s="316">
        <v>1</v>
      </c>
      <c r="AG489" s="316">
        <v>1</v>
      </c>
      <c r="AH489" s="316">
        <v>1</v>
      </c>
      <c r="AI489" s="316">
        <v>1</v>
      </c>
      <c r="AJ489" s="316">
        <v>1</v>
      </c>
      <c r="AK489" s="316">
        <v>1</v>
      </c>
      <c r="AL489" s="316">
        <v>1</v>
      </c>
      <c r="AM489" s="316">
        <v>1</v>
      </c>
      <c r="AN489" s="316">
        <v>1</v>
      </c>
      <c r="AO489" s="316">
        <v>1</v>
      </c>
      <c r="AP489" s="316">
        <v>1</v>
      </c>
      <c r="AQ489" s="316">
        <v>1</v>
      </c>
      <c r="AR489" s="316">
        <v>1</v>
      </c>
      <c r="AS489" s="316">
        <v>1</v>
      </c>
      <c r="AT489" s="316">
        <v>1</v>
      </c>
    </row>
    <row r="490" spans="2:46" ht="12.75" customHeight="1" x14ac:dyDescent="0.15">
      <c r="B490" s="312">
        <v>5001</v>
      </c>
      <c r="C490" s="313" t="s">
        <v>32</v>
      </c>
      <c r="D490" s="313" t="s">
        <v>64</v>
      </c>
      <c r="E490" s="319" t="s">
        <v>1817</v>
      </c>
      <c r="F490" s="319" t="s">
        <v>59</v>
      </c>
      <c r="G490" s="315" t="str">
        <f>_xlfn.XLOOKUP(B490,'WFP Details - 2026'!A:A,'WFP Details - 2026'!Z:Z)</f>
        <v>x</v>
      </c>
      <c r="H490" s="314">
        <v>46096</v>
      </c>
      <c r="I490" s="315">
        <v>3</v>
      </c>
      <c r="J490" s="315">
        <v>2026</v>
      </c>
      <c r="K490" s="316">
        <v>0</v>
      </c>
      <c r="L490" s="316">
        <v>0</v>
      </c>
      <c r="M490" s="316">
        <v>1</v>
      </c>
      <c r="N490" s="316">
        <v>1</v>
      </c>
      <c r="O490" s="316">
        <v>1</v>
      </c>
      <c r="P490" s="316">
        <v>1</v>
      </c>
      <c r="Q490" s="316">
        <v>1</v>
      </c>
      <c r="R490" s="316">
        <v>1</v>
      </c>
      <c r="S490" s="316">
        <v>1</v>
      </c>
      <c r="T490" s="316">
        <v>1</v>
      </c>
      <c r="U490" s="316">
        <v>1</v>
      </c>
      <c r="V490" s="316">
        <v>1</v>
      </c>
      <c r="W490" s="316">
        <v>1</v>
      </c>
      <c r="X490" s="316">
        <v>1</v>
      </c>
      <c r="Y490" s="316">
        <v>1</v>
      </c>
      <c r="Z490" s="316">
        <v>1</v>
      </c>
      <c r="AA490" s="316">
        <v>1</v>
      </c>
      <c r="AB490" s="316">
        <v>1</v>
      </c>
      <c r="AC490" s="316">
        <v>1</v>
      </c>
      <c r="AD490" s="316">
        <v>1</v>
      </c>
      <c r="AE490" s="316">
        <v>1</v>
      </c>
      <c r="AF490" s="316">
        <v>1</v>
      </c>
      <c r="AG490" s="316">
        <v>1</v>
      </c>
      <c r="AH490" s="316">
        <v>1</v>
      </c>
      <c r="AI490" s="316">
        <v>1</v>
      </c>
      <c r="AJ490" s="316">
        <v>1</v>
      </c>
      <c r="AK490" s="316">
        <v>1</v>
      </c>
      <c r="AL490" s="316">
        <v>1</v>
      </c>
      <c r="AM490" s="316">
        <v>1</v>
      </c>
      <c r="AN490" s="316">
        <v>1</v>
      </c>
      <c r="AO490" s="316">
        <v>1</v>
      </c>
      <c r="AP490" s="316">
        <v>1</v>
      </c>
      <c r="AQ490" s="316">
        <v>1</v>
      </c>
      <c r="AR490" s="316">
        <v>1</v>
      </c>
      <c r="AS490" s="316">
        <v>1</v>
      </c>
      <c r="AT490" s="316">
        <v>1</v>
      </c>
    </row>
    <row r="491" spans="2:46" ht="12.75" hidden="1" customHeight="1" x14ac:dyDescent="0.15">
      <c r="B491" s="315">
        <v>5002</v>
      </c>
      <c r="C491" s="319" t="s">
        <v>32</v>
      </c>
      <c r="D491" s="313" t="s">
        <v>101</v>
      </c>
      <c r="E491" s="313" t="s">
        <v>1793</v>
      </c>
      <c r="F491" s="319" t="s">
        <v>1154</v>
      </c>
      <c r="G491" s="315" t="e">
        <f>_xlfn.XLOOKUP(B491,'WFP Details - 2026'!A:A,'WFP Details - 2026'!Z:Z)</f>
        <v>#N/A</v>
      </c>
      <c r="H491" s="314">
        <v>46461</v>
      </c>
      <c r="I491" s="315">
        <v>3</v>
      </c>
      <c r="J491" s="315">
        <v>2027</v>
      </c>
      <c r="K491" s="316">
        <v>0</v>
      </c>
      <c r="L491" s="316">
        <v>0</v>
      </c>
      <c r="M491" s="316">
        <v>0</v>
      </c>
      <c r="N491" s="316">
        <v>0</v>
      </c>
      <c r="O491" s="316">
        <v>0</v>
      </c>
      <c r="P491" s="316">
        <v>0</v>
      </c>
      <c r="Q491" s="316">
        <v>0</v>
      </c>
      <c r="R491" s="316">
        <v>0</v>
      </c>
      <c r="S491" s="316">
        <v>0</v>
      </c>
      <c r="T491" s="316">
        <v>0</v>
      </c>
      <c r="U491" s="316">
        <v>0</v>
      </c>
      <c r="V491" s="316">
        <v>0</v>
      </c>
      <c r="W491" s="316">
        <v>0</v>
      </c>
      <c r="X491" s="316">
        <v>0</v>
      </c>
      <c r="Y491" s="316">
        <v>1</v>
      </c>
      <c r="Z491" s="316">
        <v>1</v>
      </c>
      <c r="AA491" s="316">
        <v>1</v>
      </c>
      <c r="AB491" s="316">
        <v>1</v>
      </c>
      <c r="AC491" s="316">
        <v>1</v>
      </c>
      <c r="AD491" s="316">
        <v>1</v>
      </c>
      <c r="AE491" s="316">
        <v>1</v>
      </c>
      <c r="AF491" s="316">
        <v>1</v>
      </c>
      <c r="AG491" s="316">
        <v>1</v>
      </c>
      <c r="AH491" s="316">
        <v>1</v>
      </c>
      <c r="AI491" s="316">
        <v>1</v>
      </c>
      <c r="AJ491" s="316">
        <v>1</v>
      </c>
      <c r="AK491" s="316">
        <v>1</v>
      </c>
      <c r="AL491" s="316">
        <v>1</v>
      </c>
      <c r="AM491" s="316">
        <v>1</v>
      </c>
      <c r="AN491" s="316">
        <v>1</v>
      </c>
      <c r="AO491" s="316">
        <v>1</v>
      </c>
      <c r="AP491" s="316">
        <v>1</v>
      </c>
      <c r="AQ491" s="316">
        <v>1</v>
      </c>
      <c r="AR491" s="316">
        <v>1</v>
      </c>
      <c r="AS491" s="316">
        <v>1</v>
      </c>
      <c r="AT491" s="316">
        <v>1</v>
      </c>
    </row>
    <row r="492" spans="2:46" ht="12.75" customHeight="1" x14ac:dyDescent="0.15">
      <c r="B492" s="312">
        <v>1080</v>
      </c>
      <c r="C492" s="313" t="s">
        <v>606</v>
      </c>
      <c r="D492" s="313" t="s">
        <v>610</v>
      </c>
      <c r="E492" s="319" t="s">
        <v>1831</v>
      </c>
      <c r="F492" s="319" t="s">
        <v>607</v>
      </c>
      <c r="G492" s="315" t="str">
        <f>_xlfn.XLOOKUP(B492,'WFP Details - 2026'!A:A,'WFP Details - 2026'!Z:Z)</f>
        <v>x</v>
      </c>
      <c r="H492" s="314">
        <v>45446</v>
      </c>
      <c r="I492" s="315">
        <v>6</v>
      </c>
      <c r="J492" s="315">
        <v>2024</v>
      </c>
      <c r="K492" s="316">
        <v>1</v>
      </c>
      <c r="L492" s="316">
        <v>1</v>
      </c>
      <c r="M492" s="316">
        <v>1</v>
      </c>
      <c r="N492" s="316">
        <v>1</v>
      </c>
      <c r="O492" s="316">
        <v>1</v>
      </c>
      <c r="P492" s="316">
        <v>1</v>
      </c>
      <c r="Q492" s="316">
        <v>1</v>
      </c>
      <c r="R492" s="316">
        <v>1</v>
      </c>
      <c r="S492" s="316">
        <v>1</v>
      </c>
      <c r="T492" s="316">
        <v>1</v>
      </c>
      <c r="U492" s="316">
        <v>1</v>
      </c>
      <c r="V492" s="316">
        <v>1</v>
      </c>
      <c r="W492" s="316">
        <v>1</v>
      </c>
      <c r="X492" s="316">
        <v>1</v>
      </c>
      <c r="Y492" s="316">
        <v>1</v>
      </c>
      <c r="Z492" s="316">
        <v>1</v>
      </c>
      <c r="AA492" s="316">
        <v>1</v>
      </c>
      <c r="AB492" s="316">
        <v>1</v>
      </c>
      <c r="AC492" s="316">
        <v>1</v>
      </c>
      <c r="AD492" s="316">
        <v>1</v>
      </c>
      <c r="AE492" s="316">
        <v>1</v>
      </c>
      <c r="AF492" s="316">
        <v>1</v>
      </c>
      <c r="AG492" s="316">
        <v>1</v>
      </c>
      <c r="AH492" s="316">
        <v>1</v>
      </c>
      <c r="AI492" s="316">
        <v>1</v>
      </c>
      <c r="AJ492" s="316">
        <v>1</v>
      </c>
      <c r="AK492" s="316">
        <v>1</v>
      </c>
      <c r="AL492" s="316">
        <v>1</v>
      </c>
      <c r="AM492" s="316">
        <v>1</v>
      </c>
      <c r="AN492" s="316">
        <v>1</v>
      </c>
      <c r="AO492" s="316">
        <v>1</v>
      </c>
      <c r="AP492" s="316">
        <v>1</v>
      </c>
      <c r="AQ492" s="316">
        <v>1</v>
      </c>
      <c r="AR492" s="316">
        <v>1</v>
      </c>
      <c r="AS492" s="316">
        <v>1</v>
      </c>
      <c r="AT492" s="316">
        <v>1</v>
      </c>
    </row>
    <row r="493" spans="2:46" ht="12.75" customHeight="1" x14ac:dyDescent="0.15">
      <c r="B493" s="318">
        <v>1073</v>
      </c>
      <c r="C493" s="313" t="s">
        <v>606</v>
      </c>
      <c r="D493" s="313" t="s">
        <v>2002</v>
      </c>
      <c r="E493" s="319" t="s">
        <v>1794</v>
      </c>
      <c r="F493" s="319" t="s">
        <v>2003</v>
      </c>
      <c r="G493" s="315" t="str">
        <f>_xlfn.XLOOKUP(B493,'WFP Details - 2026'!A:A,'WFP Details - 2026'!Z:Z)</f>
        <v>x</v>
      </c>
      <c r="H493" s="314">
        <v>45663</v>
      </c>
      <c r="I493" s="315">
        <v>1</v>
      </c>
      <c r="J493" s="315">
        <v>2025</v>
      </c>
      <c r="K493" s="316">
        <v>1</v>
      </c>
      <c r="L493" s="316">
        <v>1</v>
      </c>
      <c r="M493" s="316">
        <v>1</v>
      </c>
      <c r="N493" s="316">
        <v>1</v>
      </c>
      <c r="O493" s="316">
        <v>1</v>
      </c>
      <c r="P493" s="316">
        <v>1</v>
      </c>
      <c r="Q493" s="316">
        <v>1</v>
      </c>
      <c r="R493" s="316">
        <v>1</v>
      </c>
      <c r="S493" s="316">
        <v>1</v>
      </c>
      <c r="T493" s="316">
        <v>1</v>
      </c>
      <c r="U493" s="316">
        <v>1</v>
      </c>
      <c r="V493" s="316">
        <v>1</v>
      </c>
      <c r="W493" s="316">
        <v>1</v>
      </c>
      <c r="X493" s="316">
        <v>1</v>
      </c>
      <c r="Y493" s="316">
        <v>1</v>
      </c>
      <c r="Z493" s="316">
        <v>1</v>
      </c>
      <c r="AA493" s="316">
        <v>1</v>
      </c>
      <c r="AB493" s="316">
        <v>1</v>
      </c>
      <c r="AC493" s="316">
        <v>1</v>
      </c>
      <c r="AD493" s="316">
        <v>1</v>
      </c>
      <c r="AE493" s="316">
        <v>1</v>
      </c>
      <c r="AF493" s="316">
        <v>1</v>
      </c>
      <c r="AG493" s="316">
        <v>1</v>
      </c>
      <c r="AH493" s="316">
        <v>1</v>
      </c>
      <c r="AI493" s="316">
        <v>1</v>
      </c>
      <c r="AJ493" s="316">
        <v>1</v>
      </c>
      <c r="AK493" s="316">
        <v>1</v>
      </c>
      <c r="AL493" s="316">
        <v>1</v>
      </c>
      <c r="AM493" s="316">
        <v>1</v>
      </c>
      <c r="AN493" s="316">
        <v>1</v>
      </c>
      <c r="AO493" s="316">
        <v>1</v>
      </c>
      <c r="AP493" s="316">
        <v>1</v>
      </c>
      <c r="AQ493" s="316">
        <v>1</v>
      </c>
      <c r="AR493" s="316">
        <v>1</v>
      </c>
      <c r="AS493" s="316">
        <v>1</v>
      </c>
      <c r="AT493" s="316">
        <v>1</v>
      </c>
    </row>
    <row r="494" spans="2:46" ht="12.75" customHeight="1" x14ac:dyDescent="0.15">
      <c r="B494" s="318">
        <v>1079</v>
      </c>
      <c r="C494" s="313" t="s">
        <v>606</v>
      </c>
      <c r="D494" s="313" t="s">
        <v>2004</v>
      </c>
      <c r="E494" s="319" t="s">
        <v>1793</v>
      </c>
      <c r="F494" s="319" t="s">
        <v>2005</v>
      </c>
      <c r="G494" s="315" t="str">
        <f>_xlfn.XLOOKUP(B494,'WFP Details - 2026'!A:A,'WFP Details - 2026'!Z:Z)</f>
        <v>x</v>
      </c>
      <c r="H494" s="314">
        <v>45880</v>
      </c>
      <c r="I494" s="315">
        <v>8</v>
      </c>
      <c r="J494" s="315">
        <v>2025</v>
      </c>
      <c r="K494" s="316">
        <v>1</v>
      </c>
      <c r="L494" s="316">
        <v>1</v>
      </c>
      <c r="M494" s="316">
        <v>1</v>
      </c>
      <c r="N494" s="316">
        <v>1</v>
      </c>
      <c r="O494" s="316">
        <v>1</v>
      </c>
      <c r="P494" s="316">
        <v>1</v>
      </c>
      <c r="Q494" s="316">
        <v>1</v>
      </c>
      <c r="R494" s="316">
        <v>1</v>
      </c>
      <c r="S494" s="316">
        <v>1</v>
      </c>
      <c r="T494" s="316">
        <v>1</v>
      </c>
      <c r="U494" s="316">
        <v>1</v>
      </c>
      <c r="V494" s="316">
        <v>1</v>
      </c>
      <c r="W494" s="316">
        <v>1</v>
      </c>
      <c r="X494" s="316">
        <v>1</v>
      </c>
      <c r="Y494" s="316">
        <v>1</v>
      </c>
      <c r="Z494" s="316">
        <v>1</v>
      </c>
      <c r="AA494" s="316">
        <v>1</v>
      </c>
      <c r="AB494" s="316">
        <v>1</v>
      </c>
      <c r="AC494" s="316">
        <v>1</v>
      </c>
      <c r="AD494" s="316">
        <v>1</v>
      </c>
      <c r="AE494" s="316">
        <v>1</v>
      </c>
      <c r="AF494" s="316">
        <v>1</v>
      </c>
      <c r="AG494" s="316">
        <v>1</v>
      </c>
      <c r="AH494" s="316">
        <v>1</v>
      </c>
      <c r="AI494" s="316">
        <v>1</v>
      </c>
      <c r="AJ494" s="316">
        <v>1</v>
      </c>
      <c r="AK494" s="316">
        <v>1</v>
      </c>
      <c r="AL494" s="316">
        <v>1</v>
      </c>
      <c r="AM494" s="316">
        <v>1</v>
      </c>
      <c r="AN494" s="316">
        <v>1</v>
      </c>
      <c r="AO494" s="316">
        <v>1</v>
      </c>
      <c r="AP494" s="316">
        <v>1</v>
      </c>
      <c r="AQ494" s="316">
        <v>1</v>
      </c>
      <c r="AR494" s="316">
        <v>1</v>
      </c>
      <c r="AS494" s="316">
        <v>1</v>
      </c>
      <c r="AT494" s="316">
        <v>1</v>
      </c>
    </row>
    <row r="495" spans="2:46" ht="12.75" customHeight="1" x14ac:dyDescent="0.15">
      <c r="B495" s="318">
        <v>1398</v>
      </c>
      <c r="C495" s="313" t="s">
        <v>606</v>
      </c>
      <c r="D495" s="313" t="s">
        <v>2006</v>
      </c>
      <c r="E495" s="319" t="s">
        <v>1805</v>
      </c>
      <c r="F495" s="319" t="s">
        <v>614</v>
      </c>
      <c r="G495" s="315" t="str">
        <f>_xlfn.XLOOKUP(B495,'WFP Details - 2026'!A:A,'WFP Details - 2026'!Z:Z)</f>
        <v>x</v>
      </c>
      <c r="H495" s="314">
        <v>45929</v>
      </c>
      <c r="I495" s="315">
        <v>9</v>
      </c>
      <c r="J495" s="315">
        <v>2025</v>
      </c>
      <c r="K495" s="316">
        <v>1</v>
      </c>
      <c r="L495" s="316">
        <v>1</v>
      </c>
      <c r="M495" s="316">
        <v>1</v>
      </c>
      <c r="N495" s="316">
        <v>1</v>
      </c>
      <c r="O495" s="316">
        <v>1</v>
      </c>
      <c r="P495" s="316">
        <v>1</v>
      </c>
      <c r="Q495" s="316">
        <v>1</v>
      </c>
      <c r="R495" s="316">
        <v>1</v>
      </c>
      <c r="S495" s="316">
        <v>1</v>
      </c>
      <c r="T495" s="316">
        <v>1</v>
      </c>
      <c r="U495" s="316">
        <v>1</v>
      </c>
      <c r="V495" s="316">
        <v>1</v>
      </c>
      <c r="W495" s="316">
        <v>1</v>
      </c>
      <c r="X495" s="316">
        <v>1</v>
      </c>
      <c r="Y495" s="316">
        <v>1</v>
      </c>
      <c r="Z495" s="316">
        <v>1</v>
      </c>
      <c r="AA495" s="316">
        <v>1</v>
      </c>
      <c r="AB495" s="316">
        <v>1</v>
      </c>
      <c r="AC495" s="316">
        <v>1</v>
      </c>
      <c r="AD495" s="316">
        <v>1</v>
      </c>
      <c r="AE495" s="316">
        <v>1</v>
      </c>
      <c r="AF495" s="316">
        <v>1</v>
      </c>
      <c r="AG495" s="316">
        <v>1</v>
      </c>
      <c r="AH495" s="316">
        <v>1</v>
      </c>
      <c r="AI495" s="316">
        <v>1</v>
      </c>
      <c r="AJ495" s="316">
        <v>1</v>
      </c>
      <c r="AK495" s="316">
        <v>1</v>
      </c>
      <c r="AL495" s="316">
        <v>1</v>
      </c>
      <c r="AM495" s="316">
        <v>1</v>
      </c>
      <c r="AN495" s="316">
        <v>1</v>
      </c>
      <c r="AO495" s="316">
        <v>1</v>
      </c>
      <c r="AP495" s="316">
        <v>1</v>
      </c>
      <c r="AQ495" s="316">
        <v>1</v>
      </c>
      <c r="AR495" s="316">
        <v>1</v>
      </c>
      <c r="AS495" s="316">
        <v>1</v>
      </c>
      <c r="AT495" s="316">
        <v>1</v>
      </c>
    </row>
    <row r="496" spans="2:46" ht="12.75" customHeight="1" x14ac:dyDescent="0.15">
      <c r="B496" s="318">
        <v>1071</v>
      </c>
      <c r="C496" s="313" t="s">
        <v>606</v>
      </c>
      <c r="D496" s="313" t="s">
        <v>101</v>
      </c>
      <c r="E496" s="319" t="s">
        <v>1794</v>
      </c>
      <c r="F496" s="319" t="s">
        <v>619</v>
      </c>
      <c r="G496" s="315" t="str">
        <f>_xlfn.XLOOKUP(B496,'WFP Details - 2026'!A:A,'WFP Details - 2026'!Z:Z)</f>
        <v>x</v>
      </c>
      <c r="H496" s="314">
        <v>46096</v>
      </c>
      <c r="I496" s="315">
        <v>3</v>
      </c>
      <c r="J496" s="315">
        <v>2026</v>
      </c>
      <c r="K496" s="316">
        <v>0</v>
      </c>
      <c r="L496" s="316">
        <v>0</v>
      </c>
      <c r="M496" s="316">
        <v>1</v>
      </c>
      <c r="N496" s="316">
        <v>1</v>
      </c>
      <c r="O496" s="316">
        <v>1</v>
      </c>
      <c r="P496" s="316">
        <v>1</v>
      </c>
      <c r="Q496" s="316">
        <v>1</v>
      </c>
      <c r="R496" s="316">
        <v>1</v>
      </c>
      <c r="S496" s="316">
        <v>1</v>
      </c>
      <c r="T496" s="316">
        <v>1</v>
      </c>
      <c r="U496" s="316">
        <v>1</v>
      </c>
      <c r="V496" s="316">
        <v>1</v>
      </c>
      <c r="W496" s="316">
        <v>1</v>
      </c>
      <c r="X496" s="316">
        <v>1</v>
      </c>
      <c r="Y496" s="316">
        <v>1</v>
      </c>
      <c r="Z496" s="316">
        <v>1</v>
      </c>
      <c r="AA496" s="316">
        <v>1</v>
      </c>
      <c r="AB496" s="316">
        <v>1</v>
      </c>
      <c r="AC496" s="316">
        <v>1</v>
      </c>
      <c r="AD496" s="316">
        <v>1</v>
      </c>
      <c r="AE496" s="316">
        <v>1</v>
      </c>
      <c r="AF496" s="316">
        <v>1</v>
      </c>
      <c r="AG496" s="316">
        <v>1</v>
      </c>
      <c r="AH496" s="316">
        <v>1</v>
      </c>
      <c r="AI496" s="316">
        <v>1</v>
      </c>
      <c r="AJ496" s="316">
        <v>1</v>
      </c>
      <c r="AK496" s="316">
        <v>1</v>
      </c>
      <c r="AL496" s="316">
        <v>1</v>
      </c>
      <c r="AM496" s="316">
        <v>1</v>
      </c>
      <c r="AN496" s="316">
        <v>1</v>
      </c>
      <c r="AO496" s="316">
        <v>1</v>
      </c>
      <c r="AP496" s="316">
        <v>1</v>
      </c>
      <c r="AQ496" s="316">
        <v>1</v>
      </c>
      <c r="AR496" s="316">
        <v>1</v>
      </c>
      <c r="AS496" s="316">
        <v>1</v>
      </c>
      <c r="AT496" s="316">
        <v>1</v>
      </c>
    </row>
    <row r="497" spans="2:46" ht="12.75" customHeight="1" x14ac:dyDescent="0.15">
      <c r="B497" s="318">
        <v>1077</v>
      </c>
      <c r="C497" s="313" t="s">
        <v>606</v>
      </c>
      <c r="D497" s="313" t="s">
        <v>101</v>
      </c>
      <c r="E497" s="319" t="s">
        <v>1801</v>
      </c>
      <c r="F497" s="319" t="s">
        <v>622</v>
      </c>
      <c r="G497" s="315" t="str">
        <f>_xlfn.XLOOKUP(B497,'WFP Details - 2026'!A:A,'WFP Details - 2026'!Z:Z)</f>
        <v>x</v>
      </c>
      <c r="H497" s="314">
        <v>46096</v>
      </c>
      <c r="I497" s="315">
        <v>3</v>
      </c>
      <c r="J497" s="315">
        <v>2026</v>
      </c>
      <c r="K497" s="316">
        <v>0</v>
      </c>
      <c r="L497" s="316">
        <v>0</v>
      </c>
      <c r="M497" s="316">
        <v>1</v>
      </c>
      <c r="N497" s="316">
        <v>1</v>
      </c>
      <c r="O497" s="316">
        <v>1</v>
      </c>
      <c r="P497" s="316">
        <v>1</v>
      </c>
      <c r="Q497" s="316">
        <v>1</v>
      </c>
      <c r="R497" s="316">
        <v>1</v>
      </c>
      <c r="S497" s="316">
        <v>1</v>
      </c>
      <c r="T497" s="316">
        <v>1</v>
      </c>
      <c r="U497" s="316">
        <v>1</v>
      </c>
      <c r="V497" s="316">
        <v>1</v>
      </c>
      <c r="W497" s="316">
        <v>1</v>
      </c>
      <c r="X497" s="316">
        <v>1</v>
      </c>
      <c r="Y497" s="316">
        <v>1</v>
      </c>
      <c r="Z497" s="316">
        <v>1</v>
      </c>
      <c r="AA497" s="316">
        <v>1</v>
      </c>
      <c r="AB497" s="316">
        <v>1</v>
      </c>
      <c r="AC497" s="316">
        <v>1</v>
      </c>
      <c r="AD497" s="316">
        <v>1</v>
      </c>
      <c r="AE497" s="316">
        <v>1</v>
      </c>
      <c r="AF497" s="316">
        <v>1</v>
      </c>
      <c r="AG497" s="316">
        <v>1</v>
      </c>
      <c r="AH497" s="316">
        <v>1</v>
      </c>
      <c r="AI497" s="316">
        <v>1</v>
      </c>
      <c r="AJ497" s="316">
        <v>1</v>
      </c>
      <c r="AK497" s="316">
        <v>1</v>
      </c>
      <c r="AL497" s="316">
        <v>1</v>
      </c>
      <c r="AM497" s="316">
        <v>1</v>
      </c>
      <c r="AN497" s="316">
        <v>1</v>
      </c>
      <c r="AO497" s="316">
        <v>1</v>
      </c>
      <c r="AP497" s="316">
        <v>1</v>
      </c>
      <c r="AQ497" s="316">
        <v>1</v>
      </c>
      <c r="AR497" s="316">
        <v>1</v>
      </c>
      <c r="AS497" s="316">
        <v>1</v>
      </c>
      <c r="AT497" s="316">
        <v>1</v>
      </c>
    </row>
    <row r="498" spans="2:46" ht="12.75" hidden="1" customHeight="1" x14ac:dyDescent="0.15">
      <c r="B498" s="318">
        <v>5175</v>
      </c>
      <c r="C498" s="313" t="s">
        <v>606</v>
      </c>
      <c r="D498" s="313" t="s">
        <v>101</v>
      </c>
      <c r="E498" s="313" t="s">
        <v>1801</v>
      </c>
      <c r="F498" s="313" t="s">
        <v>1264</v>
      </c>
      <c r="G498" s="315" t="e">
        <f>_xlfn.XLOOKUP(B498,'WFP Details - 2026'!A:A,'WFP Details - 2026'!Z:Z)</f>
        <v>#N/A</v>
      </c>
      <c r="H498" s="314">
        <v>46553</v>
      </c>
      <c r="I498" s="315">
        <v>6</v>
      </c>
      <c r="J498" s="315">
        <v>2027</v>
      </c>
      <c r="K498" s="316">
        <v>0</v>
      </c>
      <c r="L498" s="316">
        <v>0</v>
      </c>
      <c r="M498" s="316">
        <v>0</v>
      </c>
      <c r="N498" s="316">
        <v>0</v>
      </c>
      <c r="O498" s="316">
        <v>0</v>
      </c>
      <c r="P498" s="316">
        <v>0</v>
      </c>
      <c r="Q498" s="316">
        <v>0</v>
      </c>
      <c r="R498" s="316">
        <v>0</v>
      </c>
      <c r="S498" s="316">
        <v>0</v>
      </c>
      <c r="T498" s="316">
        <v>0</v>
      </c>
      <c r="U498" s="316">
        <v>0</v>
      </c>
      <c r="V498" s="316">
        <v>0</v>
      </c>
      <c r="W498" s="316">
        <v>0</v>
      </c>
      <c r="X498" s="316">
        <v>0</v>
      </c>
      <c r="Y498" s="316">
        <v>0</v>
      </c>
      <c r="Z498" s="316">
        <v>0</v>
      </c>
      <c r="AA498" s="316">
        <v>0</v>
      </c>
      <c r="AB498" s="316">
        <v>1</v>
      </c>
      <c r="AC498" s="316">
        <v>1</v>
      </c>
      <c r="AD498" s="316">
        <v>1</v>
      </c>
      <c r="AE498" s="316">
        <v>1</v>
      </c>
      <c r="AF498" s="316">
        <v>1</v>
      </c>
      <c r="AG498" s="316">
        <v>1</v>
      </c>
      <c r="AH498" s="316">
        <v>1</v>
      </c>
      <c r="AI498" s="316">
        <v>1</v>
      </c>
      <c r="AJ498" s="316">
        <v>1</v>
      </c>
      <c r="AK498" s="316">
        <v>1</v>
      </c>
      <c r="AL498" s="316">
        <v>1</v>
      </c>
      <c r="AM498" s="316">
        <v>1</v>
      </c>
      <c r="AN498" s="316">
        <v>1</v>
      </c>
      <c r="AO498" s="316">
        <v>1</v>
      </c>
      <c r="AP498" s="316">
        <v>1</v>
      </c>
      <c r="AQ498" s="316">
        <v>1</v>
      </c>
      <c r="AR498" s="316">
        <v>1</v>
      </c>
      <c r="AS498" s="316">
        <v>1</v>
      </c>
      <c r="AT498" s="316">
        <v>1</v>
      </c>
    </row>
    <row r="499" spans="2:46" ht="12.75" hidden="1" customHeight="1" x14ac:dyDescent="0.15">
      <c r="B499" s="312">
        <v>1350</v>
      </c>
      <c r="C499" s="313" t="s">
        <v>606</v>
      </c>
      <c r="D499" s="313" t="s">
        <v>101</v>
      </c>
      <c r="E499" s="313" t="s">
        <v>1801</v>
      </c>
      <c r="F499" s="313" t="s">
        <v>1258</v>
      </c>
      <c r="G499" s="315" t="e">
        <f>_xlfn.XLOOKUP(B499,'WFP Details - 2026'!A:A,'WFP Details - 2026'!Z:Z)</f>
        <v>#N/A</v>
      </c>
      <c r="H499" s="314">
        <v>46645</v>
      </c>
      <c r="I499" s="315">
        <v>9</v>
      </c>
      <c r="J499" s="315">
        <v>2027</v>
      </c>
      <c r="K499" s="316">
        <v>0</v>
      </c>
      <c r="L499" s="316">
        <v>0</v>
      </c>
      <c r="M499" s="316">
        <v>0</v>
      </c>
      <c r="N499" s="316">
        <v>0</v>
      </c>
      <c r="O499" s="316">
        <v>0</v>
      </c>
      <c r="P499" s="316">
        <v>0</v>
      </c>
      <c r="Q499" s="316">
        <v>0</v>
      </c>
      <c r="R499" s="316">
        <v>0</v>
      </c>
      <c r="S499" s="316">
        <v>0</v>
      </c>
      <c r="T499" s="316">
        <v>0</v>
      </c>
      <c r="U499" s="316">
        <v>0</v>
      </c>
      <c r="V499" s="316">
        <v>0</v>
      </c>
      <c r="W499" s="316">
        <v>0</v>
      </c>
      <c r="X499" s="316">
        <v>0</v>
      </c>
      <c r="Y499" s="316">
        <v>0</v>
      </c>
      <c r="Z499" s="316">
        <v>0</v>
      </c>
      <c r="AA499" s="316">
        <v>0</v>
      </c>
      <c r="AB499" s="316">
        <v>0</v>
      </c>
      <c r="AC499" s="316">
        <v>0</v>
      </c>
      <c r="AD499" s="316">
        <v>0</v>
      </c>
      <c r="AE499" s="316">
        <v>1</v>
      </c>
      <c r="AF499" s="316">
        <v>1</v>
      </c>
      <c r="AG499" s="316">
        <v>1</v>
      </c>
      <c r="AH499" s="316">
        <v>1</v>
      </c>
      <c r="AI499" s="316">
        <v>1</v>
      </c>
      <c r="AJ499" s="316">
        <v>1</v>
      </c>
      <c r="AK499" s="316">
        <v>1</v>
      </c>
      <c r="AL499" s="316">
        <v>1</v>
      </c>
      <c r="AM499" s="316">
        <v>1</v>
      </c>
      <c r="AN499" s="316">
        <v>1</v>
      </c>
      <c r="AO499" s="316">
        <v>1</v>
      </c>
      <c r="AP499" s="316">
        <v>1</v>
      </c>
      <c r="AQ499" s="316">
        <v>1</v>
      </c>
      <c r="AR499" s="316">
        <v>1</v>
      </c>
      <c r="AS499" s="316">
        <v>1</v>
      </c>
      <c r="AT499" s="316">
        <v>1</v>
      </c>
    </row>
    <row r="500" spans="2:46" ht="12.75" customHeight="1" x14ac:dyDescent="0.15">
      <c r="B500" s="317">
        <v>1100</v>
      </c>
      <c r="C500" s="313" t="s">
        <v>629</v>
      </c>
      <c r="D500" s="313" t="s">
        <v>2007</v>
      </c>
      <c r="E500" s="319" t="s">
        <v>1793</v>
      </c>
      <c r="F500" s="319" t="s">
        <v>631</v>
      </c>
      <c r="G500" s="315" t="str">
        <f>_xlfn.XLOOKUP(B500,'WFP Details - 2026'!A:A,'WFP Details - 2026'!Z:Z)</f>
        <v>x</v>
      </c>
      <c r="H500" s="314">
        <v>45551</v>
      </c>
      <c r="I500" s="315">
        <v>9</v>
      </c>
      <c r="J500" s="315">
        <v>2024</v>
      </c>
      <c r="K500" s="316">
        <v>1</v>
      </c>
      <c r="L500" s="316">
        <v>1</v>
      </c>
      <c r="M500" s="316">
        <v>1</v>
      </c>
      <c r="N500" s="316">
        <v>1</v>
      </c>
      <c r="O500" s="316">
        <v>1</v>
      </c>
      <c r="P500" s="316">
        <v>1</v>
      </c>
      <c r="Q500" s="316">
        <v>1</v>
      </c>
      <c r="R500" s="316">
        <v>1</v>
      </c>
      <c r="S500" s="316">
        <v>1</v>
      </c>
      <c r="T500" s="316">
        <v>1</v>
      </c>
      <c r="U500" s="316">
        <v>1</v>
      </c>
      <c r="V500" s="316">
        <v>1</v>
      </c>
      <c r="W500" s="316">
        <v>1</v>
      </c>
      <c r="X500" s="316">
        <v>1</v>
      </c>
      <c r="Y500" s="316">
        <v>1</v>
      </c>
      <c r="Z500" s="316">
        <v>1</v>
      </c>
      <c r="AA500" s="316">
        <v>1</v>
      </c>
      <c r="AB500" s="316">
        <v>1</v>
      </c>
      <c r="AC500" s="316">
        <v>1</v>
      </c>
      <c r="AD500" s="316">
        <v>1</v>
      </c>
      <c r="AE500" s="316">
        <v>1</v>
      </c>
      <c r="AF500" s="316">
        <v>1</v>
      </c>
      <c r="AG500" s="316">
        <v>1</v>
      </c>
      <c r="AH500" s="316">
        <v>1</v>
      </c>
      <c r="AI500" s="316">
        <v>1</v>
      </c>
      <c r="AJ500" s="316">
        <v>1</v>
      </c>
      <c r="AK500" s="316">
        <v>1</v>
      </c>
      <c r="AL500" s="316">
        <v>1</v>
      </c>
      <c r="AM500" s="316">
        <v>1</v>
      </c>
      <c r="AN500" s="316">
        <v>1</v>
      </c>
      <c r="AO500" s="316">
        <v>1</v>
      </c>
      <c r="AP500" s="316">
        <v>1</v>
      </c>
      <c r="AQ500" s="316">
        <v>1</v>
      </c>
      <c r="AR500" s="316">
        <v>1</v>
      </c>
      <c r="AS500" s="316">
        <v>1</v>
      </c>
      <c r="AT500" s="316">
        <v>1</v>
      </c>
    </row>
    <row r="501" spans="2:46" ht="12.75" customHeight="1" x14ac:dyDescent="0.15">
      <c r="B501" s="318">
        <v>1093</v>
      </c>
      <c r="C501" s="313" t="s">
        <v>629</v>
      </c>
      <c r="D501" s="313" t="s">
        <v>630</v>
      </c>
      <c r="E501" s="319" t="s">
        <v>1817</v>
      </c>
      <c r="F501" s="319" t="s">
        <v>1567</v>
      </c>
      <c r="G501" s="315" t="str">
        <f>_xlfn.XLOOKUP(B501,'WFP Details - 2026'!A:A,'WFP Details - 2026'!Z:Z)</f>
        <v>x</v>
      </c>
      <c r="H501" s="314">
        <v>45720</v>
      </c>
      <c r="I501" s="315">
        <v>3</v>
      </c>
      <c r="J501" s="315">
        <v>2025</v>
      </c>
      <c r="K501" s="316">
        <v>1</v>
      </c>
      <c r="L501" s="316">
        <v>1</v>
      </c>
      <c r="M501" s="316">
        <v>1</v>
      </c>
      <c r="N501" s="316">
        <v>1</v>
      </c>
      <c r="O501" s="316">
        <v>1</v>
      </c>
      <c r="P501" s="316">
        <v>1</v>
      </c>
      <c r="Q501" s="316">
        <v>1</v>
      </c>
      <c r="R501" s="316">
        <v>1</v>
      </c>
      <c r="S501" s="316">
        <v>1</v>
      </c>
      <c r="T501" s="316">
        <v>1</v>
      </c>
      <c r="U501" s="316">
        <v>1</v>
      </c>
      <c r="V501" s="316">
        <v>1</v>
      </c>
      <c r="W501" s="316">
        <v>1</v>
      </c>
      <c r="X501" s="316">
        <v>1</v>
      </c>
      <c r="Y501" s="316">
        <v>1</v>
      </c>
      <c r="Z501" s="316">
        <v>1</v>
      </c>
      <c r="AA501" s="316">
        <v>1</v>
      </c>
      <c r="AB501" s="316">
        <v>1</v>
      </c>
      <c r="AC501" s="316">
        <v>1</v>
      </c>
      <c r="AD501" s="316">
        <v>1</v>
      </c>
      <c r="AE501" s="316">
        <v>1</v>
      </c>
      <c r="AF501" s="316">
        <v>1</v>
      </c>
      <c r="AG501" s="316">
        <v>1</v>
      </c>
      <c r="AH501" s="316">
        <v>1</v>
      </c>
      <c r="AI501" s="316">
        <v>1</v>
      </c>
      <c r="AJ501" s="316">
        <v>1</v>
      </c>
      <c r="AK501" s="316">
        <v>1</v>
      </c>
      <c r="AL501" s="316">
        <v>1</v>
      </c>
      <c r="AM501" s="316">
        <v>1</v>
      </c>
      <c r="AN501" s="316">
        <v>1</v>
      </c>
      <c r="AO501" s="316">
        <v>1</v>
      </c>
      <c r="AP501" s="316">
        <v>1</v>
      </c>
      <c r="AQ501" s="316">
        <v>1</v>
      </c>
      <c r="AR501" s="316">
        <v>1</v>
      </c>
      <c r="AS501" s="316">
        <v>1</v>
      </c>
      <c r="AT501" s="316">
        <v>1</v>
      </c>
    </row>
    <row r="502" spans="2:46" ht="12.75" customHeight="1" x14ac:dyDescent="0.15">
      <c r="B502" s="315">
        <v>1101</v>
      </c>
      <c r="C502" s="319" t="s">
        <v>629</v>
      </c>
      <c r="D502" s="313" t="s">
        <v>2008</v>
      </c>
      <c r="E502" s="319" t="s">
        <v>1793</v>
      </c>
      <c r="F502" s="319" t="s">
        <v>2009</v>
      </c>
      <c r="G502" s="315" t="str">
        <f>_xlfn.XLOOKUP(B502,'WFP Details - 2026'!A:A,'WFP Details - 2026'!Z:Z)</f>
        <v>x</v>
      </c>
      <c r="H502" s="314">
        <v>45733</v>
      </c>
      <c r="I502" s="315">
        <v>3</v>
      </c>
      <c r="J502" s="315">
        <v>2025</v>
      </c>
      <c r="K502" s="316">
        <v>1</v>
      </c>
      <c r="L502" s="316">
        <v>1</v>
      </c>
      <c r="M502" s="316">
        <v>1</v>
      </c>
      <c r="N502" s="316">
        <v>1</v>
      </c>
      <c r="O502" s="316">
        <v>1</v>
      </c>
      <c r="P502" s="316">
        <v>1</v>
      </c>
      <c r="Q502" s="316">
        <v>1</v>
      </c>
      <c r="R502" s="316">
        <v>1</v>
      </c>
      <c r="S502" s="316">
        <v>1</v>
      </c>
      <c r="T502" s="316">
        <v>1</v>
      </c>
      <c r="U502" s="316">
        <v>1</v>
      </c>
      <c r="V502" s="316">
        <v>1</v>
      </c>
      <c r="W502" s="316">
        <v>1</v>
      </c>
      <c r="X502" s="316">
        <v>1</v>
      </c>
      <c r="Y502" s="316">
        <v>1</v>
      </c>
      <c r="Z502" s="316">
        <v>1</v>
      </c>
      <c r="AA502" s="316">
        <v>1</v>
      </c>
      <c r="AB502" s="316">
        <v>1</v>
      </c>
      <c r="AC502" s="316">
        <v>1</v>
      </c>
      <c r="AD502" s="316">
        <v>1</v>
      </c>
      <c r="AE502" s="316">
        <v>1</v>
      </c>
      <c r="AF502" s="316">
        <v>1</v>
      </c>
      <c r="AG502" s="316">
        <v>1</v>
      </c>
      <c r="AH502" s="316">
        <v>1</v>
      </c>
      <c r="AI502" s="316">
        <v>1</v>
      </c>
      <c r="AJ502" s="316">
        <v>1</v>
      </c>
      <c r="AK502" s="316">
        <v>1</v>
      </c>
      <c r="AL502" s="316">
        <v>1</v>
      </c>
      <c r="AM502" s="316">
        <v>1</v>
      </c>
      <c r="AN502" s="316">
        <v>1</v>
      </c>
      <c r="AO502" s="316">
        <v>1</v>
      </c>
      <c r="AP502" s="316">
        <v>1</v>
      </c>
      <c r="AQ502" s="316">
        <v>1</v>
      </c>
      <c r="AR502" s="316">
        <v>1</v>
      </c>
      <c r="AS502" s="316">
        <v>1</v>
      </c>
      <c r="AT502" s="316">
        <v>1</v>
      </c>
    </row>
    <row r="503" spans="2:46" ht="12.75" customHeight="1" x14ac:dyDescent="0.15">
      <c r="B503" s="315">
        <v>1092</v>
      </c>
      <c r="C503" s="319" t="s">
        <v>629</v>
      </c>
      <c r="D503" s="313" t="s">
        <v>2010</v>
      </c>
      <c r="E503" s="319" t="s">
        <v>1794</v>
      </c>
      <c r="F503" s="319" t="s">
        <v>645</v>
      </c>
      <c r="G503" s="315" t="str">
        <f>_xlfn.XLOOKUP(B503,'WFP Details - 2026'!A:A,'WFP Details - 2026'!Z:Z)</f>
        <v>x</v>
      </c>
      <c r="H503" s="314">
        <v>45810</v>
      </c>
      <c r="I503" s="315">
        <v>6</v>
      </c>
      <c r="J503" s="315">
        <v>2025</v>
      </c>
      <c r="K503" s="316">
        <v>1</v>
      </c>
      <c r="L503" s="316">
        <v>1</v>
      </c>
      <c r="M503" s="316">
        <v>1</v>
      </c>
      <c r="N503" s="316">
        <v>1</v>
      </c>
      <c r="O503" s="316">
        <v>1</v>
      </c>
      <c r="P503" s="316">
        <v>1</v>
      </c>
      <c r="Q503" s="316">
        <v>1</v>
      </c>
      <c r="R503" s="316">
        <v>1</v>
      </c>
      <c r="S503" s="316">
        <v>1</v>
      </c>
      <c r="T503" s="316">
        <v>1</v>
      </c>
      <c r="U503" s="316">
        <v>1</v>
      </c>
      <c r="V503" s="316">
        <v>1</v>
      </c>
      <c r="W503" s="316">
        <v>1</v>
      </c>
      <c r="X503" s="316">
        <v>1</v>
      </c>
      <c r="Y503" s="316">
        <v>1</v>
      </c>
      <c r="Z503" s="316">
        <v>1</v>
      </c>
      <c r="AA503" s="316">
        <v>1</v>
      </c>
      <c r="AB503" s="316">
        <v>1</v>
      </c>
      <c r="AC503" s="316">
        <v>1</v>
      </c>
      <c r="AD503" s="316">
        <v>1</v>
      </c>
      <c r="AE503" s="316">
        <v>1</v>
      </c>
      <c r="AF503" s="316">
        <v>1</v>
      </c>
      <c r="AG503" s="316">
        <v>1</v>
      </c>
      <c r="AH503" s="316">
        <v>1</v>
      </c>
      <c r="AI503" s="316">
        <v>1</v>
      </c>
      <c r="AJ503" s="316">
        <v>1</v>
      </c>
      <c r="AK503" s="316">
        <v>1</v>
      </c>
      <c r="AL503" s="316">
        <v>1</v>
      </c>
      <c r="AM503" s="316">
        <v>1</v>
      </c>
      <c r="AN503" s="316">
        <v>1</v>
      </c>
      <c r="AO503" s="316">
        <v>1</v>
      </c>
      <c r="AP503" s="316">
        <v>1</v>
      </c>
      <c r="AQ503" s="316">
        <v>1</v>
      </c>
      <c r="AR503" s="316">
        <v>1</v>
      </c>
      <c r="AS503" s="316">
        <v>1</v>
      </c>
      <c r="AT503" s="316">
        <v>1</v>
      </c>
    </row>
    <row r="504" spans="2:46" ht="12.75" customHeight="1" x14ac:dyDescent="0.15">
      <c r="B504" s="315">
        <v>1096</v>
      </c>
      <c r="C504" s="319" t="s">
        <v>629</v>
      </c>
      <c r="D504" s="313" t="s">
        <v>638</v>
      </c>
      <c r="E504" s="319" t="s">
        <v>1817</v>
      </c>
      <c r="F504" s="319" t="s">
        <v>1573</v>
      </c>
      <c r="G504" s="315" t="str">
        <f>_xlfn.XLOOKUP(B504,'WFP Details - 2026'!A:A,'WFP Details - 2026'!Z:Z)</f>
        <v>x</v>
      </c>
      <c r="H504" s="314">
        <v>45831</v>
      </c>
      <c r="I504" s="315">
        <v>6</v>
      </c>
      <c r="J504" s="315">
        <v>2025</v>
      </c>
      <c r="K504" s="316">
        <v>1</v>
      </c>
      <c r="L504" s="316">
        <v>1</v>
      </c>
      <c r="M504" s="316">
        <v>1</v>
      </c>
      <c r="N504" s="316">
        <v>1</v>
      </c>
      <c r="O504" s="316">
        <v>1</v>
      </c>
      <c r="P504" s="316">
        <v>1</v>
      </c>
      <c r="Q504" s="316">
        <v>1</v>
      </c>
      <c r="R504" s="316">
        <v>1</v>
      </c>
      <c r="S504" s="316">
        <v>1</v>
      </c>
      <c r="T504" s="316">
        <v>1</v>
      </c>
      <c r="U504" s="316">
        <v>1</v>
      </c>
      <c r="V504" s="316">
        <v>1</v>
      </c>
      <c r="W504" s="316">
        <v>1</v>
      </c>
      <c r="X504" s="316">
        <v>1</v>
      </c>
      <c r="Y504" s="316">
        <v>1</v>
      </c>
      <c r="Z504" s="316">
        <v>1</v>
      </c>
      <c r="AA504" s="316">
        <v>1</v>
      </c>
      <c r="AB504" s="316">
        <v>1</v>
      </c>
      <c r="AC504" s="316">
        <v>1</v>
      </c>
      <c r="AD504" s="316">
        <v>1</v>
      </c>
      <c r="AE504" s="316">
        <v>1</v>
      </c>
      <c r="AF504" s="316">
        <v>1</v>
      </c>
      <c r="AG504" s="316">
        <v>1</v>
      </c>
      <c r="AH504" s="316">
        <v>1</v>
      </c>
      <c r="AI504" s="316">
        <v>1</v>
      </c>
      <c r="AJ504" s="316">
        <v>1</v>
      </c>
      <c r="AK504" s="316">
        <v>1</v>
      </c>
      <c r="AL504" s="316">
        <v>1</v>
      </c>
      <c r="AM504" s="316">
        <v>1</v>
      </c>
      <c r="AN504" s="316">
        <v>1</v>
      </c>
      <c r="AO504" s="316">
        <v>1</v>
      </c>
      <c r="AP504" s="316">
        <v>1</v>
      </c>
      <c r="AQ504" s="316">
        <v>1</v>
      </c>
      <c r="AR504" s="316">
        <v>1</v>
      </c>
      <c r="AS504" s="316">
        <v>1</v>
      </c>
      <c r="AT504" s="316">
        <v>1</v>
      </c>
    </row>
    <row r="505" spans="2:46" ht="12.75" customHeight="1" x14ac:dyDescent="0.15">
      <c r="B505" s="315">
        <v>1089</v>
      </c>
      <c r="C505" s="319" t="s">
        <v>629</v>
      </c>
      <c r="D505" s="313" t="s">
        <v>2011</v>
      </c>
      <c r="E505" s="319" t="s">
        <v>1792</v>
      </c>
      <c r="F505" s="319" t="s">
        <v>2012</v>
      </c>
      <c r="G505" s="315" t="str">
        <f>_xlfn.XLOOKUP(B505,'WFP Details - 2026'!A:A,'WFP Details - 2026'!Z:Z)</f>
        <v>x</v>
      </c>
      <c r="H505" s="314">
        <v>46006</v>
      </c>
      <c r="I505" s="315">
        <v>12</v>
      </c>
      <c r="J505" s="315">
        <v>2025</v>
      </c>
      <c r="K505" s="316">
        <v>1</v>
      </c>
      <c r="L505" s="316">
        <v>1</v>
      </c>
      <c r="M505" s="316">
        <v>1</v>
      </c>
      <c r="N505" s="316">
        <v>1</v>
      </c>
      <c r="O505" s="316">
        <v>1</v>
      </c>
      <c r="P505" s="316">
        <v>1</v>
      </c>
      <c r="Q505" s="316">
        <v>1</v>
      </c>
      <c r="R505" s="316">
        <v>1</v>
      </c>
      <c r="S505" s="316">
        <v>1</v>
      </c>
      <c r="T505" s="316">
        <v>1</v>
      </c>
      <c r="U505" s="316">
        <v>1</v>
      </c>
      <c r="V505" s="316">
        <v>1</v>
      </c>
      <c r="W505" s="316">
        <v>1</v>
      </c>
      <c r="X505" s="316">
        <v>1</v>
      </c>
      <c r="Y505" s="316">
        <v>1</v>
      </c>
      <c r="Z505" s="316">
        <v>1</v>
      </c>
      <c r="AA505" s="316">
        <v>1</v>
      </c>
      <c r="AB505" s="316">
        <v>1</v>
      </c>
      <c r="AC505" s="316">
        <v>1</v>
      </c>
      <c r="AD505" s="316">
        <v>1</v>
      </c>
      <c r="AE505" s="316">
        <v>1</v>
      </c>
      <c r="AF505" s="316">
        <v>1</v>
      </c>
      <c r="AG505" s="316">
        <v>1</v>
      </c>
      <c r="AH505" s="316">
        <v>1</v>
      </c>
      <c r="AI505" s="316">
        <v>1</v>
      </c>
      <c r="AJ505" s="316">
        <v>1</v>
      </c>
      <c r="AK505" s="316">
        <v>1</v>
      </c>
      <c r="AL505" s="316">
        <v>1</v>
      </c>
      <c r="AM505" s="316">
        <v>1</v>
      </c>
      <c r="AN505" s="316">
        <v>1</v>
      </c>
      <c r="AO505" s="316">
        <v>1</v>
      </c>
      <c r="AP505" s="316">
        <v>1</v>
      </c>
      <c r="AQ505" s="316">
        <v>1</v>
      </c>
      <c r="AR505" s="316">
        <v>1</v>
      </c>
      <c r="AS505" s="316">
        <v>1</v>
      </c>
      <c r="AT505" s="316">
        <v>1</v>
      </c>
    </row>
    <row r="506" spans="2:46" ht="12.75" customHeight="1" x14ac:dyDescent="0.15">
      <c r="B506" s="315">
        <v>1399</v>
      </c>
      <c r="C506" s="319" t="s">
        <v>629</v>
      </c>
      <c r="D506" s="313" t="s">
        <v>101</v>
      </c>
      <c r="E506" s="319" t="s">
        <v>1793</v>
      </c>
      <c r="F506" s="319" t="s">
        <v>2013</v>
      </c>
      <c r="G506" s="315" t="str">
        <f>_xlfn.XLOOKUP(B506,'WFP Details - 2026'!A:A,'WFP Details - 2026'!Z:Z)</f>
        <v>x</v>
      </c>
      <c r="H506" s="314">
        <v>46006</v>
      </c>
      <c r="I506" s="315">
        <v>12</v>
      </c>
      <c r="J506" s="315">
        <v>2025</v>
      </c>
      <c r="K506" s="316">
        <v>1</v>
      </c>
      <c r="L506" s="316">
        <v>1</v>
      </c>
      <c r="M506" s="316">
        <v>1</v>
      </c>
      <c r="N506" s="316">
        <v>1</v>
      </c>
      <c r="O506" s="316">
        <v>1</v>
      </c>
      <c r="P506" s="316">
        <v>1</v>
      </c>
      <c r="Q506" s="316">
        <v>1</v>
      </c>
      <c r="R506" s="316">
        <v>1</v>
      </c>
      <c r="S506" s="316">
        <v>1</v>
      </c>
      <c r="T506" s="316">
        <v>1</v>
      </c>
      <c r="U506" s="316">
        <v>1</v>
      </c>
      <c r="V506" s="316">
        <v>1</v>
      </c>
      <c r="W506" s="316">
        <v>1</v>
      </c>
      <c r="X506" s="316">
        <v>1</v>
      </c>
      <c r="Y506" s="316">
        <v>1</v>
      </c>
      <c r="Z506" s="316">
        <v>1</v>
      </c>
      <c r="AA506" s="316">
        <v>1</v>
      </c>
      <c r="AB506" s="316">
        <v>1</v>
      </c>
      <c r="AC506" s="316">
        <v>1</v>
      </c>
      <c r="AD506" s="316">
        <v>1</v>
      </c>
      <c r="AE506" s="316">
        <v>1</v>
      </c>
      <c r="AF506" s="316">
        <v>1</v>
      </c>
      <c r="AG506" s="316">
        <v>1</v>
      </c>
      <c r="AH506" s="316">
        <v>1</v>
      </c>
      <c r="AI506" s="316">
        <v>1</v>
      </c>
      <c r="AJ506" s="316">
        <v>1</v>
      </c>
      <c r="AK506" s="316">
        <v>1</v>
      </c>
      <c r="AL506" s="316">
        <v>1</v>
      </c>
      <c r="AM506" s="316">
        <v>1</v>
      </c>
      <c r="AN506" s="316">
        <v>1</v>
      </c>
      <c r="AO506" s="316">
        <v>1</v>
      </c>
      <c r="AP506" s="316">
        <v>1</v>
      </c>
      <c r="AQ506" s="316">
        <v>1</v>
      </c>
      <c r="AR506" s="316">
        <v>1</v>
      </c>
      <c r="AS506" s="316">
        <v>1</v>
      </c>
      <c r="AT506" s="316">
        <v>1</v>
      </c>
    </row>
    <row r="507" spans="2:46" ht="12.75" customHeight="1" x14ac:dyDescent="0.15">
      <c r="B507" s="315">
        <v>5186</v>
      </c>
      <c r="C507" s="319" t="s">
        <v>629</v>
      </c>
      <c r="D507" s="313" t="s">
        <v>101</v>
      </c>
      <c r="E507" s="319" t="s">
        <v>1793</v>
      </c>
      <c r="F507" s="319" t="s">
        <v>651</v>
      </c>
      <c r="G507" s="315" t="str">
        <f>_xlfn.XLOOKUP(B507,'WFP Details - 2026'!A:A,'WFP Details - 2026'!Z:Z)</f>
        <v>x</v>
      </c>
      <c r="H507" s="314">
        <v>46096</v>
      </c>
      <c r="I507" s="315">
        <v>3</v>
      </c>
      <c r="J507" s="315">
        <v>2026</v>
      </c>
      <c r="K507" s="316">
        <v>0</v>
      </c>
      <c r="L507" s="316">
        <v>0</v>
      </c>
      <c r="M507" s="316">
        <v>1</v>
      </c>
      <c r="N507" s="316">
        <v>1</v>
      </c>
      <c r="O507" s="316">
        <v>1</v>
      </c>
      <c r="P507" s="316">
        <v>1</v>
      </c>
      <c r="Q507" s="316">
        <v>1</v>
      </c>
      <c r="R507" s="316">
        <v>1</v>
      </c>
      <c r="S507" s="316">
        <v>1</v>
      </c>
      <c r="T507" s="316">
        <v>1</v>
      </c>
      <c r="U507" s="316">
        <v>1</v>
      </c>
      <c r="V507" s="316">
        <v>1</v>
      </c>
      <c r="W507" s="316">
        <v>1</v>
      </c>
      <c r="X507" s="316">
        <v>1</v>
      </c>
      <c r="Y507" s="316">
        <v>1</v>
      </c>
      <c r="Z507" s="316">
        <v>1</v>
      </c>
      <c r="AA507" s="316">
        <v>1</v>
      </c>
      <c r="AB507" s="316">
        <v>1</v>
      </c>
      <c r="AC507" s="316">
        <v>1</v>
      </c>
      <c r="AD507" s="316">
        <v>1</v>
      </c>
      <c r="AE507" s="316">
        <v>1</v>
      </c>
      <c r="AF507" s="316">
        <v>1</v>
      </c>
      <c r="AG507" s="316">
        <v>1</v>
      </c>
      <c r="AH507" s="316">
        <v>1</v>
      </c>
      <c r="AI507" s="316">
        <v>1</v>
      </c>
      <c r="AJ507" s="316">
        <v>1</v>
      </c>
      <c r="AK507" s="316">
        <v>1</v>
      </c>
      <c r="AL507" s="316">
        <v>1</v>
      </c>
      <c r="AM507" s="316">
        <v>1</v>
      </c>
      <c r="AN507" s="316">
        <v>1</v>
      </c>
      <c r="AO507" s="316">
        <v>1</v>
      </c>
      <c r="AP507" s="316">
        <v>1</v>
      </c>
      <c r="AQ507" s="316">
        <v>1</v>
      </c>
      <c r="AR507" s="316">
        <v>1</v>
      </c>
      <c r="AS507" s="316">
        <v>1</v>
      </c>
      <c r="AT507" s="316">
        <v>1</v>
      </c>
    </row>
    <row r="508" spans="2:46" ht="12.75" customHeight="1" x14ac:dyDescent="0.15">
      <c r="B508" s="315">
        <v>5192</v>
      </c>
      <c r="C508" s="319" t="s">
        <v>629</v>
      </c>
      <c r="D508" s="313" t="s">
        <v>101</v>
      </c>
      <c r="E508" s="319" t="s">
        <v>1793</v>
      </c>
      <c r="F508" s="319" t="s">
        <v>657</v>
      </c>
      <c r="G508" s="315" t="str">
        <f>_xlfn.XLOOKUP(B508,'WFP Details - 2026'!A:A,'WFP Details - 2026'!Z:Z)</f>
        <v>x</v>
      </c>
      <c r="H508" s="314">
        <v>46188</v>
      </c>
      <c r="I508" s="315">
        <v>6</v>
      </c>
      <c r="J508" s="315">
        <v>2026</v>
      </c>
      <c r="K508" s="316">
        <v>0</v>
      </c>
      <c r="L508" s="316">
        <v>0</v>
      </c>
      <c r="M508" s="316">
        <v>0</v>
      </c>
      <c r="N508" s="316">
        <v>0</v>
      </c>
      <c r="O508" s="316">
        <v>0</v>
      </c>
      <c r="P508" s="316">
        <v>1</v>
      </c>
      <c r="Q508" s="316">
        <v>1</v>
      </c>
      <c r="R508" s="316">
        <v>1</v>
      </c>
      <c r="S508" s="316">
        <v>1</v>
      </c>
      <c r="T508" s="316">
        <v>1</v>
      </c>
      <c r="U508" s="316">
        <v>1</v>
      </c>
      <c r="V508" s="316">
        <v>1</v>
      </c>
      <c r="W508" s="316">
        <v>1</v>
      </c>
      <c r="X508" s="316">
        <v>1</v>
      </c>
      <c r="Y508" s="316">
        <v>1</v>
      </c>
      <c r="Z508" s="316">
        <v>1</v>
      </c>
      <c r="AA508" s="316">
        <v>1</v>
      </c>
      <c r="AB508" s="316">
        <v>1</v>
      </c>
      <c r="AC508" s="316">
        <v>1</v>
      </c>
      <c r="AD508" s="316">
        <v>1</v>
      </c>
      <c r="AE508" s="316">
        <v>1</v>
      </c>
      <c r="AF508" s="316">
        <v>1</v>
      </c>
      <c r="AG508" s="316">
        <v>1</v>
      </c>
      <c r="AH508" s="316">
        <v>1</v>
      </c>
      <c r="AI508" s="316">
        <v>1</v>
      </c>
      <c r="AJ508" s="316">
        <v>1</v>
      </c>
      <c r="AK508" s="316">
        <v>1</v>
      </c>
      <c r="AL508" s="316">
        <v>1</v>
      </c>
      <c r="AM508" s="316">
        <v>1</v>
      </c>
      <c r="AN508" s="316">
        <v>1</v>
      </c>
      <c r="AO508" s="316">
        <v>1</v>
      </c>
      <c r="AP508" s="316">
        <v>1</v>
      </c>
      <c r="AQ508" s="316">
        <v>1</v>
      </c>
      <c r="AR508" s="316">
        <v>1</v>
      </c>
      <c r="AS508" s="316">
        <v>1</v>
      </c>
      <c r="AT508" s="316">
        <v>1</v>
      </c>
    </row>
    <row r="509" spans="2:46" ht="12.75" customHeight="1" x14ac:dyDescent="0.15">
      <c r="B509" s="315">
        <v>5189</v>
      </c>
      <c r="C509" s="319" t="s">
        <v>629</v>
      </c>
      <c r="D509" s="313" t="s">
        <v>101</v>
      </c>
      <c r="E509" s="319" t="s">
        <v>1817</v>
      </c>
      <c r="F509" s="319" t="s">
        <v>659</v>
      </c>
      <c r="G509" s="315" t="str">
        <f>_xlfn.XLOOKUP(B509,'WFP Details - 2026'!A:A,'WFP Details - 2026'!Z:Z)</f>
        <v>x</v>
      </c>
      <c r="H509" s="314">
        <v>46371</v>
      </c>
      <c r="I509" s="315">
        <v>12</v>
      </c>
      <c r="J509" s="315">
        <v>2026</v>
      </c>
      <c r="K509" s="316">
        <v>0</v>
      </c>
      <c r="L509" s="316">
        <v>0</v>
      </c>
      <c r="M509" s="316">
        <v>0</v>
      </c>
      <c r="N509" s="316">
        <v>0</v>
      </c>
      <c r="O509" s="316">
        <v>0</v>
      </c>
      <c r="P509" s="316">
        <v>0</v>
      </c>
      <c r="Q509" s="316">
        <v>0</v>
      </c>
      <c r="R509" s="316">
        <v>0</v>
      </c>
      <c r="S509" s="316">
        <v>0</v>
      </c>
      <c r="T509" s="316">
        <v>0</v>
      </c>
      <c r="U509" s="316">
        <v>0</v>
      </c>
      <c r="V509" s="316">
        <v>1</v>
      </c>
      <c r="W509" s="316">
        <v>1</v>
      </c>
      <c r="X509" s="316">
        <v>1</v>
      </c>
      <c r="Y509" s="316">
        <v>1</v>
      </c>
      <c r="Z509" s="316">
        <v>1</v>
      </c>
      <c r="AA509" s="316">
        <v>1</v>
      </c>
      <c r="AB509" s="316">
        <v>1</v>
      </c>
      <c r="AC509" s="316">
        <v>1</v>
      </c>
      <c r="AD509" s="316">
        <v>1</v>
      </c>
      <c r="AE509" s="316">
        <v>1</v>
      </c>
      <c r="AF509" s="316">
        <v>1</v>
      </c>
      <c r="AG509" s="316">
        <v>1</v>
      </c>
      <c r="AH509" s="316">
        <v>1</v>
      </c>
      <c r="AI509" s="316">
        <v>1</v>
      </c>
      <c r="AJ509" s="316">
        <v>1</v>
      </c>
      <c r="AK509" s="316">
        <v>1</v>
      </c>
      <c r="AL509" s="316">
        <v>1</v>
      </c>
      <c r="AM509" s="316">
        <v>1</v>
      </c>
      <c r="AN509" s="316">
        <v>1</v>
      </c>
      <c r="AO509" s="316">
        <v>1</v>
      </c>
      <c r="AP509" s="316">
        <v>1</v>
      </c>
      <c r="AQ509" s="316">
        <v>1</v>
      </c>
      <c r="AR509" s="316">
        <v>1</v>
      </c>
      <c r="AS509" s="316">
        <v>1</v>
      </c>
      <c r="AT509" s="316">
        <v>1</v>
      </c>
    </row>
    <row r="510" spans="2:46" ht="12.75" hidden="1" customHeight="1" x14ac:dyDescent="0.15">
      <c r="B510" s="318">
        <v>5185</v>
      </c>
      <c r="C510" s="313" t="s">
        <v>629</v>
      </c>
      <c r="D510" s="313" t="s">
        <v>101</v>
      </c>
      <c r="E510" s="313" t="s">
        <v>1794</v>
      </c>
      <c r="F510" s="313" t="s">
        <v>1570</v>
      </c>
      <c r="G510" s="315" t="e">
        <f>_xlfn.XLOOKUP(B510,'WFP Details - 2026'!A:A,'WFP Details - 2026'!Z:Z)</f>
        <v>#N/A</v>
      </c>
      <c r="H510" s="314">
        <v>46461</v>
      </c>
      <c r="I510" s="315">
        <v>3</v>
      </c>
      <c r="J510" s="315">
        <v>2027</v>
      </c>
      <c r="K510" s="316">
        <v>0</v>
      </c>
      <c r="L510" s="316">
        <v>0</v>
      </c>
      <c r="M510" s="316">
        <v>0</v>
      </c>
      <c r="N510" s="316">
        <v>0</v>
      </c>
      <c r="O510" s="316">
        <v>0</v>
      </c>
      <c r="P510" s="316">
        <v>0</v>
      </c>
      <c r="Q510" s="316">
        <v>0</v>
      </c>
      <c r="R510" s="316">
        <v>0</v>
      </c>
      <c r="S510" s="316">
        <v>0</v>
      </c>
      <c r="T510" s="316">
        <v>0</v>
      </c>
      <c r="U510" s="316">
        <v>0</v>
      </c>
      <c r="V510" s="316">
        <v>0</v>
      </c>
      <c r="W510" s="316">
        <v>0</v>
      </c>
      <c r="X510" s="316">
        <v>0</v>
      </c>
      <c r="Y510" s="316">
        <v>1</v>
      </c>
      <c r="Z510" s="316">
        <v>1</v>
      </c>
      <c r="AA510" s="316">
        <v>1</v>
      </c>
      <c r="AB510" s="316">
        <v>1</v>
      </c>
      <c r="AC510" s="316">
        <v>1</v>
      </c>
      <c r="AD510" s="316">
        <v>1</v>
      </c>
      <c r="AE510" s="316">
        <v>1</v>
      </c>
      <c r="AF510" s="316">
        <v>1</v>
      </c>
      <c r="AG510" s="316">
        <v>1</v>
      </c>
      <c r="AH510" s="316">
        <v>1</v>
      </c>
      <c r="AI510" s="316">
        <v>1</v>
      </c>
      <c r="AJ510" s="316">
        <v>1</v>
      </c>
      <c r="AK510" s="316">
        <v>1</v>
      </c>
      <c r="AL510" s="316">
        <v>1</v>
      </c>
      <c r="AM510" s="316">
        <v>1</v>
      </c>
      <c r="AN510" s="316">
        <v>1</v>
      </c>
      <c r="AO510" s="316">
        <v>1</v>
      </c>
      <c r="AP510" s="316">
        <v>1</v>
      </c>
      <c r="AQ510" s="316">
        <v>1</v>
      </c>
      <c r="AR510" s="316">
        <v>1</v>
      </c>
      <c r="AS510" s="316">
        <v>1</v>
      </c>
      <c r="AT510" s="316">
        <v>1</v>
      </c>
    </row>
    <row r="511" spans="2:46" ht="12.75" hidden="1" customHeight="1" x14ac:dyDescent="0.15">
      <c r="B511" s="318">
        <v>5193</v>
      </c>
      <c r="C511" s="313" t="s">
        <v>629</v>
      </c>
      <c r="D511" s="313" t="s">
        <v>101</v>
      </c>
      <c r="E511" s="313" t="s">
        <v>1794</v>
      </c>
      <c r="F511" s="313" t="s">
        <v>1574</v>
      </c>
      <c r="G511" s="315" t="e">
        <f>_xlfn.XLOOKUP(B511,'WFP Details - 2026'!A:A,'WFP Details - 2026'!Z:Z)</f>
        <v>#N/A</v>
      </c>
      <c r="H511" s="314">
        <v>46461</v>
      </c>
      <c r="I511" s="315">
        <v>3</v>
      </c>
      <c r="J511" s="315">
        <v>2027</v>
      </c>
      <c r="K511" s="316">
        <v>0</v>
      </c>
      <c r="L511" s="316">
        <v>0</v>
      </c>
      <c r="M511" s="316">
        <v>0</v>
      </c>
      <c r="N511" s="316">
        <v>0</v>
      </c>
      <c r="O511" s="316">
        <v>0</v>
      </c>
      <c r="P511" s="316">
        <v>0</v>
      </c>
      <c r="Q511" s="316">
        <v>0</v>
      </c>
      <c r="R511" s="316">
        <v>0</v>
      </c>
      <c r="S511" s="316">
        <v>0</v>
      </c>
      <c r="T511" s="316">
        <v>0</v>
      </c>
      <c r="U511" s="316">
        <v>0</v>
      </c>
      <c r="V511" s="316">
        <v>0</v>
      </c>
      <c r="W511" s="316">
        <v>0</v>
      </c>
      <c r="X511" s="316">
        <v>0</v>
      </c>
      <c r="Y511" s="316">
        <v>1</v>
      </c>
      <c r="Z511" s="316">
        <v>1</v>
      </c>
      <c r="AA511" s="316">
        <v>1</v>
      </c>
      <c r="AB511" s="316">
        <v>1</v>
      </c>
      <c r="AC511" s="316">
        <v>1</v>
      </c>
      <c r="AD511" s="316">
        <v>1</v>
      </c>
      <c r="AE511" s="316">
        <v>1</v>
      </c>
      <c r="AF511" s="316">
        <v>1</v>
      </c>
      <c r="AG511" s="316">
        <v>1</v>
      </c>
      <c r="AH511" s="316">
        <v>1</v>
      </c>
      <c r="AI511" s="316">
        <v>1</v>
      </c>
      <c r="AJ511" s="316">
        <v>1</v>
      </c>
      <c r="AK511" s="316">
        <v>1</v>
      </c>
      <c r="AL511" s="316">
        <v>1</v>
      </c>
      <c r="AM511" s="316">
        <v>1</v>
      </c>
      <c r="AN511" s="316">
        <v>1</v>
      </c>
      <c r="AO511" s="316">
        <v>1</v>
      </c>
      <c r="AP511" s="316">
        <v>1</v>
      </c>
      <c r="AQ511" s="316">
        <v>1</v>
      </c>
      <c r="AR511" s="316">
        <v>1</v>
      </c>
      <c r="AS511" s="316">
        <v>1</v>
      </c>
      <c r="AT511" s="316">
        <v>1</v>
      </c>
    </row>
    <row r="512" spans="2:46" ht="12.75" hidden="1" customHeight="1" x14ac:dyDescent="0.15">
      <c r="B512" s="317">
        <v>5190</v>
      </c>
      <c r="C512" s="313" t="s">
        <v>629</v>
      </c>
      <c r="D512" s="313" t="s">
        <v>101</v>
      </c>
      <c r="E512" s="313" t="s">
        <v>1817</v>
      </c>
      <c r="F512" s="313" t="s">
        <v>1576</v>
      </c>
      <c r="G512" s="315" t="e">
        <f>_xlfn.XLOOKUP(B512,'WFP Details - 2026'!A:A,'WFP Details - 2026'!Z:Z)</f>
        <v>#N/A</v>
      </c>
      <c r="H512" s="314">
        <v>46461</v>
      </c>
      <c r="I512" s="315">
        <v>3</v>
      </c>
      <c r="J512" s="315">
        <v>2027</v>
      </c>
      <c r="K512" s="316">
        <v>0</v>
      </c>
      <c r="L512" s="316">
        <v>0</v>
      </c>
      <c r="M512" s="316">
        <v>0</v>
      </c>
      <c r="N512" s="316">
        <v>0</v>
      </c>
      <c r="O512" s="316">
        <v>0</v>
      </c>
      <c r="P512" s="316">
        <v>0</v>
      </c>
      <c r="Q512" s="316">
        <v>0</v>
      </c>
      <c r="R512" s="316">
        <v>0</v>
      </c>
      <c r="S512" s="316">
        <v>0</v>
      </c>
      <c r="T512" s="316">
        <v>0</v>
      </c>
      <c r="U512" s="316">
        <v>0</v>
      </c>
      <c r="V512" s="316">
        <v>0</v>
      </c>
      <c r="W512" s="316">
        <v>0</v>
      </c>
      <c r="X512" s="316">
        <v>0</v>
      </c>
      <c r="Y512" s="316">
        <v>1</v>
      </c>
      <c r="Z512" s="316">
        <v>1</v>
      </c>
      <c r="AA512" s="316">
        <v>1</v>
      </c>
      <c r="AB512" s="316">
        <v>1</v>
      </c>
      <c r="AC512" s="316">
        <v>1</v>
      </c>
      <c r="AD512" s="316">
        <v>1</v>
      </c>
      <c r="AE512" s="316">
        <v>1</v>
      </c>
      <c r="AF512" s="316">
        <v>1</v>
      </c>
      <c r="AG512" s="316">
        <v>1</v>
      </c>
      <c r="AH512" s="316">
        <v>1</v>
      </c>
      <c r="AI512" s="316">
        <v>1</v>
      </c>
      <c r="AJ512" s="316">
        <v>1</v>
      </c>
      <c r="AK512" s="316">
        <v>1</v>
      </c>
      <c r="AL512" s="316">
        <v>1</v>
      </c>
      <c r="AM512" s="316">
        <v>1</v>
      </c>
      <c r="AN512" s="316">
        <v>1</v>
      </c>
      <c r="AO512" s="316">
        <v>1</v>
      </c>
      <c r="AP512" s="316">
        <v>1</v>
      </c>
      <c r="AQ512" s="316">
        <v>1</v>
      </c>
      <c r="AR512" s="316">
        <v>1</v>
      </c>
      <c r="AS512" s="316">
        <v>1</v>
      </c>
      <c r="AT512" s="316">
        <v>1</v>
      </c>
    </row>
    <row r="513" spans="2:46" ht="12.75" hidden="1" customHeight="1" x14ac:dyDescent="0.15">
      <c r="B513" s="318">
        <v>5196</v>
      </c>
      <c r="C513" s="313" t="s">
        <v>629</v>
      </c>
      <c r="D513" s="313" t="s">
        <v>101</v>
      </c>
      <c r="E513" s="313" t="s">
        <v>1817</v>
      </c>
      <c r="F513" s="313" t="s">
        <v>1578</v>
      </c>
      <c r="G513" s="315" t="e">
        <f>_xlfn.XLOOKUP(B513,'WFP Details - 2026'!A:A,'WFP Details - 2026'!Z:Z)</f>
        <v>#N/A</v>
      </c>
      <c r="H513" s="314">
        <v>46461</v>
      </c>
      <c r="I513" s="315">
        <v>3</v>
      </c>
      <c r="J513" s="315">
        <v>2027</v>
      </c>
      <c r="K513" s="316">
        <v>0</v>
      </c>
      <c r="L513" s="316">
        <v>0</v>
      </c>
      <c r="M513" s="316">
        <v>0</v>
      </c>
      <c r="N513" s="316">
        <v>0</v>
      </c>
      <c r="O513" s="316">
        <v>0</v>
      </c>
      <c r="P513" s="316">
        <v>0</v>
      </c>
      <c r="Q513" s="316">
        <v>0</v>
      </c>
      <c r="R513" s="316">
        <v>0</v>
      </c>
      <c r="S513" s="316">
        <v>0</v>
      </c>
      <c r="T513" s="316">
        <v>0</v>
      </c>
      <c r="U513" s="316">
        <v>0</v>
      </c>
      <c r="V513" s="316">
        <v>0</v>
      </c>
      <c r="W513" s="316">
        <v>0</v>
      </c>
      <c r="X513" s="316">
        <v>0</v>
      </c>
      <c r="Y513" s="316">
        <v>1</v>
      </c>
      <c r="Z513" s="316">
        <v>1</v>
      </c>
      <c r="AA513" s="316">
        <v>1</v>
      </c>
      <c r="AB513" s="316">
        <v>1</v>
      </c>
      <c r="AC513" s="316">
        <v>1</v>
      </c>
      <c r="AD513" s="316">
        <v>1</v>
      </c>
      <c r="AE513" s="316">
        <v>1</v>
      </c>
      <c r="AF513" s="316">
        <v>1</v>
      </c>
      <c r="AG513" s="316">
        <v>1</v>
      </c>
      <c r="AH513" s="316">
        <v>1</v>
      </c>
      <c r="AI513" s="316">
        <v>1</v>
      </c>
      <c r="AJ513" s="316">
        <v>1</v>
      </c>
      <c r="AK513" s="316">
        <v>1</v>
      </c>
      <c r="AL513" s="316">
        <v>1</v>
      </c>
      <c r="AM513" s="316">
        <v>1</v>
      </c>
      <c r="AN513" s="316">
        <v>1</v>
      </c>
      <c r="AO513" s="316">
        <v>1</v>
      </c>
      <c r="AP513" s="316">
        <v>1</v>
      </c>
      <c r="AQ513" s="316">
        <v>1</v>
      </c>
      <c r="AR513" s="316">
        <v>1</v>
      </c>
      <c r="AS513" s="316">
        <v>1</v>
      </c>
      <c r="AT513" s="316">
        <v>1</v>
      </c>
    </row>
    <row r="514" spans="2:46" ht="12.75" hidden="1" customHeight="1" x14ac:dyDescent="0.15">
      <c r="B514" s="312">
        <v>5187</v>
      </c>
      <c r="C514" s="313" t="s">
        <v>629</v>
      </c>
      <c r="D514" s="313" t="s">
        <v>101</v>
      </c>
      <c r="E514" s="313" t="s">
        <v>1794</v>
      </c>
      <c r="F514" s="313" t="s">
        <v>1580</v>
      </c>
      <c r="G514" s="315" t="e">
        <f>_xlfn.XLOOKUP(B514,'WFP Details - 2026'!A:A,'WFP Details - 2026'!Z:Z)</f>
        <v>#N/A</v>
      </c>
      <c r="H514" s="314">
        <v>46553</v>
      </c>
      <c r="I514" s="315">
        <v>6</v>
      </c>
      <c r="J514" s="315">
        <v>2027</v>
      </c>
      <c r="K514" s="316">
        <v>0</v>
      </c>
      <c r="L514" s="316">
        <v>0</v>
      </c>
      <c r="M514" s="316">
        <v>0</v>
      </c>
      <c r="N514" s="316">
        <v>0</v>
      </c>
      <c r="O514" s="316">
        <v>0</v>
      </c>
      <c r="P514" s="316">
        <v>0</v>
      </c>
      <c r="Q514" s="316">
        <v>0</v>
      </c>
      <c r="R514" s="316">
        <v>0</v>
      </c>
      <c r="S514" s="316">
        <v>0</v>
      </c>
      <c r="T514" s="316">
        <v>0</v>
      </c>
      <c r="U514" s="316">
        <v>0</v>
      </c>
      <c r="V514" s="316">
        <v>0</v>
      </c>
      <c r="W514" s="316">
        <v>0</v>
      </c>
      <c r="X514" s="316">
        <v>0</v>
      </c>
      <c r="Y514" s="316">
        <v>0</v>
      </c>
      <c r="Z514" s="316">
        <v>0</v>
      </c>
      <c r="AA514" s="316">
        <v>0</v>
      </c>
      <c r="AB514" s="316">
        <v>1</v>
      </c>
      <c r="AC514" s="316">
        <v>1</v>
      </c>
      <c r="AD514" s="316">
        <v>1</v>
      </c>
      <c r="AE514" s="316">
        <v>1</v>
      </c>
      <c r="AF514" s="316">
        <v>1</v>
      </c>
      <c r="AG514" s="316">
        <v>1</v>
      </c>
      <c r="AH514" s="316">
        <v>1</v>
      </c>
      <c r="AI514" s="316">
        <v>1</v>
      </c>
      <c r="AJ514" s="316">
        <v>1</v>
      </c>
      <c r="AK514" s="316">
        <v>1</v>
      </c>
      <c r="AL514" s="316">
        <v>1</v>
      </c>
      <c r="AM514" s="316">
        <v>1</v>
      </c>
      <c r="AN514" s="316">
        <v>1</v>
      </c>
      <c r="AO514" s="316">
        <v>1</v>
      </c>
      <c r="AP514" s="316">
        <v>1</v>
      </c>
      <c r="AQ514" s="316">
        <v>1</v>
      </c>
      <c r="AR514" s="316">
        <v>1</v>
      </c>
      <c r="AS514" s="316">
        <v>1</v>
      </c>
      <c r="AT514" s="316">
        <v>1</v>
      </c>
    </row>
    <row r="515" spans="2:46" ht="12.75" hidden="1" customHeight="1" x14ac:dyDescent="0.15">
      <c r="B515" s="318">
        <v>5188</v>
      </c>
      <c r="C515" s="313" t="s">
        <v>629</v>
      </c>
      <c r="D515" s="313" t="s">
        <v>101</v>
      </c>
      <c r="E515" s="313" t="s">
        <v>1794</v>
      </c>
      <c r="F515" s="313" t="s">
        <v>1574</v>
      </c>
      <c r="G515" s="315" t="e">
        <f>_xlfn.XLOOKUP(B515,'WFP Details - 2026'!A:A,'WFP Details - 2026'!Z:Z)</f>
        <v>#N/A</v>
      </c>
      <c r="H515" s="314">
        <v>46553</v>
      </c>
      <c r="I515" s="315">
        <v>6</v>
      </c>
      <c r="J515" s="315">
        <v>2027</v>
      </c>
      <c r="K515" s="316">
        <v>0</v>
      </c>
      <c r="L515" s="316">
        <v>0</v>
      </c>
      <c r="M515" s="316">
        <v>0</v>
      </c>
      <c r="N515" s="316">
        <v>0</v>
      </c>
      <c r="O515" s="316">
        <v>0</v>
      </c>
      <c r="P515" s="316">
        <v>0</v>
      </c>
      <c r="Q515" s="316">
        <v>0</v>
      </c>
      <c r="R515" s="316">
        <v>0</v>
      </c>
      <c r="S515" s="316">
        <v>0</v>
      </c>
      <c r="T515" s="316">
        <v>0</v>
      </c>
      <c r="U515" s="316">
        <v>0</v>
      </c>
      <c r="V515" s="316">
        <v>0</v>
      </c>
      <c r="W515" s="316">
        <v>0</v>
      </c>
      <c r="X515" s="316">
        <v>0</v>
      </c>
      <c r="Y515" s="316">
        <v>0</v>
      </c>
      <c r="Z515" s="316">
        <v>0</v>
      </c>
      <c r="AA515" s="316">
        <v>0</v>
      </c>
      <c r="AB515" s="316">
        <v>1</v>
      </c>
      <c r="AC515" s="316">
        <v>1</v>
      </c>
      <c r="AD515" s="316">
        <v>1</v>
      </c>
      <c r="AE515" s="316">
        <v>1</v>
      </c>
      <c r="AF515" s="316">
        <v>1</v>
      </c>
      <c r="AG515" s="316">
        <v>1</v>
      </c>
      <c r="AH515" s="316">
        <v>1</v>
      </c>
      <c r="AI515" s="316">
        <v>1</v>
      </c>
      <c r="AJ515" s="316">
        <v>1</v>
      </c>
      <c r="AK515" s="316">
        <v>1</v>
      </c>
      <c r="AL515" s="316">
        <v>1</v>
      </c>
      <c r="AM515" s="316">
        <v>1</v>
      </c>
      <c r="AN515" s="316">
        <v>1</v>
      </c>
      <c r="AO515" s="316">
        <v>1</v>
      </c>
      <c r="AP515" s="316">
        <v>1</v>
      </c>
      <c r="AQ515" s="316">
        <v>1</v>
      </c>
      <c r="AR515" s="316">
        <v>1</v>
      </c>
      <c r="AS515" s="316">
        <v>1</v>
      </c>
      <c r="AT515" s="316">
        <v>1</v>
      </c>
    </row>
    <row r="516" spans="2:46" ht="12.75" hidden="1" customHeight="1" x14ac:dyDescent="0.15">
      <c r="B516" s="318">
        <v>5194</v>
      </c>
      <c r="C516" s="313" t="s">
        <v>629</v>
      </c>
      <c r="D516" s="313" t="s">
        <v>101</v>
      </c>
      <c r="E516" s="313" t="s">
        <v>1794</v>
      </c>
      <c r="F516" s="313" t="s">
        <v>1583</v>
      </c>
      <c r="G516" s="315" t="e">
        <f>_xlfn.XLOOKUP(B516,'WFP Details - 2026'!A:A,'WFP Details - 2026'!Z:Z)</f>
        <v>#N/A</v>
      </c>
      <c r="H516" s="314">
        <v>46553</v>
      </c>
      <c r="I516" s="315">
        <v>6</v>
      </c>
      <c r="J516" s="315">
        <v>2027</v>
      </c>
      <c r="K516" s="316">
        <v>0</v>
      </c>
      <c r="L516" s="316">
        <v>0</v>
      </c>
      <c r="M516" s="316">
        <v>0</v>
      </c>
      <c r="N516" s="316">
        <v>0</v>
      </c>
      <c r="O516" s="316">
        <v>0</v>
      </c>
      <c r="P516" s="316">
        <v>0</v>
      </c>
      <c r="Q516" s="316">
        <v>0</v>
      </c>
      <c r="R516" s="316">
        <v>0</v>
      </c>
      <c r="S516" s="316">
        <v>0</v>
      </c>
      <c r="T516" s="316">
        <v>0</v>
      </c>
      <c r="U516" s="316">
        <v>0</v>
      </c>
      <c r="V516" s="316">
        <v>0</v>
      </c>
      <c r="W516" s="316">
        <v>0</v>
      </c>
      <c r="X516" s="316">
        <v>0</v>
      </c>
      <c r="Y516" s="316">
        <v>0</v>
      </c>
      <c r="Z516" s="316">
        <v>0</v>
      </c>
      <c r="AA516" s="316">
        <v>0</v>
      </c>
      <c r="AB516" s="316">
        <v>1</v>
      </c>
      <c r="AC516" s="316">
        <v>1</v>
      </c>
      <c r="AD516" s="316">
        <v>1</v>
      </c>
      <c r="AE516" s="316">
        <v>1</v>
      </c>
      <c r="AF516" s="316">
        <v>1</v>
      </c>
      <c r="AG516" s="316">
        <v>1</v>
      </c>
      <c r="AH516" s="316">
        <v>1</v>
      </c>
      <c r="AI516" s="316">
        <v>1</v>
      </c>
      <c r="AJ516" s="316">
        <v>1</v>
      </c>
      <c r="AK516" s="316">
        <v>1</v>
      </c>
      <c r="AL516" s="316">
        <v>1</v>
      </c>
      <c r="AM516" s="316">
        <v>1</v>
      </c>
      <c r="AN516" s="316">
        <v>1</v>
      </c>
      <c r="AO516" s="316">
        <v>1</v>
      </c>
      <c r="AP516" s="316">
        <v>1</v>
      </c>
      <c r="AQ516" s="316">
        <v>1</v>
      </c>
      <c r="AR516" s="316">
        <v>1</v>
      </c>
      <c r="AS516" s="316">
        <v>1</v>
      </c>
      <c r="AT516" s="316">
        <v>1</v>
      </c>
    </row>
    <row r="517" spans="2:46" ht="12.75" hidden="1" customHeight="1" x14ac:dyDescent="0.15">
      <c r="B517" s="312">
        <v>5349</v>
      </c>
      <c r="C517" s="313" t="s">
        <v>629</v>
      </c>
      <c r="D517" s="313" t="s">
        <v>101</v>
      </c>
      <c r="E517" s="313" t="s">
        <v>1817</v>
      </c>
      <c r="F517" s="313" t="s">
        <v>1585</v>
      </c>
      <c r="G517" s="315" t="e">
        <f>_xlfn.XLOOKUP(B517,'WFP Details - 2026'!A:A,'WFP Details - 2026'!Z:Z)</f>
        <v>#N/A</v>
      </c>
      <c r="H517" s="314">
        <v>46645</v>
      </c>
      <c r="I517" s="315">
        <v>9</v>
      </c>
      <c r="J517" s="315">
        <v>2027</v>
      </c>
      <c r="K517" s="316">
        <v>0</v>
      </c>
      <c r="L517" s="316">
        <v>0</v>
      </c>
      <c r="M517" s="316">
        <v>0</v>
      </c>
      <c r="N517" s="316">
        <v>0</v>
      </c>
      <c r="O517" s="316">
        <v>0</v>
      </c>
      <c r="P517" s="316">
        <v>0</v>
      </c>
      <c r="Q517" s="316">
        <v>0</v>
      </c>
      <c r="R517" s="316">
        <v>0</v>
      </c>
      <c r="S517" s="316">
        <v>0</v>
      </c>
      <c r="T517" s="316">
        <v>0</v>
      </c>
      <c r="U517" s="316">
        <v>0</v>
      </c>
      <c r="V517" s="316">
        <v>0</v>
      </c>
      <c r="W517" s="316">
        <v>0</v>
      </c>
      <c r="X517" s="316">
        <v>0</v>
      </c>
      <c r="Y517" s="316">
        <v>0</v>
      </c>
      <c r="Z517" s="316">
        <v>0</v>
      </c>
      <c r="AA517" s="316">
        <v>0</v>
      </c>
      <c r="AB517" s="316">
        <v>0</v>
      </c>
      <c r="AC517" s="316">
        <v>0</v>
      </c>
      <c r="AD517" s="316">
        <v>0</v>
      </c>
      <c r="AE517" s="316">
        <v>1</v>
      </c>
      <c r="AF517" s="316">
        <v>1</v>
      </c>
      <c r="AG517" s="316">
        <v>1</v>
      </c>
      <c r="AH517" s="316">
        <v>1</v>
      </c>
      <c r="AI517" s="316">
        <v>1</v>
      </c>
      <c r="AJ517" s="316">
        <v>1</v>
      </c>
      <c r="AK517" s="316">
        <v>1</v>
      </c>
      <c r="AL517" s="316">
        <v>1</v>
      </c>
      <c r="AM517" s="316">
        <v>1</v>
      </c>
      <c r="AN517" s="316">
        <v>1</v>
      </c>
      <c r="AO517" s="316">
        <v>1</v>
      </c>
      <c r="AP517" s="316">
        <v>1</v>
      </c>
      <c r="AQ517" s="316">
        <v>1</v>
      </c>
      <c r="AR517" s="316">
        <v>1</v>
      </c>
      <c r="AS517" s="316">
        <v>1</v>
      </c>
      <c r="AT517" s="316">
        <v>1</v>
      </c>
    </row>
    <row r="518" spans="2:46" ht="12.75" hidden="1" customHeight="1" x14ac:dyDescent="0.15">
      <c r="B518" s="317">
        <v>5195</v>
      </c>
      <c r="C518" s="313" t="s">
        <v>629</v>
      </c>
      <c r="D518" s="313" t="s">
        <v>101</v>
      </c>
      <c r="E518" s="313" t="s">
        <v>1794</v>
      </c>
      <c r="F518" s="313" t="s">
        <v>1586</v>
      </c>
      <c r="G518" s="315" t="e">
        <f>_xlfn.XLOOKUP(B518,'WFP Details - 2026'!A:A,'WFP Details - 2026'!Z:Z)</f>
        <v>#N/A</v>
      </c>
      <c r="H518" s="314">
        <v>46736</v>
      </c>
      <c r="I518" s="315">
        <v>12</v>
      </c>
      <c r="J518" s="315">
        <v>2027</v>
      </c>
      <c r="K518" s="316">
        <v>0</v>
      </c>
      <c r="L518" s="316">
        <v>0</v>
      </c>
      <c r="M518" s="316">
        <v>0</v>
      </c>
      <c r="N518" s="316">
        <v>0</v>
      </c>
      <c r="O518" s="316">
        <v>0</v>
      </c>
      <c r="P518" s="316">
        <v>0</v>
      </c>
      <c r="Q518" s="316">
        <v>0</v>
      </c>
      <c r="R518" s="316">
        <v>0</v>
      </c>
      <c r="S518" s="316">
        <v>0</v>
      </c>
      <c r="T518" s="316">
        <v>0</v>
      </c>
      <c r="U518" s="316">
        <v>0</v>
      </c>
      <c r="V518" s="316">
        <v>0</v>
      </c>
      <c r="W518" s="316">
        <v>0</v>
      </c>
      <c r="X518" s="316">
        <v>0</v>
      </c>
      <c r="Y518" s="316">
        <v>0</v>
      </c>
      <c r="Z518" s="316">
        <v>0</v>
      </c>
      <c r="AA518" s="316">
        <v>0</v>
      </c>
      <c r="AB518" s="316">
        <v>0</v>
      </c>
      <c r="AC518" s="316">
        <v>0</v>
      </c>
      <c r="AD518" s="316">
        <v>0</v>
      </c>
      <c r="AE518" s="316">
        <v>0</v>
      </c>
      <c r="AF518" s="316">
        <v>0</v>
      </c>
      <c r="AG518" s="316">
        <v>0</v>
      </c>
      <c r="AH518" s="316">
        <v>1</v>
      </c>
      <c r="AI518" s="316">
        <v>1</v>
      </c>
      <c r="AJ518" s="316">
        <v>1</v>
      </c>
      <c r="AK518" s="316">
        <v>1</v>
      </c>
      <c r="AL518" s="316">
        <v>1</v>
      </c>
      <c r="AM518" s="316">
        <v>1</v>
      </c>
      <c r="AN518" s="316">
        <v>1</v>
      </c>
      <c r="AO518" s="316">
        <v>1</v>
      </c>
      <c r="AP518" s="316">
        <v>1</v>
      </c>
      <c r="AQ518" s="316">
        <v>1</v>
      </c>
      <c r="AR518" s="316">
        <v>1</v>
      </c>
      <c r="AS518" s="316">
        <v>1</v>
      </c>
      <c r="AT518" s="316">
        <v>1</v>
      </c>
    </row>
    <row r="521" spans="2:46" x14ac:dyDescent="0.15">
      <c r="C521" s="307"/>
      <c r="D521" s="307"/>
      <c r="E521" s="307"/>
      <c r="F521" s="307"/>
      <c r="G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c r="AK521" s="307"/>
      <c r="AL521" s="307"/>
      <c r="AM521" s="307"/>
      <c r="AN521" s="307"/>
      <c r="AO521" s="307"/>
      <c r="AP521" s="307"/>
      <c r="AQ521" s="307"/>
      <c r="AR521" s="307"/>
      <c r="AS521" s="307"/>
      <c r="AT521" s="307"/>
    </row>
  </sheetData>
  <autoFilter ref="A7:AT518" xr:uid="{4027285C-B506-4EDD-B4A2-D211E66CE508}">
    <filterColumn colId="7">
      <filters>
        <dateGroupItem year="2026" dateTimeGrouping="year"/>
        <dateGroupItem year="2025" dateTimeGrouping="year"/>
        <dateGroupItem year="2024" dateTimeGrouping="year"/>
        <dateGroupItem year="2023" dateTimeGrouping="year"/>
      </filters>
    </filterColumn>
  </autoFilter>
  <conditionalFormatting sqref="B10:C10">
    <cfRule type="cellIs" dxfId="0" priority="1" operator="equal">
      <formula>51501</formula>
    </cfRule>
  </conditionalFormatting>
  <dataValidations disablePrompts="1" count="1">
    <dataValidation type="list" allowBlank="1" showInputMessage="1" showErrorMessage="1" sqref="B215:C215" xr:uid="{53B9E78D-00E6-4E03-827D-81D35AD231EF}">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F06-118A-2043-BAB7-8871B45BE808}">
  <dimension ref="A1:J21"/>
  <sheetViews>
    <sheetView workbookViewId="0">
      <selection activeCell="F16" sqref="F16"/>
    </sheetView>
  </sheetViews>
  <sheetFormatPr baseColWidth="10" defaultColWidth="11" defaultRowHeight="16" x14ac:dyDescent="0.2"/>
  <cols>
    <col min="1" max="1" width="7.83203125" customWidth="1"/>
    <col min="2" max="2" width="22" bestFit="1" customWidth="1"/>
    <col min="3" max="3" width="15.33203125" bestFit="1" customWidth="1"/>
    <col min="4" max="4" width="46.6640625" bestFit="1" customWidth="1"/>
    <col min="5" max="5" width="8.1640625" style="107" customWidth="1"/>
    <col min="6" max="6" width="7.6640625" customWidth="1"/>
    <col min="7" max="7" width="24.83203125" customWidth="1"/>
    <col min="8" max="8" width="15.6640625" customWidth="1"/>
    <col min="9" max="9" width="41" customWidth="1"/>
    <col min="10" max="10" width="12.5" customWidth="1"/>
  </cols>
  <sheetData>
    <row r="1" spans="1:10" ht="32" x14ac:dyDescent="0.2">
      <c r="A1" s="234" t="s">
        <v>0</v>
      </c>
      <c r="B1" s="304" t="s">
        <v>2</v>
      </c>
      <c r="C1" s="304" t="s">
        <v>5</v>
      </c>
      <c r="D1" s="304" t="s">
        <v>6</v>
      </c>
      <c r="E1" s="374" t="s">
        <v>2014</v>
      </c>
      <c r="F1" s="234" t="s">
        <v>0</v>
      </c>
      <c r="G1" s="304" t="s">
        <v>2</v>
      </c>
      <c r="H1" s="304" t="s">
        <v>5</v>
      </c>
      <c r="I1" s="304" t="s">
        <v>6</v>
      </c>
      <c r="J1" s="304" t="s">
        <v>2015</v>
      </c>
    </row>
    <row r="2" spans="1:10" x14ac:dyDescent="0.2">
      <c r="A2" s="239">
        <v>5395</v>
      </c>
      <c r="B2" s="248" t="s">
        <v>78</v>
      </c>
      <c r="C2" s="300" t="s">
        <v>81</v>
      </c>
      <c r="D2" s="256" t="s">
        <v>82</v>
      </c>
      <c r="E2" s="305">
        <v>0</v>
      </c>
      <c r="F2" s="239">
        <v>1175</v>
      </c>
      <c r="G2" s="248" t="s">
        <v>1701</v>
      </c>
      <c r="H2" s="251" t="s">
        <v>81</v>
      </c>
      <c r="I2" s="252" t="s">
        <v>924</v>
      </c>
      <c r="J2" s="252"/>
    </row>
    <row r="3" spans="1:10" x14ac:dyDescent="0.2">
      <c r="A3" s="239">
        <v>5407</v>
      </c>
      <c r="B3" s="248" t="s">
        <v>122</v>
      </c>
      <c r="C3" s="300" t="s">
        <v>58</v>
      </c>
      <c r="D3" s="256" t="s">
        <v>229</v>
      </c>
      <c r="E3" s="305">
        <v>0</v>
      </c>
      <c r="F3" s="239">
        <v>1394</v>
      </c>
      <c r="G3" s="248" t="s">
        <v>696</v>
      </c>
      <c r="H3" s="239" t="s">
        <v>58</v>
      </c>
      <c r="I3" s="261" t="s">
        <v>710</v>
      </c>
      <c r="J3" s="261"/>
    </row>
    <row r="4" spans="1:10" x14ac:dyDescent="0.2">
      <c r="A4" s="239">
        <v>5408</v>
      </c>
      <c r="B4" s="248" t="s">
        <v>122</v>
      </c>
      <c r="C4" s="300" t="s">
        <v>58</v>
      </c>
      <c r="D4" s="256" t="s">
        <v>230</v>
      </c>
      <c r="E4" s="305">
        <v>0</v>
      </c>
      <c r="F4" s="300"/>
      <c r="G4" s="298"/>
      <c r="H4" s="301"/>
      <c r="I4" s="302"/>
      <c r="J4" s="302"/>
    </row>
    <row r="5" spans="1:10" x14ac:dyDescent="0.2">
      <c r="A5" s="239">
        <v>5403</v>
      </c>
      <c r="B5" s="248" t="s">
        <v>122</v>
      </c>
      <c r="C5" s="300" t="s">
        <v>138</v>
      </c>
      <c r="D5" s="256" t="s">
        <v>245</v>
      </c>
      <c r="E5" s="305">
        <v>0</v>
      </c>
      <c r="F5" s="239">
        <v>5052</v>
      </c>
      <c r="G5" s="248" t="s">
        <v>122</v>
      </c>
      <c r="H5" s="250" t="s">
        <v>138</v>
      </c>
      <c r="I5" s="252" t="s">
        <v>241</v>
      </c>
      <c r="J5" s="252"/>
    </row>
    <row r="6" spans="1:10" x14ac:dyDescent="0.2">
      <c r="A6" s="239">
        <v>5405</v>
      </c>
      <c r="B6" s="248" t="s">
        <v>122</v>
      </c>
      <c r="C6" s="300" t="s">
        <v>138</v>
      </c>
      <c r="D6" s="256" t="s">
        <v>245</v>
      </c>
      <c r="E6" s="305">
        <v>0</v>
      </c>
      <c r="F6" s="239">
        <v>5150</v>
      </c>
      <c r="G6" s="248" t="s">
        <v>429</v>
      </c>
      <c r="H6" s="250" t="s">
        <v>138</v>
      </c>
      <c r="I6" s="252" t="s">
        <v>459</v>
      </c>
      <c r="J6" s="252"/>
    </row>
    <row r="7" spans="1:10" x14ac:dyDescent="0.2">
      <c r="A7" s="239">
        <v>5404</v>
      </c>
      <c r="B7" s="248" t="s">
        <v>122</v>
      </c>
      <c r="C7" s="300" t="s">
        <v>138</v>
      </c>
      <c r="D7" s="256" t="s">
        <v>245</v>
      </c>
      <c r="E7" s="305">
        <v>0</v>
      </c>
      <c r="F7" s="300"/>
      <c r="G7" s="298"/>
      <c r="H7" s="301"/>
      <c r="I7" s="302"/>
      <c r="J7" s="302"/>
    </row>
    <row r="8" spans="1:10" x14ac:dyDescent="0.2">
      <c r="A8" s="239">
        <v>5411</v>
      </c>
      <c r="B8" s="248" t="s">
        <v>143</v>
      </c>
      <c r="C8" s="339" t="s">
        <v>48</v>
      </c>
      <c r="D8" s="256" t="s">
        <v>498</v>
      </c>
      <c r="E8" s="305">
        <v>0</v>
      </c>
      <c r="F8" s="339"/>
      <c r="G8" s="298"/>
      <c r="H8" s="301"/>
      <c r="I8" s="302"/>
      <c r="J8" s="302"/>
    </row>
    <row r="9" spans="1:10" x14ac:dyDescent="0.2">
      <c r="A9" s="239">
        <v>5396</v>
      </c>
      <c r="B9" s="248" t="s">
        <v>143</v>
      </c>
      <c r="C9" s="251" t="s">
        <v>58</v>
      </c>
      <c r="D9" s="256" t="s">
        <v>504</v>
      </c>
      <c r="E9" s="305">
        <v>0</v>
      </c>
      <c r="F9" s="251"/>
      <c r="G9" s="298"/>
      <c r="H9" s="301"/>
      <c r="I9" s="302"/>
      <c r="J9" s="302"/>
    </row>
    <row r="10" spans="1:10" x14ac:dyDescent="0.2">
      <c r="A10" s="239">
        <v>5397</v>
      </c>
      <c r="B10" s="248" t="s">
        <v>143</v>
      </c>
      <c r="C10" s="251" t="s">
        <v>58</v>
      </c>
      <c r="D10" s="256" t="s">
        <v>504</v>
      </c>
      <c r="E10" s="305">
        <v>-1</v>
      </c>
      <c r="F10" s="239">
        <v>5123</v>
      </c>
      <c r="G10" s="248" t="s">
        <v>405</v>
      </c>
      <c r="H10" s="250" t="s">
        <v>98</v>
      </c>
      <c r="I10" s="252" t="s">
        <v>413</v>
      </c>
      <c r="J10" s="252"/>
    </row>
    <row r="11" spans="1:10" x14ac:dyDescent="0.2">
      <c r="A11" s="239">
        <v>5398</v>
      </c>
      <c r="B11" s="248" t="s">
        <v>143</v>
      </c>
      <c r="C11" s="251" t="s">
        <v>98</v>
      </c>
      <c r="D11" s="256" t="s">
        <v>495</v>
      </c>
      <c r="E11" s="305">
        <v>-1</v>
      </c>
      <c r="F11" s="239">
        <v>5036</v>
      </c>
      <c r="G11" s="248" t="s">
        <v>256</v>
      </c>
      <c r="H11" s="251" t="s">
        <v>138</v>
      </c>
      <c r="I11" s="252" t="s">
        <v>273</v>
      </c>
      <c r="J11" s="252"/>
    </row>
    <row r="12" spans="1:10" x14ac:dyDescent="0.2">
      <c r="A12" s="239">
        <v>5399</v>
      </c>
      <c r="B12" s="248" t="s">
        <v>143</v>
      </c>
      <c r="C12" s="250" t="s">
        <v>98</v>
      </c>
      <c r="D12" s="256" t="s">
        <v>504</v>
      </c>
      <c r="E12" s="305">
        <v>0</v>
      </c>
      <c r="F12" s="239">
        <v>5388</v>
      </c>
      <c r="G12" s="248" t="s">
        <v>78</v>
      </c>
      <c r="H12" s="250" t="s">
        <v>98</v>
      </c>
      <c r="I12" s="252" t="s">
        <v>99</v>
      </c>
      <c r="J12" s="252"/>
    </row>
    <row r="13" spans="1:10" x14ac:dyDescent="0.2">
      <c r="A13" s="239">
        <v>5400</v>
      </c>
      <c r="B13" s="248" t="s">
        <v>143</v>
      </c>
      <c r="C13" s="250" t="s">
        <v>98</v>
      </c>
      <c r="D13" s="256" t="s">
        <v>504</v>
      </c>
      <c r="E13" s="305">
        <v>-2</v>
      </c>
      <c r="F13" s="239">
        <v>1302</v>
      </c>
      <c r="G13" s="248" t="s">
        <v>104</v>
      </c>
      <c r="H13" s="251" t="s">
        <v>117</v>
      </c>
      <c r="I13" s="252" t="s">
        <v>118</v>
      </c>
      <c r="J13" s="252"/>
    </row>
    <row r="14" spans="1:10" x14ac:dyDescent="0.2">
      <c r="A14" s="239">
        <v>5401</v>
      </c>
      <c r="B14" s="248" t="s">
        <v>143</v>
      </c>
      <c r="C14" s="251" t="s">
        <v>138</v>
      </c>
      <c r="D14" s="256" t="s">
        <v>504</v>
      </c>
      <c r="E14" s="305">
        <v>-1</v>
      </c>
      <c r="F14" s="239">
        <v>5051</v>
      </c>
      <c r="G14" s="248" t="s">
        <v>122</v>
      </c>
      <c r="H14" s="250" t="s">
        <v>117</v>
      </c>
      <c r="I14" s="252" t="s">
        <v>194</v>
      </c>
      <c r="J14" s="252"/>
    </row>
    <row r="15" spans="1:10" x14ac:dyDescent="0.2">
      <c r="A15" s="239">
        <v>5402</v>
      </c>
      <c r="B15" s="248" t="s">
        <v>143</v>
      </c>
      <c r="C15" s="251" t="s">
        <v>138</v>
      </c>
      <c r="D15" s="256" t="s">
        <v>504</v>
      </c>
      <c r="E15" s="305">
        <v>-2</v>
      </c>
      <c r="F15" s="239">
        <v>1071</v>
      </c>
      <c r="G15" s="248" t="s">
        <v>606</v>
      </c>
      <c r="H15" s="251" t="s">
        <v>197</v>
      </c>
      <c r="I15" s="252" t="s">
        <v>619</v>
      </c>
      <c r="J15" s="252"/>
    </row>
    <row r="16" spans="1:10" x14ac:dyDescent="0.2">
      <c r="A16" s="8">
        <v>5215</v>
      </c>
      <c r="B16" s="9" t="s">
        <v>750</v>
      </c>
      <c r="C16" s="11" t="s">
        <v>58</v>
      </c>
      <c r="D16" s="9" t="s">
        <v>783</v>
      </c>
      <c r="E16" s="305">
        <v>0</v>
      </c>
      <c r="F16" s="239"/>
      <c r="G16" s="298"/>
      <c r="H16" s="301"/>
      <c r="I16" s="302"/>
      <c r="J16" s="302"/>
    </row>
    <row r="17" spans="1:10" x14ac:dyDescent="0.2">
      <c r="E17" s="107">
        <f>SUM(E2:E16)</f>
        <v>-7</v>
      </c>
    </row>
    <row r="20" spans="1:10" ht="32" x14ac:dyDescent="0.2">
      <c r="A20" s="300">
        <v>5410</v>
      </c>
      <c r="B20" s="248" t="s">
        <v>122</v>
      </c>
      <c r="C20" s="300" t="s">
        <v>58</v>
      </c>
      <c r="D20" s="256" t="s">
        <v>231</v>
      </c>
      <c r="E20" s="305">
        <v>-1</v>
      </c>
      <c r="F20" s="300"/>
      <c r="G20" s="248" t="s">
        <v>122</v>
      </c>
      <c r="H20" s="250" t="s">
        <v>98</v>
      </c>
      <c r="I20" s="252" t="s">
        <v>1762</v>
      </c>
      <c r="J20" s="252" t="s">
        <v>2016</v>
      </c>
    </row>
    <row r="21" spans="1:10" ht="32" x14ac:dyDescent="0.2">
      <c r="A21" s="298"/>
      <c r="B21" s="301"/>
      <c r="C21" s="302"/>
      <c r="D21" s="302"/>
      <c r="E21" s="305"/>
      <c r="F21" s="300"/>
      <c r="G21" s="248" t="s">
        <v>679</v>
      </c>
      <c r="H21" s="250" t="s">
        <v>98</v>
      </c>
      <c r="I21" s="252" t="s">
        <v>1764</v>
      </c>
      <c r="J21" s="252" t="s">
        <v>2016</v>
      </c>
    </row>
  </sheetData>
  <autoFilter ref="B1:J17" xr:uid="{CFBA498C-CDC5-2D44-827A-61DBC45064D9}"/>
  <sortState xmlns:xlrd2="http://schemas.microsoft.com/office/spreadsheetml/2017/richdata2" ref="G19:J31">
    <sortCondition ref="H19:H3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1ABA-0C4D-3442-98F6-2598E6ED1BDA}">
  <dimension ref="A3:Z134"/>
  <sheetViews>
    <sheetView topLeftCell="E134" zoomScaleNormal="100" workbookViewId="0">
      <selection activeCell="F11" sqref="F11"/>
    </sheetView>
  </sheetViews>
  <sheetFormatPr baseColWidth="10" defaultColWidth="11" defaultRowHeight="16" x14ac:dyDescent="0.2"/>
  <cols>
    <col min="1" max="1" width="32.83203125" customWidth="1"/>
    <col min="2" max="19" width="11" style="107" customWidth="1"/>
    <col min="20" max="22" width="10.5" style="107" customWidth="1"/>
    <col min="23" max="24" width="6.83203125" style="107" customWidth="1"/>
    <col min="25" max="39" width="6.83203125" customWidth="1"/>
    <col min="40" max="40" width="11.33203125" bestFit="1" customWidth="1"/>
    <col min="41" max="41" width="14.1640625" bestFit="1" customWidth="1"/>
    <col min="42" max="42" width="16.83203125" bestFit="1" customWidth="1"/>
    <col min="43" max="43" width="11.33203125" bestFit="1" customWidth="1"/>
    <col min="44" max="44" width="17.1640625" bestFit="1" customWidth="1"/>
    <col min="45" max="45" width="13.5" bestFit="1" customWidth="1"/>
    <col min="46" max="46" width="10.6640625" bestFit="1" customWidth="1"/>
    <col min="47" max="47" width="6.83203125" bestFit="1" customWidth="1"/>
    <col min="48" max="48" width="16" bestFit="1" customWidth="1"/>
    <col min="49" max="49" width="13.83203125" bestFit="1" customWidth="1"/>
    <col min="50" max="50" width="11.33203125" bestFit="1" customWidth="1"/>
    <col min="51" max="51" width="14.1640625" bestFit="1" customWidth="1"/>
    <col min="52" max="52" width="17.1640625" bestFit="1" customWidth="1"/>
    <col min="53" max="53" width="9.1640625" bestFit="1" customWidth="1"/>
    <col min="54" max="54" width="10.6640625" bestFit="1" customWidth="1"/>
    <col min="55" max="55" width="6.83203125" bestFit="1" customWidth="1"/>
    <col min="56" max="56" width="16" bestFit="1" customWidth="1"/>
    <col min="57" max="57" width="13.83203125" bestFit="1" customWidth="1"/>
    <col min="58" max="58" width="11.33203125" bestFit="1" customWidth="1"/>
    <col min="59" max="59" width="17.5" bestFit="1" customWidth="1"/>
    <col min="60" max="60" width="14.1640625" bestFit="1" customWidth="1"/>
    <col min="61" max="61" width="11.6640625" bestFit="1" customWidth="1"/>
    <col min="62" max="62" width="17.1640625" bestFit="1" customWidth="1"/>
    <col min="63" max="63" width="16.83203125" bestFit="1" customWidth="1"/>
    <col min="64" max="64" width="7.6640625" bestFit="1" customWidth="1"/>
    <col min="65" max="65" width="13.83203125" bestFit="1" customWidth="1"/>
    <col min="66" max="66" width="11.33203125" bestFit="1" customWidth="1"/>
    <col min="67" max="67" width="14.1640625" bestFit="1" customWidth="1"/>
    <col min="68" max="68" width="10" bestFit="1" customWidth="1"/>
    <col min="69" max="69" width="11.1640625" bestFit="1" customWidth="1"/>
    <col min="70" max="70" width="16" bestFit="1" customWidth="1"/>
    <col min="71" max="71" width="20" bestFit="1" customWidth="1"/>
    <col min="72" max="72" width="10.5" bestFit="1" customWidth="1"/>
  </cols>
  <sheetData>
    <row r="3" spans="1:9" x14ac:dyDescent="0.2">
      <c r="A3" s="6" t="s">
        <v>2017</v>
      </c>
      <c r="B3" s="109" t="s">
        <v>2018</v>
      </c>
      <c r="H3"/>
      <c r="I3"/>
    </row>
    <row r="4" spans="1:9" ht="16" customHeight="1" x14ac:dyDescent="0.2">
      <c r="A4" s="6" t="s">
        <v>2019</v>
      </c>
      <c r="B4" s="108" t="s">
        <v>180</v>
      </c>
      <c r="C4" s="108" t="s">
        <v>464</v>
      </c>
      <c r="D4" s="108" t="s">
        <v>276</v>
      </c>
      <c r="E4" s="108" t="s">
        <v>34</v>
      </c>
      <c r="F4" s="108" t="s">
        <v>936</v>
      </c>
      <c r="G4" s="108" t="s">
        <v>2020</v>
      </c>
      <c r="H4"/>
      <c r="I4"/>
    </row>
    <row r="5" spans="1:9" x14ac:dyDescent="0.2">
      <c r="A5" s="7" t="s">
        <v>31</v>
      </c>
      <c r="E5" s="107">
        <v>4</v>
      </c>
      <c r="G5" s="107">
        <v>4</v>
      </c>
      <c r="H5"/>
      <c r="I5"/>
    </row>
    <row r="6" spans="1:9" x14ac:dyDescent="0.2">
      <c r="A6" s="71" t="s">
        <v>32</v>
      </c>
      <c r="E6" s="107">
        <v>4</v>
      </c>
      <c r="G6" s="107">
        <v>4</v>
      </c>
      <c r="H6"/>
      <c r="I6"/>
    </row>
    <row r="7" spans="1:9" x14ac:dyDescent="0.2">
      <c r="A7" s="7" t="s">
        <v>77</v>
      </c>
      <c r="B7" s="107">
        <v>38</v>
      </c>
      <c r="C7" s="107">
        <v>6</v>
      </c>
      <c r="D7" s="107">
        <v>3</v>
      </c>
      <c r="E7" s="107">
        <v>85</v>
      </c>
      <c r="G7" s="107">
        <v>132</v>
      </c>
      <c r="H7"/>
      <c r="I7"/>
    </row>
    <row r="8" spans="1:9" x14ac:dyDescent="0.2">
      <c r="A8" s="71" t="s">
        <v>122</v>
      </c>
      <c r="B8" s="107">
        <v>20</v>
      </c>
      <c r="E8" s="107">
        <v>29</v>
      </c>
      <c r="G8" s="107">
        <v>49</v>
      </c>
      <c r="H8"/>
      <c r="I8"/>
    </row>
    <row r="9" spans="1:9" x14ac:dyDescent="0.2">
      <c r="A9" s="71" t="s">
        <v>256</v>
      </c>
      <c r="B9" s="107">
        <v>2</v>
      </c>
      <c r="D9" s="107">
        <v>1</v>
      </c>
      <c r="E9" s="107">
        <v>7</v>
      </c>
      <c r="G9" s="107">
        <v>10</v>
      </c>
      <c r="H9"/>
      <c r="I9"/>
    </row>
    <row r="10" spans="1:9" x14ac:dyDescent="0.2">
      <c r="A10" s="71" t="s">
        <v>303</v>
      </c>
      <c r="B10" s="107">
        <v>8</v>
      </c>
      <c r="D10" s="107">
        <v>2</v>
      </c>
      <c r="E10" s="107">
        <v>13</v>
      </c>
      <c r="G10" s="107">
        <v>23</v>
      </c>
      <c r="H10"/>
      <c r="I10"/>
    </row>
    <row r="11" spans="1:9" x14ac:dyDescent="0.2">
      <c r="A11" s="71" t="s">
        <v>429</v>
      </c>
      <c r="C11" s="107">
        <v>6</v>
      </c>
      <c r="E11" s="107">
        <v>11</v>
      </c>
      <c r="G11" s="107">
        <v>17</v>
      </c>
      <c r="H11"/>
      <c r="I11"/>
    </row>
    <row r="12" spans="1:9" x14ac:dyDescent="0.2">
      <c r="A12" s="71" t="s">
        <v>405</v>
      </c>
      <c r="E12" s="107">
        <v>5</v>
      </c>
      <c r="G12" s="107">
        <v>5</v>
      </c>
      <c r="H12"/>
      <c r="I12"/>
    </row>
    <row r="13" spans="1:9" x14ac:dyDescent="0.2">
      <c r="A13" s="71" t="s">
        <v>143</v>
      </c>
      <c r="B13" s="107">
        <v>2</v>
      </c>
      <c r="E13" s="375">
        <v>8</v>
      </c>
      <c r="G13" s="107">
        <v>10</v>
      </c>
      <c r="H13"/>
      <c r="I13"/>
    </row>
    <row r="14" spans="1:9" x14ac:dyDescent="0.2">
      <c r="A14" s="71" t="s">
        <v>104</v>
      </c>
      <c r="E14" s="107">
        <v>3</v>
      </c>
      <c r="G14" s="107">
        <v>3</v>
      </c>
      <c r="H14"/>
      <c r="I14"/>
    </row>
    <row r="15" spans="1:9" x14ac:dyDescent="0.2">
      <c r="A15" s="71" t="s">
        <v>78</v>
      </c>
      <c r="E15" s="107">
        <v>3</v>
      </c>
      <c r="G15" s="107">
        <v>3</v>
      </c>
      <c r="H15"/>
      <c r="I15"/>
    </row>
    <row r="16" spans="1:9" x14ac:dyDescent="0.2">
      <c r="A16" s="71" t="s">
        <v>368</v>
      </c>
      <c r="B16" s="107">
        <v>6</v>
      </c>
      <c r="E16" s="107">
        <v>6</v>
      </c>
      <c r="G16" s="107">
        <v>12</v>
      </c>
      <c r="H16"/>
      <c r="I16"/>
    </row>
    <row r="17" spans="1:9" x14ac:dyDescent="0.2">
      <c r="A17" s="7" t="s">
        <v>290</v>
      </c>
      <c r="E17" s="107">
        <v>8</v>
      </c>
      <c r="G17" s="107">
        <v>8</v>
      </c>
      <c r="H17"/>
      <c r="I17"/>
    </row>
    <row r="18" spans="1:9" x14ac:dyDescent="0.2">
      <c r="A18" s="71" t="s">
        <v>291</v>
      </c>
      <c r="E18" s="107">
        <v>3</v>
      </c>
      <c r="G18" s="107">
        <v>3</v>
      </c>
      <c r="H18"/>
      <c r="I18"/>
    </row>
    <row r="19" spans="1:9" x14ac:dyDescent="0.2">
      <c r="A19" s="71" t="s">
        <v>515</v>
      </c>
      <c r="E19" s="107">
        <v>2</v>
      </c>
      <c r="G19" s="107">
        <v>2</v>
      </c>
      <c r="H19"/>
      <c r="I19"/>
    </row>
    <row r="20" spans="1:9" x14ac:dyDescent="0.2">
      <c r="A20" s="71" t="s">
        <v>667</v>
      </c>
      <c r="E20" s="107">
        <v>3</v>
      </c>
      <c r="G20" s="107">
        <v>3</v>
      </c>
      <c r="H20"/>
      <c r="I20"/>
    </row>
    <row r="21" spans="1:9" x14ac:dyDescent="0.2">
      <c r="A21" s="7" t="s">
        <v>521</v>
      </c>
      <c r="E21" s="107">
        <v>12</v>
      </c>
      <c r="G21" s="107">
        <v>12</v>
      </c>
      <c r="H21"/>
      <c r="I21"/>
    </row>
    <row r="22" spans="1:9" x14ac:dyDescent="0.2">
      <c r="A22" s="71" t="s">
        <v>522</v>
      </c>
      <c r="E22" s="107">
        <v>12</v>
      </c>
      <c r="G22" s="107">
        <v>12</v>
      </c>
      <c r="H22"/>
      <c r="I22"/>
    </row>
    <row r="23" spans="1:9" x14ac:dyDescent="0.2">
      <c r="A23" s="7" t="s">
        <v>551</v>
      </c>
      <c r="B23" s="107">
        <v>4</v>
      </c>
      <c r="E23" s="107">
        <v>34</v>
      </c>
      <c r="G23" s="107">
        <v>38</v>
      </c>
      <c r="H23"/>
      <c r="I23"/>
    </row>
    <row r="24" spans="1:9" x14ac:dyDescent="0.2">
      <c r="A24" s="71" t="s">
        <v>606</v>
      </c>
      <c r="B24" s="107">
        <v>2</v>
      </c>
      <c r="E24" s="107">
        <v>6</v>
      </c>
      <c r="G24" s="107">
        <v>8</v>
      </c>
      <c r="H24"/>
      <c r="I24"/>
    </row>
    <row r="25" spans="1:9" x14ac:dyDescent="0.2">
      <c r="A25" s="71" t="s">
        <v>629</v>
      </c>
      <c r="B25" s="107">
        <v>2</v>
      </c>
      <c r="E25" s="107">
        <v>10</v>
      </c>
      <c r="G25" s="107">
        <v>12</v>
      </c>
      <c r="H25"/>
      <c r="I25"/>
    </row>
    <row r="26" spans="1:9" x14ac:dyDescent="0.2">
      <c r="A26" s="71" t="s">
        <v>552</v>
      </c>
      <c r="E26" s="107">
        <v>11</v>
      </c>
      <c r="G26" s="107">
        <v>11</v>
      </c>
      <c r="H26"/>
      <c r="I26"/>
    </row>
    <row r="27" spans="1:9" x14ac:dyDescent="0.2">
      <c r="A27" s="71" t="s">
        <v>584</v>
      </c>
      <c r="E27" s="107">
        <v>7</v>
      </c>
      <c r="G27" s="107">
        <v>7</v>
      </c>
      <c r="H27"/>
      <c r="I27"/>
    </row>
    <row r="28" spans="1:9" x14ac:dyDescent="0.2">
      <c r="A28" s="7" t="s">
        <v>684</v>
      </c>
      <c r="E28" s="107">
        <v>20</v>
      </c>
      <c r="G28" s="107">
        <v>20</v>
      </c>
      <c r="H28"/>
      <c r="I28"/>
    </row>
    <row r="29" spans="1:9" x14ac:dyDescent="0.2">
      <c r="A29" s="71" t="s">
        <v>733</v>
      </c>
      <c r="E29" s="107">
        <v>5</v>
      </c>
      <c r="G29" s="107">
        <v>5</v>
      </c>
      <c r="H29"/>
      <c r="I29"/>
    </row>
    <row r="30" spans="1:9" x14ac:dyDescent="0.2">
      <c r="A30" s="71" t="s">
        <v>696</v>
      </c>
      <c r="E30" s="107">
        <v>5</v>
      </c>
      <c r="G30" s="107">
        <v>5</v>
      </c>
      <c r="H30"/>
      <c r="I30"/>
    </row>
    <row r="31" spans="1:9" x14ac:dyDescent="0.2">
      <c r="A31" s="71" t="s">
        <v>716</v>
      </c>
      <c r="E31" s="107">
        <v>2</v>
      </c>
      <c r="G31" s="107">
        <v>2</v>
      </c>
      <c r="H31"/>
      <c r="I31"/>
    </row>
    <row r="32" spans="1:9" x14ac:dyDescent="0.2">
      <c r="A32" s="71" t="s">
        <v>723</v>
      </c>
      <c r="E32" s="107">
        <v>5</v>
      </c>
      <c r="G32" s="107">
        <v>5</v>
      </c>
      <c r="H32"/>
      <c r="I32"/>
    </row>
    <row r="33" spans="1:9" x14ac:dyDescent="0.2">
      <c r="A33" s="71" t="s">
        <v>667</v>
      </c>
      <c r="E33" s="107">
        <v>3</v>
      </c>
      <c r="G33" s="107">
        <v>3</v>
      </c>
      <c r="H33"/>
      <c r="I33"/>
    </row>
    <row r="34" spans="1:9" x14ac:dyDescent="0.2">
      <c r="A34" s="7" t="s">
        <v>749</v>
      </c>
      <c r="B34" s="107">
        <v>5</v>
      </c>
      <c r="E34" s="107">
        <v>14</v>
      </c>
      <c r="G34" s="107">
        <v>19</v>
      </c>
      <c r="H34"/>
      <c r="I34"/>
    </row>
    <row r="35" spans="1:9" x14ac:dyDescent="0.2">
      <c r="A35" s="71" t="s">
        <v>750</v>
      </c>
      <c r="B35" s="107">
        <v>5</v>
      </c>
      <c r="E35" s="107">
        <v>14</v>
      </c>
      <c r="G35" s="107">
        <v>19</v>
      </c>
      <c r="H35"/>
      <c r="I35"/>
    </row>
    <row r="36" spans="1:9" x14ac:dyDescent="0.2">
      <c r="A36" s="7" t="s">
        <v>804</v>
      </c>
      <c r="B36" s="107">
        <v>8</v>
      </c>
      <c r="C36" s="107">
        <v>1</v>
      </c>
      <c r="E36" s="107">
        <v>16</v>
      </c>
      <c r="G36" s="107">
        <v>25</v>
      </c>
      <c r="H36"/>
      <c r="I36"/>
    </row>
    <row r="37" spans="1:9" x14ac:dyDescent="0.2">
      <c r="A37" s="71" t="s">
        <v>805</v>
      </c>
      <c r="B37" s="107">
        <v>8</v>
      </c>
      <c r="C37" s="107">
        <v>1</v>
      </c>
      <c r="E37" s="107">
        <v>16</v>
      </c>
      <c r="G37" s="107">
        <v>25</v>
      </c>
      <c r="H37"/>
      <c r="I37"/>
    </row>
    <row r="38" spans="1:9" x14ac:dyDescent="0.2">
      <c r="A38" s="7" t="s">
        <v>893</v>
      </c>
      <c r="E38" s="107">
        <v>9</v>
      </c>
      <c r="G38" s="107">
        <v>9</v>
      </c>
      <c r="H38"/>
      <c r="I38"/>
    </row>
    <row r="39" spans="1:9" x14ac:dyDescent="0.2">
      <c r="A39" s="71" t="s">
        <v>894</v>
      </c>
      <c r="E39" s="107">
        <v>9</v>
      </c>
      <c r="G39" s="107">
        <v>9</v>
      </c>
      <c r="H39"/>
      <c r="I39"/>
    </row>
    <row r="40" spans="1:9" x14ac:dyDescent="0.2">
      <c r="A40" s="7" t="s">
        <v>678</v>
      </c>
      <c r="B40" s="107">
        <v>3</v>
      </c>
      <c r="E40" s="107">
        <v>21</v>
      </c>
      <c r="F40" s="107">
        <v>3</v>
      </c>
      <c r="G40" s="107">
        <v>27</v>
      </c>
      <c r="H40"/>
      <c r="I40"/>
    </row>
    <row r="41" spans="1:9" x14ac:dyDescent="0.2">
      <c r="A41" s="71" t="s">
        <v>679</v>
      </c>
      <c r="B41" s="107">
        <v>3</v>
      </c>
      <c r="E41" s="107">
        <v>16</v>
      </c>
      <c r="F41" s="107">
        <v>3</v>
      </c>
      <c r="G41" s="107">
        <v>22</v>
      </c>
      <c r="H41"/>
      <c r="I41"/>
    </row>
    <row r="42" spans="1:9" x14ac:dyDescent="0.2">
      <c r="A42" s="71" t="s">
        <v>1001</v>
      </c>
      <c r="E42" s="107">
        <v>5</v>
      </c>
      <c r="G42" s="107">
        <v>5</v>
      </c>
      <c r="H42"/>
      <c r="I42"/>
    </row>
    <row r="43" spans="1:9" x14ac:dyDescent="0.2">
      <c r="A43" s="7" t="s">
        <v>1018</v>
      </c>
      <c r="B43" s="107">
        <v>2</v>
      </c>
      <c r="E43" s="107">
        <v>31</v>
      </c>
      <c r="G43" s="107">
        <v>33</v>
      </c>
      <c r="H43"/>
      <c r="I43"/>
    </row>
    <row r="44" spans="1:9" x14ac:dyDescent="0.2">
      <c r="A44" s="71" t="s">
        <v>1019</v>
      </c>
      <c r="B44" s="107">
        <v>2</v>
      </c>
      <c r="E44" s="107">
        <v>1</v>
      </c>
      <c r="G44" s="107">
        <v>3</v>
      </c>
      <c r="H44"/>
      <c r="I44"/>
    </row>
    <row r="45" spans="1:9" x14ac:dyDescent="0.2">
      <c r="A45" s="71" t="s">
        <v>1034</v>
      </c>
      <c r="E45" s="107">
        <v>30</v>
      </c>
      <c r="G45" s="107">
        <v>30</v>
      </c>
      <c r="H45"/>
      <c r="I45"/>
    </row>
    <row r="46" spans="1:9" x14ac:dyDescent="0.2">
      <c r="A46" s="7" t="s">
        <v>2020</v>
      </c>
      <c r="B46" s="107">
        <v>60</v>
      </c>
      <c r="C46" s="107">
        <v>7</v>
      </c>
      <c r="D46" s="107">
        <v>3</v>
      </c>
      <c r="E46" s="107">
        <v>254</v>
      </c>
      <c r="F46" s="107">
        <v>3</v>
      </c>
      <c r="G46" s="107">
        <v>327</v>
      </c>
      <c r="H46"/>
      <c r="I46"/>
    </row>
    <row r="47" spans="1:9" x14ac:dyDescent="0.2">
      <c r="B47"/>
      <c r="C47"/>
      <c r="D47"/>
      <c r="E47"/>
      <c r="F47"/>
      <c r="G47"/>
      <c r="H47"/>
      <c r="I47"/>
    </row>
    <row r="48" spans="1:9" x14ac:dyDescent="0.2">
      <c r="B48"/>
      <c r="C48"/>
      <c r="D48"/>
      <c r="E48"/>
      <c r="F48"/>
      <c r="G48"/>
      <c r="H48"/>
      <c r="I48"/>
    </row>
    <row r="49" spans="1:9" x14ac:dyDescent="0.2">
      <c r="B49"/>
      <c r="C49"/>
      <c r="D49"/>
      <c r="E49"/>
      <c r="F49"/>
      <c r="G49"/>
      <c r="H49"/>
    </row>
    <row r="50" spans="1:9" x14ac:dyDescent="0.2">
      <c r="B50"/>
      <c r="C50"/>
      <c r="D50"/>
      <c r="E50"/>
      <c r="F50"/>
      <c r="G50"/>
      <c r="H50"/>
    </row>
    <row r="51" spans="1:9" x14ac:dyDescent="0.2">
      <c r="B51"/>
      <c r="C51"/>
      <c r="D51"/>
      <c r="E51"/>
      <c r="F51"/>
      <c r="G51"/>
      <c r="H51"/>
    </row>
    <row r="52" spans="1:9" x14ac:dyDescent="0.2">
      <c r="B52"/>
      <c r="C52"/>
      <c r="D52"/>
      <c r="E52"/>
      <c r="F52"/>
      <c r="G52"/>
      <c r="H52"/>
    </row>
    <row r="53" spans="1:9" x14ac:dyDescent="0.2">
      <c r="B53"/>
      <c r="C53"/>
      <c r="D53"/>
      <c r="E53"/>
      <c r="F53"/>
      <c r="G53"/>
      <c r="H53"/>
    </row>
    <row r="54" spans="1:9" x14ac:dyDescent="0.2">
      <c r="B54"/>
      <c r="C54"/>
      <c r="D54"/>
      <c r="E54"/>
      <c r="F54"/>
      <c r="G54"/>
      <c r="H54"/>
    </row>
    <row r="55" spans="1:9" x14ac:dyDescent="0.2">
      <c r="B55"/>
      <c r="C55"/>
      <c r="D55"/>
      <c r="E55"/>
      <c r="F55"/>
      <c r="G55"/>
    </row>
    <row r="56" spans="1:9" x14ac:dyDescent="0.2">
      <c r="A56" s="7"/>
    </row>
    <row r="57" spans="1:9" x14ac:dyDescent="0.2">
      <c r="A57" s="7"/>
    </row>
    <row r="58" spans="1:9" x14ac:dyDescent="0.2">
      <c r="A58" s="109" t="s">
        <v>4</v>
      </c>
      <c r="B58" s="107" t="s">
        <v>34</v>
      </c>
    </row>
    <row r="60" spans="1:9" x14ac:dyDescent="0.2">
      <c r="A60" s="6" t="s">
        <v>2017</v>
      </c>
      <c r="B60" s="109" t="s">
        <v>2018</v>
      </c>
      <c r="H60"/>
      <c r="I60"/>
    </row>
    <row r="61" spans="1:9" ht="17" x14ac:dyDescent="0.2">
      <c r="A61" s="176" t="s">
        <v>2019</v>
      </c>
      <c r="B61" s="168" t="s">
        <v>60</v>
      </c>
      <c r="C61" s="168" t="s">
        <v>50</v>
      </c>
      <c r="D61" s="168" t="s">
        <v>37</v>
      </c>
      <c r="E61" s="168" t="s">
        <v>359</v>
      </c>
      <c r="F61" s="107" t="s">
        <v>146</v>
      </c>
      <c r="G61" s="177" t="s">
        <v>2020</v>
      </c>
      <c r="H61"/>
      <c r="I61"/>
    </row>
    <row r="62" spans="1:9" x14ac:dyDescent="0.2">
      <c r="A62" s="178" t="s">
        <v>31</v>
      </c>
      <c r="B62" s="168">
        <v>1</v>
      </c>
      <c r="C62" s="168">
        <v>1</v>
      </c>
      <c r="D62" s="168">
        <v>2</v>
      </c>
      <c r="E62" s="168"/>
      <c r="F62" s="168"/>
      <c r="G62" s="168">
        <v>4</v>
      </c>
      <c r="H62"/>
      <c r="I62"/>
    </row>
    <row r="63" spans="1:9" x14ac:dyDescent="0.2">
      <c r="A63" s="178" t="s">
        <v>77</v>
      </c>
      <c r="B63" s="168"/>
      <c r="C63" s="168">
        <v>42</v>
      </c>
      <c r="D63" s="168">
        <v>33</v>
      </c>
      <c r="E63" s="168">
        <v>4</v>
      </c>
      <c r="F63" s="168">
        <v>6</v>
      </c>
      <c r="G63" s="168">
        <v>85</v>
      </c>
      <c r="H63"/>
      <c r="I63"/>
    </row>
    <row r="64" spans="1:9" x14ac:dyDescent="0.2">
      <c r="A64" s="178" t="s">
        <v>290</v>
      </c>
      <c r="B64" s="168">
        <v>1</v>
      </c>
      <c r="C64" s="168">
        <v>4</v>
      </c>
      <c r="D64" s="168">
        <v>3</v>
      </c>
      <c r="E64" s="168"/>
      <c r="F64" s="168"/>
      <c r="G64" s="168">
        <v>8</v>
      </c>
      <c r="H64"/>
      <c r="I64"/>
    </row>
    <row r="65" spans="1:9" x14ac:dyDescent="0.2">
      <c r="A65" s="178" t="s">
        <v>521</v>
      </c>
      <c r="B65" s="168">
        <v>1</v>
      </c>
      <c r="C65" s="168">
        <v>3</v>
      </c>
      <c r="D65" s="168">
        <v>8</v>
      </c>
      <c r="E65" s="168"/>
      <c r="F65" s="168"/>
      <c r="G65" s="168">
        <v>12</v>
      </c>
      <c r="H65"/>
      <c r="I65"/>
    </row>
    <row r="66" spans="1:9" x14ac:dyDescent="0.2">
      <c r="A66" s="178" t="s">
        <v>551</v>
      </c>
      <c r="B66" s="168">
        <v>2</v>
      </c>
      <c r="C66" s="168">
        <v>13</v>
      </c>
      <c r="D66" s="168">
        <v>19</v>
      </c>
      <c r="E66" s="168"/>
      <c r="F66" s="168"/>
      <c r="G66" s="168">
        <v>34</v>
      </c>
      <c r="H66"/>
      <c r="I66"/>
    </row>
    <row r="67" spans="1:9" x14ac:dyDescent="0.2">
      <c r="A67" s="178" t="s">
        <v>684</v>
      </c>
      <c r="B67" s="168">
        <v>10</v>
      </c>
      <c r="C67" s="168"/>
      <c r="D67" s="168">
        <v>10</v>
      </c>
      <c r="E67" s="168"/>
      <c r="F67" s="168"/>
      <c r="G67" s="168">
        <v>20</v>
      </c>
      <c r="H67"/>
      <c r="I67"/>
    </row>
    <row r="68" spans="1:9" x14ac:dyDescent="0.2">
      <c r="A68" s="178" t="s">
        <v>749</v>
      </c>
      <c r="B68" s="168">
        <v>3</v>
      </c>
      <c r="C68" s="168">
        <v>1</v>
      </c>
      <c r="D68" s="168">
        <v>10</v>
      </c>
      <c r="E68" s="168"/>
      <c r="F68" s="168"/>
      <c r="G68" s="168">
        <v>14</v>
      </c>
      <c r="H68"/>
      <c r="I68"/>
    </row>
    <row r="69" spans="1:9" x14ac:dyDescent="0.2">
      <c r="A69" s="178" t="s">
        <v>804</v>
      </c>
      <c r="B69" s="168"/>
      <c r="C69" s="168">
        <v>2</v>
      </c>
      <c r="D69" s="168">
        <v>14</v>
      </c>
      <c r="E69" s="168"/>
      <c r="F69" s="168"/>
      <c r="G69" s="168">
        <v>16</v>
      </c>
      <c r="H69"/>
      <c r="I69"/>
    </row>
    <row r="70" spans="1:9" x14ac:dyDescent="0.2">
      <c r="A70" s="178" t="s">
        <v>893</v>
      </c>
      <c r="B70" s="168"/>
      <c r="C70" s="168"/>
      <c r="D70" s="168">
        <v>9</v>
      </c>
      <c r="E70" s="168"/>
      <c r="F70" s="168"/>
      <c r="G70" s="168">
        <v>9</v>
      </c>
      <c r="H70"/>
      <c r="I70"/>
    </row>
    <row r="71" spans="1:9" x14ac:dyDescent="0.2">
      <c r="A71" s="178" t="s">
        <v>678</v>
      </c>
      <c r="B71" s="168"/>
      <c r="C71" s="168">
        <v>1</v>
      </c>
      <c r="D71" s="168">
        <v>20</v>
      </c>
      <c r="E71" s="168"/>
      <c r="F71" s="168"/>
      <c r="G71" s="168">
        <v>21</v>
      </c>
      <c r="H71"/>
      <c r="I71"/>
    </row>
    <row r="72" spans="1:9" x14ac:dyDescent="0.2">
      <c r="A72" s="178" t="s">
        <v>1018</v>
      </c>
      <c r="B72" s="168"/>
      <c r="C72" s="168">
        <v>16</v>
      </c>
      <c r="D72" s="168">
        <v>15</v>
      </c>
      <c r="E72" s="168"/>
      <c r="F72" s="168"/>
      <c r="G72" s="168">
        <v>31</v>
      </c>
      <c r="H72"/>
      <c r="I72"/>
    </row>
    <row r="73" spans="1:9" x14ac:dyDescent="0.2">
      <c r="A73" s="178" t="s">
        <v>2020</v>
      </c>
      <c r="B73" s="168">
        <v>18</v>
      </c>
      <c r="C73" s="168">
        <v>83</v>
      </c>
      <c r="D73" s="168">
        <v>143</v>
      </c>
      <c r="E73" s="168">
        <v>4</v>
      </c>
      <c r="F73" s="168">
        <v>6</v>
      </c>
      <c r="G73" s="168">
        <v>254</v>
      </c>
      <c r="H73"/>
      <c r="I73"/>
    </row>
    <row r="78" spans="1:9" x14ac:dyDescent="0.2">
      <c r="A78" s="109" t="s">
        <v>4</v>
      </c>
      <c r="B78" s="107" t="s">
        <v>34</v>
      </c>
    </row>
    <row r="79" spans="1:9" x14ac:dyDescent="0.2">
      <c r="A79" s="6" t="s">
        <v>9</v>
      </c>
      <c r="B79" t="s">
        <v>2021</v>
      </c>
    </row>
    <row r="81" spans="1:24" ht="34" x14ac:dyDescent="0.2">
      <c r="A81" s="6" t="s">
        <v>2017</v>
      </c>
      <c r="B81" s="180" t="s">
        <v>2018</v>
      </c>
      <c r="L81"/>
      <c r="M81"/>
      <c r="N81"/>
      <c r="O81"/>
      <c r="P81"/>
      <c r="Q81"/>
      <c r="R81"/>
      <c r="S81"/>
      <c r="T81"/>
      <c r="U81"/>
      <c r="V81"/>
      <c r="W81"/>
      <c r="X81"/>
    </row>
    <row r="82" spans="1:24" ht="34" x14ac:dyDescent="0.2">
      <c r="A82" s="181" t="s">
        <v>5</v>
      </c>
      <c r="B82" s="232" t="s">
        <v>35</v>
      </c>
      <c r="C82" s="232" t="s">
        <v>105</v>
      </c>
      <c r="D82" s="232" t="s">
        <v>48</v>
      </c>
      <c r="E82" s="232" t="s">
        <v>58</v>
      </c>
      <c r="F82" s="232" t="s">
        <v>98</v>
      </c>
      <c r="G82" s="232" t="s">
        <v>138</v>
      </c>
      <c r="H82" s="232" t="s">
        <v>117</v>
      </c>
      <c r="I82" s="232" t="s">
        <v>197</v>
      </c>
      <c r="J82" s="233" t="s">
        <v>81</v>
      </c>
      <c r="K82" s="177" t="s">
        <v>2020</v>
      </c>
      <c r="L82"/>
      <c r="M82"/>
      <c r="N82"/>
      <c r="O82"/>
      <c r="P82"/>
      <c r="Q82"/>
      <c r="R82"/>
      <c r="S82"/>
      <c r="T82"/>
      <c r="U82"/>
      <c r="V82"/>
      <c r="W82"/>
      <c r="X82"/>
    </row>
    <row r="83" spans="1:24" ht="17" x14ac:dyDescent="0.2">
      <c r="A83" s="231" t="s">
        <v>31</v>
      </c>
      <c r="B83" s="168">
        <v>1</v>
      </c>
      <c r="C83" s="168"/>
      <c r="D83" s="168">
        <v>2</v>
      </c>
      <c r="E83" s="168">
        <v>1</v>
      </c>
      <c r="F83" s="168"/>
      <c r="G83" s="168"/>
      <c r="H83" s="168"/>
      <c r="I83" s="168"/>
      <c r="J83" s="168"/>
      <c r="K83" s="168">
        <v>4</v>
      </c>
      <c r="L83"/>
      <c r="M83"/>
      <c r="N83"/>
      <c r="O83"/>
      <c r="P83"/>
      <c r="Q83"/>
      <c r="R83"/>
      <c r="S83"/>
      <c r="T83"/>
      <c r="U83"/>
      <c r="V83"/>
      <c r="W83"/>
      <c r="X83"/>
    </row>
    <row r="84" spans="1:24" ht="17" x14ac:dyDescent="0.2">
      <c r="A84" s="231" t="s">
        <v>77</v>
      </c>
      <c r="B84" s="168">
        <v>1</v>
      </c>
      <c r="C84" s="168">
        <v>11</v>
      </c>
      <c r="D84" s="168">
        <v>12</v>
      </c>
      <c r="E84" s="168">
        <v>16</v>
      </c>
      <c r="F84" s="168">
        <v>14</v>
      </c>
      <c r="G84" s="168">
        <v>15</v>
      </c>
      <c r="H84" s="168">
        <v>11</v>
      </c>
      <c r="I84" s="168">
        <v>1</v>
      </c>
      <c r="J84" s="168">
        <v>4</v>
      </c>
      <c r="K84" s="168">
        <v>85</v>
      </c>
      <c r="L84"/>
      <c r="M84"/>
      <c r="N84"/>
      <c r="O84"/>
      <c r="P84"/>
      <c r="Q84"/>
      <c r="R84"/>
      <c r="S84"/>
      <c r="T84"/>
      <c r="U84"/>
      <c r="V84"/>
      <c r="W84"/>
      <c r="X84"/>
    </row>
    <row r="85" spans="1:24" ht="17" x14ac:dyDescent="0.2">
      <c r="A85" s="231" t="s">
        <v>290</v>
      </c>
      <c r="B85" s="168">
        <v>1</v>
      </c>
      <c r="C85" s="168">
        <v>3</v>
      </c>
      <c r="D85" s="168"/>
      <c r="E85" s="168">
        <v>1</v>
      </c>
      <c r="F85" s="168">
        <v>2</v>
      </c>
      <c r="G85" s="168"/>
      <c r="H85" s="168"/>
      <c r="I85" s="168"/>
      <c r="J85" s="168">
        <v>1</v>
      </c>
      <c r="K85" s="168">
        <v>8</v>
      </c>
      <c r="L85"/>
      <c r="M85"/>
    </row>
    <row r="86" spans="1:24" ht="17" x14ac:dyDescent="0.2">
      <c r="A86" s="231" t="s">
        <v>521</v>
      </c>
      <c r="B86" s="168">
        <v>1</v>
      </c>
      <c r="C86" s="168">
        <v>3</v>
      </c>
      <c r="D86" s="168"/>
      <c r="E86" s="168">
        <v>3</v>
      </c>
      <c r="F86" s="168">
        <v>3</v>
      </c>
      <c r="G86" s="168"/>
      <c r="H86" s="168">
        <v>2</v>
      </c>
      <c r="I86" s="168"/>
      <c r="J86" s="168"/>
      <c r="K86" s="168">
        <v>12</v>
      </c>
      <c r="L86"/>
      <c r="M86"/>
    </row>
    <row r="87" spans="1:24" ht="17" x14ac:dyDescent="0.2">
      <c r="A87" s="231" t="s">
        <v>551</v>
      </c>
      <c r="B87" s="168">
        <v>1</v>
      </c>
      <c r="C87" s="168">
        <v>4</v>
      </c>
      <c r="D87" s="168">
        <v>1</v>
      </c>
      <c r="E87" s="168">
        <v>4</v>
      </c>
      <c r="F87" s="168">
        <v>5</v>
      </c>
      <c r="G87" s="168">
        <v>1</v>
      </c>
      <c r="H87" s="168">
        <v>10</v>
      </c>
      <c r="I87" s="168">
        <v>6</v>
      </c>
      <c r="J87" s="168">
        <v>2</v>
      </c>
      <c r="K87" s="168">
        <v>34</v>
      </c>
      <c r="L87"/>
      <c r="M87"/>
    </row>
    <row r="88" spans="1:24" ht="17" x14ac:dyDescent="0.2">
      <c r="A88" s="231" t="s">
        <v>684</v>
      </c>
      <c r="B88" s="168">
        <v>1</v>
      </c>
      <c r="C88" s="168">
        <v>4</v>
      </c>
      <c r="D88" s="168">
        <v>4</v>
      </c>
      <c r="E88" s="168">
        <v>5</v>
      </c>
      <c r="F88" s="168">
        <v>3</v>
      </c>
      <c r="G88" s="168">
        <v>1</v>
      </c>
      <c r="H88" s="168">
        <v>1</v>
      </c>
      <c r="I88" s="168">
        <v>1</v>
      </c>
      <c r="J88" s="168"/>
      <c r="K88" s="168">
        <v>20</v>
      </c>
      <c r="L88"/>
      <c r="M88"/>
    </row>
    <row r="89" spans="1:24" ht="17" x14ac:dyDescent="0.2">
      <c r="A89" s="231" t="s">
        <v>749</v>
      </c>
      <c r="B89" s="168">
        <v>1</v>
      </c>
      <c r="C89" s="168">
        <v>1</v>
      </c>
      <c r="D89" s="168">
        <v>3</v>
      </c>
      <c r="E89" s="168">
        <v>2</v>
      </c>
      <c r="F89" s="168">
        <v>1</v>
      </c>
      <c r="G89" s="168"/>
      <c r="H89" s="168">
        <v>4</v>
      </c>
      <c r="I89" s="168"/>
      <c r="J89" s="168">
        <v>2</v>
      </c>
      <c r="K89" s="168">
        <v>14</v>
      </c>
      <c r="L89"/>
      <c r="M89"/>
    </row>
    <row r="90" spans="1:24" ht="17" x14ac:dyDescent="0.2">
      <c r="A90" s="231" t="s">
        <v>804</v>
      </c>
      <c r="B90" s="168">
        <v>1</v>
      </c>
      <c r="C90" s="168">
        <v>1</v>
      </c>
      <c r="D90" s="168"/>
      <c r="E90" s="168">
        <v>5</v>
      </c>
      <c r="F90" s="168">
        <v>5</v>
      </c>
      <c r="G90" s="168">
        <v>1</v>
      </c>
      <c r="H90" s="168">
        <v>3</v>
      </c>
      <c r="I90" s="168"/>
      <c r="J90" s="168"/>
      <c r="K90" s="168">
        <v>16</v>
      </c>
      <c r="L90"/>
      <c r="M90"/>
    </row>
    <row r="91" spans="1:24" ht="17" x14ac:dyDescent="0.2">
      <c r="A91" s="231" t="s">
        <v>893</v>
      </c>
      <c r="B91" s="168"/>
      <c r="C91" s="168">
        <v>1</v>
      </c>
      <c r="D91" s="168"/>
      <c r="E91" s="168"/>
      <c r="F91" s="168">
        <v>2</v>
      </c>
      <c r="G91" s="168">
        <v>2</v>
      </c>
      <c r="H91" s="168">
        <v>1</v>
      </c>
      <c r="I91" s="168">
        <v>2</v>
      </c>
      <c r="J91" s="168">
        <v>1</v>
      </c>
      <c r="K91" s="168">
        <v>9</v>
      </c>
      <c r="L91"/>
      <c r="M91"/>
    </row>
    <row r="92" spans="1:24" ht="17" x14ac:dyDescent="0.2">
      <c r="A92" s="231" t="s">
        <v>678</v>
      </c>
      <c r="B92" s="168"/>
      <c r="C92" s="168">
        <v>2</v>
      </c>
      <c r="D92" s="168"/>
      <c r="E92" s="168"/>
      <c r="F92" s="168"/>
      <c r="G92" s="168">
        <v>4</v>
      </c>
      <c r="H92" s="168">
        <v>5</v>
      </c>
      <c r="I92" s="168">
        <v>6</v>
      </c>
      <c r="J92" s="168">
        <v>4</v>
      </c>
      <c r="K92" s="168">
        <v>21</v>
      </c>
      <c r="L92"/>
      <c r="M92"/>
    </row>
    <row r="93" spans="1:24" ht="17" x14ac:dyDescent="0.2">
      <c r="A93" s="231" t="s">
        <v>1018</v>
      </c>
      <c r="B93" s="168">
        <v>1</v>
      </c>
      <c r="C93" s="168">
        <v>4</v>
      </c>
      <c r="D93" s="168"/>
      <c r="E93" s="168">
        <v>9</v>
      </c>
      <c r="F93" s="168">
        <v>7</v>
      </c>
      <c r="G93" s="168">
        <v>5</v>
      </c>
      <c r="H93" s="168">
        <v>5</v>
      </c>
      <c r="I93" s="168"/>
      <c r="J93" s="168"/>
      <c r="K93" s="168">
        <v>31</v>
      </c>
      <c r="L93"/>
      <c r="M93"/>
    </row>
    <row r="94" spans="1:24" x14ac:dyDescent="0.2">
      <c r="A94" s="178" t="s">
        <v>2020</v>
      </c>
      <c r="B94" s="168">
        <v>9</v>
      </c>
      <c r="C94" s="168">
        <v>34</v>
      </c>
      <c r="D94" s="168">
        <v>22</v>
      </c>
      <c r="E94" s="168">
        <v>46</v>
      </c>
      <c r="F94" s="168">
        <v>42</v>
      </c>
      <c r="G94" s="168">
        <v>29</v>
      </c>
      <c r="H94" s="168">
        <v>42</v>
      </c>
      <c r="I94" s="168">
        <v>16</v>
      </c>
      <c r="J94" s="168">
        <v>14</v>
      </c>
      <c r="K94" s="168">
        <v>254</v>
      </c>
      <c r="L94"/>
    </row>
    <row r="98" spans="1:21" x14ac:dyDescent="0.2">
      <c r="A98" s="109" t="s">
        <v>4</v>
      </c>
      <c r="B98" s="107" t="s">
        <v>34</v>
      </c>
    </row>
    <row r="100" spans="1:21" x14ac:dyDescent="0.2">
      <c r="A100" s="6" t="s">
        <v>2017</v>
      </c>
      <c r="B100" s="109" t="s">
        <v>2018</v>
      </c>
      <c r="I100"/>
      <c r="J100"/>
      <c r="K100"/>
      <c r="L100"/>
      <c r="M100"/>
      <c r="N100"/>
      <c r="O100"/>
    </row>
    <row r="101" spans="1:21" ht="17" x14ac:dyDescent="0.2">
      <c r="B101" s="107" t="s">
        <v>61</v>
      </c>
      <c r="G101" s="107" t="s">
        <v>2022</v>
      </c>
      <c r="H101" s="177" t="s">
        <v>2020</v>
      </c>
      <c r="I101"/>
      <c r="J101"/>
      <c r="K101"/>
      <c r="L101"/>
      <c r="M101"/>
      <c r="N101"/>
      <c r="O101"/>
    </row>
    <row r="102" spans="1:21" ht="34" x14ac:dyDescent="0.2">
      <c r="A102" s="176" t="s">
        <v>2019</v>
      </c>
      <c r="B102" s="107" t="s">
        <v>39</v>
      </c>
      <c r="C102" s="107" t="s">
        <v>62</v>
      </c>
      <c r="D102" s="107" t="s">
        <v>2023</v>
      </c>
      <c r="E102" s="107" t="s">
        <v>481</v>
      </c>
      <c r="F102" t="s">
        <v>534</v>
      </c>
      <c r="H102" s="177"/>
      <c r="I102"/>
      <c r="J102"/>
      <c r="K102"/>
      <c r="L102" s="206" t="s">
        <v>2019</v>
      </c>
      <c r="M102" s="229" t="s">
        <v>39</v>
      </c>
      <c r="N102" s="182" t="s">
        <v>62</v>
      </c>
      <c r="O102" s="182" t="s">
        <v>481</v>
      </c>
      <c r="P102" s="228" t="s">
        <v>2024</v>
      </c>
      <c r="Q102" s="229" t="s">
        <v>2025</v>
      </c>
      <c r="R102" s="294" t="s">
        <v>2026</v>
      </c>
      <c r="S102" s="230" t="s">
        <v>2027</v>
      </c>
      <c r="T102" s="230" t="s">
        <v>2028</v>
      </c>
      <c r="U102" s="230" t="s">
        <v>2029</v>
      </c>
    </row>
    <row r="103" spans="1:21" x14ac:dyDescent="0.2">
      <c r="A103" s="178" t="s">
        <v>31</v>
      </c>
      <c r="B103" s="168"/>
      <c r="C103" s="168">
        <v>1</v>
      </c>
      <c r="D103" s="168"/>
      <c r="E103" s="168"/>
      <c r="F103" s="168"/>
      <c r="G103" s="168">
        <v>1</v>
      </c>
      <c r="H103" s="168">
        <v>1</v>
      </c>
      <c r="I103"/>
      <c r="J103"/>
      <c r="K103"/>
      <c r="L103" s="164" t="s">
        <v>804</v>
      </c>
      <c r="M103" s="166">
        <v>1</v>
      </c>
      <c r="N103" s="165"/>
      <c r="O103" s="165"/>
      <c r="P103" s="165"/>
      <c r="Q103" s="183">
        <f t="shared" ref="Q103:Q112" si="0">SUM(N103:P103)</f>
        <v>0</v>
      </c>
      <c r="R103" s="166"/>
      <c r="S103" s="165">
        <f>Q103+R103</f>
        <v>0</v>
      </c>
      <c r="T103" s="165">
        <f>M103+S103</f>
        <v>1</v>
      </c>
      <c r="U103" s="195">
        <f>M103/T103</f>
        <v>1</v>
      </c>
    </row>
    <row r="104" spans="1:21" x14ac:dyDescent="0.2">
      <c r="A104" s="178" t="s">
        <v>77</v>
      </c>
      <c r="B104" s="168">
        <v>9</v>
      </c>
      <c r="C104" s="168">
        <v>8</v>
      </c>
      <c r="D104" s="168">
        <v>6</v>
      </c>
      <c r="E104" s="168">
        <v>1</v>
      </c>
      <c r="F104" s="168"/>
      <c r="G104" s="168">
        <v>24</v>
      </c>
      <c r="H104" s="168">
        <v>24</v>
      </c>
      <c r="I104"/>
      <c r="J104"/>
      <c r="K104"/>
      <c r="L104" s="164" t="s">
        <v>1018</v>
      </c>
      <c r="M104" s="166">
        <v>2</v>
      </c>
      <c r="N104" s="165">
        <v>5</v>
      </c>
      <c r="O104" s="165"/>
      <c r="P104" s="165"/>
      <c r="Q104" s="183">
        <f t="shared" si="0"/>
        <v>5</v>
      </c>
      <c r="R104" s="166"/>
      <c r="S104" s="165">
        <f>Q104+R104</f>
        <v>5</v>
      </c>
      <c r="T104" s="165">
        <f t="shared" ref="T104:T112" si="1">M104+S104</f>
        <v>7</v>
      </c>
      <c r="U104" s="195">
        <f t="shared" ref="U104:U112" si="2">M104/T104</f>
        <v>0.2857142857142857</v>
      </c>
    </row>
    <row r="105" spans="1:21" x14ac:dyDescent="0.2">
      <c r="A105" s="178" t="s">
        <v>290</v>
      </c>
      <c r="B105" s="168">
        <v>1</v>
      </c>
      <c r="C105" s="168"/>
      <c r="D105" s="168"/>
      <c r="E105" s="168"/>
      <c r="F105" s="168"/>
      <c r="G105" s="168">
        <v>1</v>
      </c>
      <c r="H105" s="168">
        <v>1</v>
      </c>
      <c r="I105"/>
      <c r="J105"/>
      <c r="K105"/>
      <c r="L105" s="164" t="s">
        <v>77</v>
      </c>
      <c r="M105" s="166">
        <v>5</v>
      </c>
      <c r="N105" s="165">
        <v>11</v>
      </c>
      <c r="O105" s="165">
        <v>4</v>
      </c>
      <c r="P105" s="165"/>
      <c r="Q105" s="183">
        <f t="shared" si="0"/>
        <v>15</v>
      </c>
      <c r="R105" s="166">
        <v>7</v>
      </c>
      <c r="S105" s="165">
        <f t="shared" ref="S105:S112" si="3">Q105+R105</f>
        <v>22</v>
      </c>
      <c r="T105" s="165">
        <f t="shared" si="1"/>
        <v>27</v>
      </c>
      <c r="U105" s="195">
        <f t="shared" si="2"/>
        <v>0.18518518518518517</v>
      </c>
    </row>
    <row r="106" spans="1:21" x14ac:dyDescent="0.2">
      <c r="A106" s="178" t="s">
        <v>521</v>
      </c>
      <c r="B106" s="168">
        <v>2</v>
      </c>
      <c r="C106" s="168">
        <v>1</v>
      </c>
      <c r="D106" s="168"/>
      <c r="E106" s="168"/>
      <c r="F106" s="168">
        <v>1</v>
      </c>
      <c r="G106" s="168">
        <v>4</v>
      </c>
      <c r="H106" s="168">
        <v>4</v>
      </c>
      <c r="I106"/>
      <c r="J106"/>
      <c r="K106"/>
      <c r="L106" s="164" t="s">
        <v>893</v>
      </c>
      <c r="M106" s="166"/>
      <c r="N106" s="165"/>
      <c r="O106" s="165"/>
      <c r="P106" s="165"/>
      <c r="Q106" s="183">
        <f t="shared" si="0"/>
        <v>0</v>
      </c>
      <c r="R106" s="166">
        <v>2</v>
      </c>
      <c r="S106" s="165">
        <f t="shared" si="3"/>
        <v>2</v>
      </c>
      <c r="T106" s="165">
        <f t="shared" si="1"/>
        <v>2</v>
      </c>
      <c r="U106" s="195">
        <f t="shared" si="2"/>
        <v>0</v>
      </c>
    </row>
    <row r="107" spans="1:21" x14ac:dyDescent="0.2">
      <c r="A107" s="178" t="s">
        <v>551</v>
      </c>
      <c r="B107" s="168">
        <v>4</v>
      </c>
      <c r="C107" s="168"/>
      <c r="D107" s="168">
        <v>4</v>
      </c>
      <c r="E107" s="168"/>
      <c r="F107" s="168">
        <v>1</v>
      </c>
      <c r="G107" s="168">
        <v>9</v>
      </c>
      <c r="H107" s="168">
        <v>9</v>
      </c>
      <c r="I107"/>
      <c r="J107"/>
      <c r="K107"/>
      <c r="L107" s="164" t="s">
        <v>678</v>
      </c>
      <c r="M107" s="166">
        <v>3</v>
      </c>
      <c r="N107" s="165">
        <v>2</v>
      </c>
      <c r="O107" s="165"/>
      <c r="P107" s="165"/>
      <c r="Q107" s="183">
        <f t="shared" si="0"/>
        <v>2</v>
      </c>
      <c r="R107" s="166"/>
      <c r="S107" s="165">
        <f t="shared" si="3"/>
        <v>2</v>
      </c>
      <c r="T107" s="165">
        <f t="shared" si="1"/>
        <v>5</v>
      </c>
      <c r="U107" s="195">
        <f t="shared" si="2"/>
        <v>0.6</v>
      </c>
    </row>
    <row r="108" spans="1:21" x14ac:dyDescent="0.2">
      <c r="A108" s="178" t="s">
        <v>684</v>
      </c>
      <c r="B108" s="168">
        <v>3</v>
      </c>
      <c r="C108" s="168"/>
      <c r="D108" s="168"/>
      <c r="E108" s="168"/>
      <c r="F108" s="168"/>
      <c r="G108" s="168">
        <v>3</v>
      </c>
      <c r="H108" s="168">
        <v>3</v>
      </c>
      <c r="I108"/>
      <c r="J108"/>
      <c r="K108"/>
      <c r="L108" s="164" t="s">
        <v>684</v>
      </c>
      <c r="M108" s="166">
        <v>5</v>
      </c>
      <c r="N108" s="165">
        <v>1</v>
      </c>
      <c r="O108" s="165"/>
      <c r="P108" s="165"/>
      <c r="Q108" s="183">
        <f t="shared" si="0"/>
        <v>1</v>
      </c>
      <c r="R108" s="166">
        <v>1</v>
      </c>
      <c r="S108" s="165">
        <f t="shared" si="3"/>
        <v>2</v>
      </c>
      <c r="T108" s="165">
        <f t="shared" si="1"/>
        <v>7</v>
      </c>
      <c r="U108" s="195">
        <f t="shared" si="2"/>
        <v>0.7142857142857143</v>
      </c>
    </row>
    <row r="109" spans="1:21" x14ac:dyDescent="0.2">
      <c r="A109" s="178" t="s">
        <v>749</v>
      </c>
      <c r="B109" s="168">
        <v>2</v>
      </c>
      <c r="C109" s="168"/>
      <c r="D109" s="168">
        <v>1</v>
      </c>
      <c r="E109" s="168"/>
      <c r="F109" s="168"/>
      <c r="G109" s="168">
        <v>3</v>
      </c>
      <c r="H109" s="168">
        <v>3</v>
      </c>
      <c r="I109"/>
      <c r="J109"/>
      <c r="K109"/>
      <c r="L109" s="164" t="s">
        <v>749</v>
      </c>
      <c r="M109" s="166">
        <v>1</v>
      </c>
      <c r="N109" s="165">
        <v>1</v>
      </c>
      <c r="O109" s="165">
        <v>1</v>
      </c>
      <c r="P109" s="165"/>
      <c r="Q109" s="183">
        <f t="shared" si="0"/>
        <v>2</v>
      </c>
      <c r="R109" s="166"/>
      <c r="S109" s="165">
        <f t="shared" si="3"/>
        <v>2</v>
      </c>
      <c r="T109" s="165">
        <f t="shared" si="1"/>
        <v>3</v>
      </c>
      <c r="U109" s="195">
        <f t="shared" si="2"/>
        <v>0.33333333333333331</v>
      </c>
    </row>
    <row r="110" spans="1:21" x14ac:dyDescent="0.2">
      <c r="A110" s="178" t="s">
        <v>804</v>
      </c>
      <c r="B110" s="168">
        <v>1</v>
      </c>
      <c r="C110" s="168"/>
      <c r="D110" s="168"/>
      <c r="E110" s="168"/>
      <c r="F110" s="168"/>
      <c r="G110" s="168">
        <v>1</v>
      </c>
      <c r="H110" s="168">
        <v>1</v>
      </c>
      <c r="I110"/>
      <c r="J110"/>
      <c r="K110"/>
      <c r="L110" s="164" t="s">
        <v>551</v>
      </c>
      <c r="M110" s="166">
        <v>4</v>
      </c>
      <c r="N110" s="165">
        <v>1</v>
      </c>
      <c r="O110" s="165"/>
      <c r="P110" s="165"/>
      <c r="Q110" s="183">
        <f t="shared" si="0"/>
        <v>1</v>
      </c>
      <c r="R110" s="166">
        <v>4</v>
      </c>
      <c r="S110" s="165">
        <f t="shared" si="3"/>
        <v>5</v>
      </c>
      <c r="T110" s="165">
        <f t="shared" si="1"/>
        <v>9</v>
      </c>
      <c r="U110" s="195">
        <f t="shared" si="2"/>
        <v>0.44444444444444442</v>
      </c>
    </row>
    <row r="111" spans="1:21" x14ac:dyDescent="0.2">
      <c r="A111" s="178" t="s">
        <v>678</v>
      </c>
      <c r="B111" s="168">
        <v>4</v>
      </c>
      <c r="C111" s="168"/>
      <c r="D111" s="168"/>
      <c r="E111" s="168"/>
      <c r="F111" s="168"/>
      <c r="G111" s="168">
        <v>4</v>
      </c>
      <c r="H111" s="168">
        <v>4</v>
      </c>
      <c r="I111"/>
      <c r="J111"/>
      <c r="K111"/>
      <c r="L111" s="164" t="s">
        <v>521</v>
      </c>
      <c r="M111" s="166">
        <v>2</v>
      </c>
      <c r="N111" s="165">
        <v>2</v>
      </c>
      <c r="O111" s="165"/>
      <c r="P111" s="165"/>
      <c r="Q111" s="183">
        <f t="shared" si="0"/>
        <v>2</v>
      </c>
      <c r="R111" s="166">
        <v>1</v>
      </c>
      <c r="S111" s="165">
        <f t="shared" si="3"/>
        <v>3</v>
      </c>
      <c r="T111" s="165">
        <f t="shared" si="1"/>
        <v>5</v>
      </c>
      <c r="U111" s="195">
        <f t="shared" si="2"/>
        <v>0.4</v>
      </c>
    </row>
    <row r="112" spans="1:21" x14ac:dyDescent="0.2">
      <c r="A112" s="178" t="s">
        <v>1018</v>
      </c>
      <c r="B112" s="168">
        <v>3</v>
      </c>
      <c r="C112" s="168">
        <v>4</v>
      </c>
      <c r="D112" s="168"/>
      <c r="E112" s="168"/>
      <c r="F112" s="168"/>
      <c r="G112" s="168">
        <v>7</v>
      </c>
      <c r="H112" s="168">
        <v>7</v>
      </c>
      <c r="I112"/>
      <c r="J112"/>
      <c r="K112"/>
      <c r="L112" s="164" t="s">
        <v>31</v>
      </c>
      <c r="M112" s="166"/>
      <c r="N112" s="165"/>
      <c r="O112" s="165"/>
      <c r="P112" s="165">
        <v>1</v>
      </c>
      <c r="Q112" s="183">
        <f t="shared" si="0"/>
        <v>1</v>
      </c>
      <c r="R112" s="166"/>
      <c r="S112" s="165">
        <f t="shared" si="3"/>
        <v>1</v>
      </c>
      <c r="T112" s="165">
        <f t="shared" si="1"/>
        <v>1</v>
      </c>
      <c r="U112" s="195">
        <f t="shared" si="2"/>
        <v>0</v>
      </c>
    </row>
    <row r="113" spans="1:26" x14ac:dyDescent="0.2">
      <c r="A113" s="178" t="s">
        <v>2020</v>
      </c>
      <c r="B113" s="168">
        <v>29</v>
      </c>
      <c r="C113" s="168">
        <v>14</v>
      </c>
      <c r="D113" s="168">
        <v>11</v>
      </c>
      <c r="E113" s="168">
        <v>1</v>
      </c>
      <c r="F113" s="168">
        <v>2</v>
      </c>
      <c r="G113" s="168">
        <v>57</v>
      </c>
      <c r="H113" s="168">
        <v>57</v>
      </c>
      <c r="I113"/>
      <c r="J113"/>
      <c r="K113"/>
      <c r="L113" s="170" t="s">
        <v>2020</v>
      </c>
      <c r="M113" s="171">
        <f t="shared" ref="M113:P113" si="4">SUM(M103:M112)</f>
        <v>23</v>
      </c>
      <c r="N113" s="171">
        <f t="shared" si="4"/>
        <v>23</v>
      </c>
      <c r="O113" s="171">
        <f t="shared" si="4"/>
        <v>5</v>
      </c>
      <c r="P113" s="171">
        <f t="shared" si="4"/>
        <v>1</v>
      </c>
      <c r="Q113" s="171">
        <f>SUM(Q103:Q112)</f>
        <v>29</v>
      </c>
      <c r="R113" s="171">
        <f>SUM(R103:R112)</f>
        <v>15</v>
      </c>
      <c r="S113" s="171">
        <f>SUM(S103:S112)</f>
        <v>44</v>
      </c>
      <c r="T113" s="171">
        <f>SUM(T103:T112)</f>
        <v>67</v>
      </c>
      <c r="U113" s="196">
        <f>M113/T113</f>
        <v>0.34328358208955223</v>
      </c>
      <c r="X113"/>
    </row>
    <row r="114" spans="1:26" x14ac:dyDescent="0.2">
      <c r="B114"/>
      <c r="C114"/>
      <c r="D114"/>
      <c r="E114"/>
      <c r="F114"/>
      <c r="G114"/>
      <c r="H114"/>
      <c r="I114"/>
      <c r="J114"/>
      <c r="K114"/>
      <c r="L114" s="189"/>
      <c r="M114" s="184"/>
      <c r="N114" s="184"/>
      <c r="O114" s="184"/>
      <c r="P114" s="184"/>
      <c r="Q114" s="184"/>
      <c r="R114" s="184"/>
      <c r="S114" s="184"/>
      <c r="X114"/>
    </row>
    <row r="115" spans="1:26" x14ac:dyDescent="0.2">
      <c r="A115" s="7"/>
      <c r="I115"/>
      <c r="J115"/>
      <c r="K115"/>
      <c r="L115" s="189"/>
      <c r="M115" s="184"/>
      <c r="N115" s="184"/>
      <c r="O115" s="184"/>
      <c r="P115" s="184"/>
      <c r="Q115" s="184"/>
      <c r="R115" s="184"/>
      <c r="S115" s="184"/>
      <c r="X115"/>
    </row>
    <row r="116" spans="1:26" x14ac:dyDescent="0.2">
      <c r="A116" s="7"/>
      <c r="I116"/>
      <c r="J116"/>
      <c r="K116"/>
      <c r="L116" s="189"/>
      <c r="M116" s="184"/>
      <c r="N116" s="184"/>
      <c r="O116" s="184"/>
      <c r="P116" s="184"/>
      <c r="Q116" s="184"/>
      <c r="R116" s="184"/>
      <c r="S116" s="184"/>
      <c r="X116"/>
    </row>
    <row r="117" spans="1:26" x14ac:dyDescent="0.2">
      <c r="B117"/>
      <c r="C117"/>
      <c r="D117"/>
      <c r="E117"/>
      <c r="F117"/>
      <c r="G117"/>
      <c r="H117"/>
      <c r="I117"/>
      <c r="J117"/>
      <c r="K117"/>
      <c r="L117"/>
      <c r="M117"/>
      <c r="N117"/>
      <c r="O117"/>
    </row>
    <row r="118" spans="1:26" x14ac:dyDescent="0.2">
      <c r="A118" s="109" t="s">
        <v>4</v>
      </c>
      <c r="B118" s="107" t="s">
        <v>34</v>
      </c>
      <c r="J118"/>
      <c r="K118"/>
      <c r="L118"/>
      <c r="M118"/>
      <c r="N118"/>
      <c r="O118"/>
    </row>
    <row r="119" spans="1:26" x14ac:dyDescent="0.2">
      <c r="A119" s="109" t="s">
        <v>9</v>
      </c>
      <c r="B119" t="s">
        <v>2030</v>
      </c>
      <c r="J119"/>
      <c r="K119"/>
      <c r="L119"/>
      <c r="M119"/>
      <c r="N119"/>
      <c r="O119"/>
    </row>
    <row r="121" spans="1:26" s="107" customFormat="1" ht="16" customHeight="1" x14ac:dyDescent="0.2">
      <c r="A121" s="6" t="s">
        <v>2017</v>
      </c>
      <c r="B121" s="109" t="s">
        <v>2018</v>
      </c>
      <c r="G121"/>
      <c r="H121"/>
      <c r="I121"/>
      <c r="J121"/>
      <c r="K121"/>
    </row>
    <row r="122" spans="1:26" ht="51" x14ac:dyDescent="0.2">
      <c r="A122" s="176" t="s">
        <v>2019</v>
      </c>
      <c r="B122" s="107" t="s">
        <v>61</v>
      </c>
      <c r="C122" s="107" t="s">
        <v>71</v>
      </c>
      <c r="D122" s="107" t="s">
        <v>100</v>
      </c>
      <c r="E122" s="107" t="s">
        <v>242</v>
      </c>
      <c r="F122" s="177" t="s">
        <v>2020</v>
      </c>
      <c r="G122"/>
      <c r="H122"/>
      <c r="I122"/>
      <c r="J122"/>
      <c r="K122"/>
      <c r="L122" s="345" t="s">
        <v>2019</v>
      </c>
      <c r="M122" s="346" t="s">
        <v>2031</v>
      </c>
      <c r="N122" s="182" t="s">
        <v>61</v>
      </c>
      <c r="O122" s="182" t="s">
        <v>71</v>
      </c>
      <c r="P122" s="182" t="s">
        <v>100</v>
      </c>
      <c r="Q122" s="182" t="s">
        <v>242</v>
      </c>
      <c r="R122" s="230" t="s">
        <v>2032</v>
      </c>
      <c r="S122" s="230" t="s">
        <v>2033</v>
      </c>
      <c r="T122" s="230" t="s">
        <v>2029</v>
      </c>
      <c r="Y122" s="107"/>
      <c r="Z122" s="107"/>
    </row>
    <row r="123" spans="1:26" x14ac:dyDescent="0.2">
      <c r="A123" s="178" t="s">
        <v>31</v>
      </c>
      <c r="B123" s="168">
        <v>1</v>
      </c>
      <c r="C123" s="168">
        <v>1</v>
      </c>
      <c r="D123" s="168"/>
      <c r="E123" s="168"/>
      <c r="F123" s="168">
        <v>2</v>
      </c>
      <c r="G123"/>
      <c r="H123"/>
      <c r="I123"/>
      <c r="J123"/>
      <c r="K123"/>
      <c r="L123" s="164" t="s">
        <v>31</v>
      </c>
      <c r="M123" s="166"/>
      <c r="N123" s="165">
        <v>1</v>
      </c>
      <c r="O123" s="165">
        <v>1</v>
      </c>
      <c r="P123" s="165"/>
      <c r="Q123" s="165"/>
      <c r="R123" s="165">
        <f>SUM(N123:Q123)</f>
        <v>2</v>
      </c>
      <c r="S123" s="165">
        <f t="shared" ref="S123:S131" si="5">SUM(M123:Q123)</f>
        <v>2</v>
      </c>
      <c r="T123" s="195">
        <f>M123/S123</f>
        <v>0</v>
      </c>
      <c r="Y123" s="107"/>
      <c r="Z123" s="107"/>
    </row>
    <row r="124" spans="1:26" x14ac:dyDescent="0.2">
      <c r="A124" s="178" t="s">
        <v>77</v>
      </c>
      <c r="B124" s="168">
        <v>15</v>
      </c>
      <c r="C124" s="168">
        <v>10</v>
      </c>
      <c r="D124" s="168">
        <v>9</v>
      </c>
      <c r="E124" s="168">
        <v>2</v>
      </c>
      <c r="F124" s="168">
        <v>36</v>
      </c>
      <c r="G124"/>
      <c r="H124"/>
      <c r="I124"/>
      <c r="J124"/>
      <c r="K124"/>
      <c r="L124" s="164" t="s">
        <v>77</v>
      </c>
      <c r="M124" s="166">
        <v>11</v>
      </c>
      <c r="N124" s="165">
        <v>17</v>
      </c>
      <c r="O124" s="165">
        <v>7</v>
      </c>
      <c r="P124" s="165">
        <v>8</v>
      </c>
      <c r="Q124" s="165">
        <v>3</v>
      </c>
      <c r="R124" s="165">
        <f>SUM(N124:Q124)</f>
        <v>35</v>
      </c>
      <c r="S124" s="165">
        <f t="shared" si="5"/>
        <v>46</v>
      </c>
      <c r="T124" s="195">
        <f t="shared" ref="T124:T131" si="6">M124/S124</f>
        <v>0.2391304347826087</v>
      </c>
      <c r="Y124" s="107"/>
      <c r="Z124" s="107"/>
    </row>
    <row r="125" spans="1:26" x14ac:dyDescent="0.2">
      <c r="A125" s="178" t="s">
        <v>521</v>
      </c>
      <c r="B125" s="168">
        <v>2</v>
      </c>
      <c r="C125" s="168">
        <v>1</v>
      </c>
      <c r="D125" s="168">
        <v>3</v>
      </c>
      <c r="E125" s="168"/>
      <c r="F125" s="168">
        <v>6</v>
      </c>
      <c r="G125"/>
      <c r="H125"/>
      <c r="I125"/>
      <c r="J125"/>
      <c r="K125"/>
      <c r="L125" s="164" t="s">
        <v>521</v>
      </c>
      <c r="M125" s="166">
        <v>2</v>
      </c>
      <c r="N125" s="165">
        <v>2</v>
      </c>
      <c r="O125" s="165">
        <v>1</v>
      </c>
      <c r="P125" s="165">
        <v>3</v>
      </c>
      <c r="Q125" s="165"/>
      <c r="R125" s="165">
        <v>6</v>
      </c>
      <c r="S125" s="165">
        <f t="shared" si="5"/>
        <v>8</v>
      </c>
      <c r="T125" s="195">
        <f t="shared" si="6"/>
        <v>0.25</v>
      </c>
      <c r="Y125" s="107"/>
      <c r="Z125" s="107"/>
    </row>
    <row r="126" spans="1:26" x14ac:dyDescent="0.2">
      <c r="A126" s="178" t="s">
        <v>551</v>
      </c>
      <c r="B126" s="168">
        <v>5</v>
      </c>
      <c r="C126" s="168">
        <v>2</v>
      </c>
      <c r="D126" s="168">
        <v>1</v>
      </c>
      <c r="E126" s="168">
        <v>1</v>
      </c>
      <c r="F126" s="168">
        <v>9</v>
      </c>
      <c r="G126"/>
      <c r="H126"/>
      <c r="I126"/>
      <c r="J126"/>
      <c r="K126"/>
      <c r="L126" s="164" t="s">
        <v>551</v>
      </c>
      <c r="M126" s="166">
        <v>4</v>
      </c>
      <c r="N126" s="165">
        <v>5</v>
      </c>
      <c r="O126" s="165">
        <v>2</v>
      </c>
      <c r="P126" s="165">
        <v>1</v>
      </c>
      <c r="Q126" s="165">
        <v>1</v>
      </c>
      <c r="R126" s="165">
        <f t="shared" ref="R126:R131" si="7">SUM(N126:Q126)</f>
        <v>9</v>
      </c>
      <c r="S126" s="165">
        <f t="shared" si="5"/>
        <v>13</v>
      </c>
      <c r="T126" s="195">
        <f t="shared" si="6"/>
        <v>0.30769230769230771</v>
      </c>
      <c r="Y126" s="107"/>
      <c r="Z126" s="107"/>
    </row>
    <row r="127" spans="1:26" x14ac:dyDescent="0.2">
      <c r="A127" s="178" t="s">
        <v>684</v>
      </c>
      <c r="B127" s="168"/>
      <c r="C127" s="168">
        <v>9</v>
      </c>
      <c r="D127" s="168">
        <v>1</v>
      </c>
      <c r="E127" s="168"/>
      <c r="F127" s="168">
        <v>10</v>
      </c>
      <c r="G127"/>
      <c r="H127"/>
      <c r="I127"/>
      <c r="J127"/>
      <c r="K127"/>
      <c r="L127" s="164" t="s">
        <v>684</v>
      </c>
      <c r="M127" s="166">
        <v>4</v>
      </c>
      <c r="N127" s="165">
        <v>3</v>
      </c>
      <c r="O127" s="165">
        <v>4</v>
      </c>
      <c r="P127" s="165">
        <v>3</v>
      </c>
      <c r="Q127" s="165">
        <v>1</v>
      </c>
      <c r="R127" s="165">
        <f t="shared" si="7"/>
        <v>11</v>
      </c>
      <c r="S127" s="165">
        <f t="shared" si="5"/>
        <v>15</v>
      </c>
      <c r="T127" s="195">
        <f t="shared" si="6"/>
        <v>0.26666666666666666</v>
      </c>
      <c r="Y127" s="107"/>
      <c r="Z127" s="107"/>
    </row>
    <row r="128" spans="1:26" x14ac:dyDescent="0.2">
      <c r="A128" s="178" t="s">
        <v>749</v>
      </c>
      <c r="B128" s="168">
        <v>1</v>
      </c>
      <c r="C128" s="168"/>
      <c r="D128" s="168"/>
      <c r="E128" s="168"/>
      <c r="F128" s="168">
        <v>1</v>
      </c>
      <c r="G128"/>
      <c r="H128"/>
      <c r="I128"/>
      <c r="J128"/>
      <c r="K128"/>
      <c r="L128" s="164" t="s">
        <v>749</v>
      </c>
      <c r="M128" s="166">
        <v>2</v>
      </c>
      <c r="N128" s="165">
        <v>1</v>
      </c>
      <c r="O128" s="165"/>
      <c r="P128" s="165"/>
      <c r="Q128" s="165"/>
      <c r="R128" s="165">
        <f t="shared" si="7"/>
        <v>1</v>
      </c>
      <c r="S128" s="165">
        <f t="shared" si="5"/>
        <v>3</v>
      </c>
      <c r="T128" s="195">
        <f t="shared" si="6"/>
        <v>0.66666666666666663</v>
      </c>
      <c r="Y128" s="107"/>
      <c r="Z128" s="107"/>
    </row>
    <row r="129" spans="1:26" x14ac:dyDescent="0.2">
      <c r="A129" s="178" t="s">
        <v>804</v>
      </c>
      <c r="B129" s="168"/>
      <c r="C129" s="168">
        <v>3</v>
      </c>
      <c r="D129" s="168">
        <v>1</v>
      </c>
      <c r="E129" s="168"/>
      <c r="F129" s="168">
        <v>4</v>
      </c>
      <c r="G129"/>
      <c r="H129"/>
      <c r="I129"/>
      <c r="J129"/>
      <c r="K129"/>
      <c r="L129" s="164" t="s">
        <v>804</v>
      </c>
      <c r="M129" s="166">
        <v>1</v>
      </c>
      <c r="N129" s="165"/>
      <c r="O129" s="165">
        <v>2</v>
      </c>
      <c r="P129" s="165">
        <v>1</v>
      </c>
      <c r="Q129" s="165"/>
      <c r="R129" s="165">
        <f t="shared" si="7"/>
        <v>3</v>
      </c>
      <c r="S129" s="165">
        <f t="shared" si="5"/>
        <v>4</v>
      </c>
      <c r="T129" s="195">
        <f t="shared" si="6"/>
        <v>0.25</v>
      </c>
      <c r="Y129" s="107"/>
      <c r="Z129" s="107"/>
    </row>
    <row r="130" spans="1:26" x14ac:dyDescent="0.2">
      <c r="A130" s="178" t="s">
        <v>893</v>
      </c>
      <c r="B130" s="168"/>
      <c r="C130" s="168">
        <v>2</v>
      </c>
      <c r="D130" s="168"/>
      <c r="E130" s="168"/>
      <c r="F130" s="168">
        <v>2</v>
      </c>
      <c r="G130"/>
      <c r="H130"/>
      <c r="I130"/>
      <c r="J130"/>
      <c r="K130"/>
      <c r="L130" s="164" t="s">
        <v>2034</v>
      </c>
      <c r="M130" s="166">
        <v>4</v>
      </c>
      <c r="N130" s="165">
        <v>3</v>
      </c>
      <c r="O130" s="165"/>
      <c r="P130" s="165">
        <v>1</v>
      </c>
      <c r="Q130" s="165">
        <v>1</v>
      </c>
      <c r="R130" s="165">
        <f t="shared" si="7"/>
        <v>5</v>
      </c>
      <c r="S130" s="165">
        <f t="shared" si="5"/>
        <v>9</v>
      </c>
      <c r="T130" s="195">
        <f t="shared" si="6"/>
        <v>0.44444444444444442</v>
      </c>
      <c r="Y130" s="107"/>
      <c r="Z130" s="107"/>
    </row>
    <row r="131" spans="1:26" x14ac:dyDescent="0.2">
      <c r="A131" s="178" t="s">
        <v>678</v>
      </c>
      <c r="B131" s="168"/>
      <c r="C131" s="168">
        <v>1</v>
      </c>
      <c r="D131" s="168">
        <v>1</v>
      </c>
      <c r="E131" s="168"/>
      <c r="F131" s="168">
        <v>2</v>
      </c>
      <c r="G131"/>
      <c r="H131"/>
      <c r="I131"/>
      <c r="J131"/>
      <c r="K131"/>
      <c r="L131" s="164" t="s">
        <v>1018</v>
      </c>
      <c r="M131" s="166">
        <v>3</v>
      </c>
      <c r="N131" s="165">
        <v>4</v>
      </c>
      <c r="O131" s="165">
        <v>3</v>
      </c>
      <c r="P131" s="165">
        <v>5</v>
      </c>
      <c r="Q131" s="165">
        <v>2</v>
      </c>
      <c r="R131" s="165">
        <f t="shared" si="7"/>
        <v>14</v>
      </c>
      <c r="S131" s="165">
        <f t="shared" si="5"/>
        <v>17</v>
      </c>
      <c r="T131" s="195">
        <f t="shared" si="6"/>
        <v>0.17647058823529413</v>
      </c>
      <c r="Y131" s="107"/>
      <c r="Z131" s="107"/>
    </row>
    <row r="132" spans="1:26" x14ac:dyDescent="0.2">
      <c r="A132" s="178" t="s">
        <v>1018</v>
      </c>
      <c r="B132" s="168">
        <v>4</v>
      </c>
      <c r="C132" s="168">
        <v>3</v>
      </c>
      <c r="D132" s="168">
        <v>5</v>
      </c>
      <c r="E132" s="168">
        <v>2</v>
      </c>
      <c r="F132" s="168">
        <v>14</v>
      </c>
      <c r="G132"/>
      <c r="H132"/>
      <c r="I132"/>
      <c r="J132"/>
      <c r="K132"/>
      <c r="L132" s="170" t="s">
        <v>2020</v>
      </c>
      <c r="M132" s="171">
        <f t="shared" ref="M132:S132" si="8">SUM(M123:M131)</f>
        <v>31</v>
      </c>
      <c r="N132" s="171">
        <f t="shared" si="8"/>
        <v>36</v>
      </c>
      <c r="O132" s="171">
        <f t="shared" si="8"/>
        <v>20</v>
      </c>
      <c r="P132" s="171">
        <f t="shared" si="8"/>
        <v>22</v>
      </c>
      <c r="Q132" s="171">
        <f t="shared" si="8"/>
        <v>8</v>
      </c>
      <c r="R132" s="171">
        <f t="shared" si="8"/>
        <v>86</v>
      </c>
      <c r="S132" s="171">
        <f t="shared" si="8"/>
        <v>117</v>
      </c>
      <c r="T132" s="196">
        <f>M132/S132</f>
        <v>0.26495726495726496</v>
      </c>
      <c r="Y132" s="107"/>
      <c r="Z132" s="107"/>
    </row>
    <row r="133" spans="1:26" x14ac:dyDescent="0.2">
      <c r="A133" s="178" t="s">
        <v>2020</v>
      </c>
      <c r="B133" s="168">
        <v>28</v>
      </c>
      <c r="C133" s="168">
        <v>32</v>
      </c>
      <c r="D133" s="168">
        <v>21</v>
      </c>
      <c r="E133" s="168">
        <v>5</v>
      </c>
      <c r="F133" s="168">
        <v>86</v>
      </c>
      <c r="G133"/>
      <c r="H133"/>
      <c r="I133"/>
      <c r="J133"/>
      <c r="K133"/>
      <c r="L133" s="170" t="s">
        <v>2035</v>
      </c>
      <c r="M133" s="196">
        <f>M132/S132</f>
        <v>0.26495726495726496</v>
      </c>
      <c r="N133" s="196">
        <f>N132/S132</f>
        <v>0.30769230769230771</v>
      </c>
      <c r="O133" s="196">
        <f>O132/S132</f>
        <v>0.17094017094017094</v>
      </c>
      <c r="P133" s="196">
        <f>P132/S132</f>
        <v>0.18803418803418803</v>
      </c>
      <c r="Q133" s="196">
        <f>Q132/S132</f>
        <v>6.8376068376068383E-2</v>
      </c>
      <c r="R133" s="196">
        <f>R132/S132</f>
        <v>0.7350427350427351</v>
      </c>
      <c r="S133" s="191"/>
      <c r="T133" s="196"/>
      <c r="Y133" s="107"/>
      <c r="Z133" s="107"/>
    </row>
    <row r="134" spans="1:26" x14ac:dyDescent="0.2">
      <c r="B134"/>
      <c r="C134"/>
      <c r="D134"/>
      <c r="E134"/>
      <c r="F134"/>
      <c r="G134"/>
      <c r="H134"/>
      <c r="I134"/>
      <c r="J134"/>
      <c r="K134"/>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D913-6008-134F-B0B3-BFA814B389C9}">
  <dimension ref="A2:AA44"/>
  <sheetViews>
    <sheetView topLeftCell="A10" workbookViewId="0">
      <selection activeCell="G36" sqref="G36"/>
    </sheetView>
  </sheetViews>
  <sheetFormatPr baseColWidth="10" defaultColWidth="11" defaultRowHeight="16" x14ac:dyDescent="0.2"/>
  <cols>
    <col min="1" max="1" width="18.33203125" bestFit="1" customWidth="1"/>
    <col min="2" max="2" width="18.5" bestFit="1" customWidth="1"/>
    <col min="3" max="3" width="7.83203125" bestFit="1" customWidth="1"/>
    <col min="4" max="4" width="4.83203125" bestFit="1" customWidth="1"/>
    <col min="5" max="5" width="4.33203125" bestFit="1" customWidth="1"/>
    <col min="6" max="6" width="5" bestFit="1" customWidth="1"/>
    <col min="7" max="7" width="5.6640625" bestFit="1" customWidth="1"/>
    <col min="8" max="8" width="4.83203125" bestFit="1" customWidth="1"/>
    <col min="9" max="9" width="7" bestFit="1" customWidth="1"/>
    <col min="10" max="10" width="18.6640625" bestFit="1" customWidth="1"/>
    <col min="11" max="11" width="21.1640625" bestFit="1" customWidth="1"/>
    <col min="12" max="12" width="8.6640625" bestFit="1" customWidth="1"/>
    <col min="13" max="13" width="6.1640625" bestFit="1" customWidth="1"/>
    <col min="14" max="14" width="9.6640625" customWidth="1"/>
    <col min="15" max="15" width="18" customWidth="1"/>
    <col min="16" max="26" width="8" customWidth="1"/>
  </cols>
  <sheetData>
    <row r="2" spans="1:27" ht="24" x14ac:dyDescent="0.3">
      <c r="A2" s="297" t="s">
        <v>2036</v>
      </c>
    </row>
    <row r="4" spans="1:27" x14ac:dyDescent="0.2">
      <c r="B4" s="107"/>
      <c r="C4" s="107"/>
      <c r="D4" s="107"/>
      <c r="E4" s="107"/>
      <c r="F4" s="107"/>
      <c r="G4" s="107"/>
      <c r="H4" s="107"/>
      <c r="I4" s="107"/>
      <c r="J4" s="107"/>
      <c r="K4" s="107"/>
      <c r="L4" s="107"/>
      <c r="M4" s="107"/>
      <c r="N4" s="107"/>
      <c r="O4" s="107"/>
      <c r="P4" s="107"/>
      <c r="Q4" s="107"/>
      <c r="R4" s="107"/>
      <c r="S4" s="107"/>
      <c r="T4" s="107"/>
      <c r="U4" s="107"/>
      <c r="V4" s="107"/>
      <c r="W4" s="107"/>
      <c r="X4" s="107"/>
    </row>
    <row r="5" spans="1:27" x14ac:dyDescent="0.2">
      <c r="A5" s="109" t="s">
        <v>4</v>
      </c>
      <c r="B5" s="107" t="s">
        <v>34</v>
      </c>
      <c r="C5" s="107"/>
      <c r="D5" s="107"/>
      <c r="E5" s="107"/>
      <c r="F5" s="107"/>
      <c r="G5" s="107"/>
      <c r="H5" s="107"/>
      <c r="I5" s="107"/>
      <c r="J5" s="107"/>
      <c r="K5" s="107"/>
      <c r="L5" s="107"/>
      <c r="M5" s="107"/>
      <c r="N5" s="107"/>
      <c r="O5" s="107"/>
      <c r="P5" s="107"/>
      <c r="Q5" s="107"/>
      <c r="R5" s="107"/>
      <c r="S5" s="107"/>
      <c r="T5" s="107"/>
      <c r="U5" s="107"/>
      <c r="V5" s="107"/>
      <c r="W5" s="107"/>
      <c r="X5" s="107"/>
    </row>
    <row r="6" spans="1:27" x14ac:dyDescent="0.2">
      <c r="A6" s="6" t="s">
        <v>9</v>
      </c>
      <c r="B6" t="s">
        <v>2021</v>
      </c>
      <c r="C6" s="107"/>
      <c r="D6" s="107"/>
      <c r="E6" s="107"/>
      <c r="F6" s="107"/>
      <c r="G6" s="107"/>
      <c r="H6" s="107"/>
      <c r="I6" s="107"/>
      <c r="J6" s="107"/>
      <c r="K6" s="107"/>
      <c r="L6" s="107"/>
      <c r="M6" s="107"/>
      <c r="N6" s="107"/>
      <c r="O6" s="107"/>
      <c r="P6" s="107"/>
      <c r="Q6" s="107"/>
      <c r="R6" s="107"/>
      <c r="S6" s="107"/>
      <c r="T6" s="107"/>
      <c r="U6" s="107"/>
      <c r="V6" s="107"/>
      <c r="W6" s="107"/>
      <c r="X6" s="107"/>
    </row>
    <row r="7" spans="1:27" x14ac:dyDescent="0.2">
      <c r="B7" s="107"/>
      <c r="C7" s="107"/>
      <c r="D7" s="107"/>
      <c r="E7" s="107"/>
      <c r="F7" s="107"/>
      <c r="G7" s="107"/>
      <c r="H7" s="107"/>
      <c r="I7" s="107"/>
      <c r="J7" s="107"/>
      <c r="K7" s="107"/>
      <c r="L7" s="107"/>
      <c r="M7" s="107"/>
      <c r="N7" s="107"/>
      <c r="O7" s="107"/>
      <c r="P7" s="107"/>
      <c r="Q7" s="107"/>
      <c r="R7" s="107"/>
      <c r="S7" s="107"/>
      <c r="T7" s="107"/>
      <c r="U7" s="107"/>
      <c r="V7" s="107"/>
      <c r="W7" s="107"/>
      <c r="X7" s="107"/>
    </row>
    <row r="8" spans="1:27" x14ac:dyDescent="0.2">
      <c r="A8" s="6" t="s">
        <v>2017</v>
      </c>
      <c r="B8" s="181" t="s">
        <v>2018</v>
      </c>
      <c r="C8" s="107"/>
      <c r="D8" s="107"/>
      <c r="E8" s="107"/>
      <c r="F8" s="107"/>
      <c r="G8" s="107"/>
      <c r="H8" s="107"/>
      <c r="I8" s="107"/>
      <c r="J8" s="107"/>
      <c r="K8" s="107"/>
      <c r="L8" s="107"/>
      <c r="M8" s="107"/>
    </row>
    <row r="9" spans="1:27" ht="34" x14ac:dyDescent="0.2">
      <c r="A9" s="180" t="s">
        <v>5</v>
      </c>
      <c r="B9" s="107" t="s">
        <v>2037</v>
      </c>
      <c r="C9" s="107" t="s">
        <v>2038</v>
      </c>
      <c r="D9" s="107" t="s">
        <v>2039</v>
      </c>
      <c r="E9" s="107" t="s">
        <v>2040</v>
      </c>
      <c r="F9" s="107" t="s">
        <v>2041</v>
      </c>
      <c r="G9" s="107" t="s">
        <v>521</v>
      </c>
      <c r="H9" s="107" t="s">
        <v>749</v>
      </c>
      <c r="I9" s="107" t="s">
        <v>804</v>
      </c>
      <c r="J9" s="107" t="s">
        <v>893</v>
      </c>
      <c r="K9" s="107" t="s">
        <v>678</v>
      </c>
      <c r="L9" s="107" t="s">
        <v>1018</v>
      </c>
      <c r="M9" s="177" t="s">
        <v>2020</v>
      </c>
      <c r="O9" s="179" t="s">
        <v>5</v>
      </c>
      <c r="P9" s="174" t="s">
        <v>2041</v>
      </c>
      <c r="Q9" s="174" t="s">
        <v>2037</v>
      </c>
      <c r="R9" s="174" t="s">
        <v>2039</v>
      </c>
      <c r="S9" s="174" t="s">
        <v>521</v>
      </c>
      <c r="T9" s="174" t="s">
        <v>2038</v>
      </c>
      <c r="U9" s="174" t="s">
        <v>749</v>
      </c>
      <c r="V9" s="174" t="s">
        <v>2040</v>
      </c>
      <c r="W9" s="174" t="s">
        <v>804</v>
      </c>
      <c r="X9" s="174" t="s">
        <v>2042</v>
      </c>
      <c r="Y9" s="174" t="s">
        <v>1018</v>
      </c>
      <c r="Z9" s="174" t="s">
        <v>1768</v>
      </c>
      <c r="AA9" s="174" t="s">
        <v>2043</v>
      </c>
    </row>
    <row r="10" spans="1:27" x14ac:dyDescent="0.2">
      <c r="A10" s="7" t="s">
        <v>35</v>
      </c>
      <c r="B10" s="168">
        <v>1</v>
      </c>
      <c r="C10" s="168">
        <v>1</v>
      </c>
      <c r="D10" s="168">
        <v>1</v>
      </c>
      <c r="E10" s="168">
        <v>1</v>
      </c>
      <c r="F10" s="168">
        <v>1</v>
      </c>
      <c r="G10" s="168">
        <v>1</v>
      </c>
      <c r="H10" s="168">
        <v>1</v>
      </c>
      <c r="I10" s="168">
        <v>1</v>
      </c>
      <c r="J10" s="168"/>
      <c r="K10" s="168"/>
      <c r="L10" s="168">
        <v>1</v>
      </c>
      <c r="M10" s="168">
        <v>9</v>
      </c>
      <c r="O10" s="368" t="s">
        <v>35</v>
      </c>
      <c r="P10" s="371">
        <v>1</v>
      </c>
      <c r="Q10" s="371">
        <v>1</v>
      </c>
      <c r="R10" s="371">
        <v>1</v>
      </c>
      <c r="S10" s="371">
        <v>1</v>
      </c>
      <c r="T10" s="371">
        <v>1</v>
      </c>
      <c r="U10" s="371">
        <v>1</v>
      </c>
      <c r="V10" s="371">
        <v>1</v>
      </c>
      <c r="W10" s="371">
        <v>1</v>
      </c>
      <c r="X10" s="371"/>
      <c r="Y10" s="371">
        <v>1</v>
      </c>
      <c r="Z10" s="371">
        <f>SUM(P10:Y10)</f>
        <v>9</v>
      </c>
      <c r="AA10" s="372">
        <f>Z10/Z19</f>
        <v>3.5294117647058823E-2</v>
      </c>
    </row>
    <row r="11" spans="1:27" x14ac:dyDescent="0.2">
      <c r="A11" s="7" t="s">
        <v>105</v>
      </c>
      <c r="B11" s="168">
        <v>4</v>
      </c>
      <c r="C11" s="168"/>
      <c r="D11" s="168">
        <v>4</v>
      </c>
      <c r="E11" s="168">
        <v>11</v>
      </c>
      <c r="F11" s="168">
        <v>3</v>
      </c>
      <c r="G11" s="168">
        <v>3</v>
      </c>
      <c r="H11" s="168">
        <v>1</v>
      </c>
      <c r="I11" s="168">
        <v>1</v>
      </c>
      <c r="J11" s="168">
        <v>1</v>
      </c>
      <c r="K11" s="168">
        <v>2</v>
      </c>
      <c r="L11" s="168">
        <v>4</v>
      </c>
      <c r="M11" s="168">
        <v>34</v>
      </c>
      <c r="O11" s="368" t="s">
        <v>105</v>
      </c>
      <c r="P11" s="369">
        <v>3</v>
      </c>
      <c r="Q11" s="369">
        <v>4</v>
      </c>
      <c r="R11" s="369">
        <v>4</v>
      </c>
      <c r="S11" s="369">
        <v>3</v>
      </c>
      <c r="T11" s="369"/>
      <c r="U11" s="369">
        <v>1</v>
      </c>
      <c r="V11" s="369">
        <v>11</v>
      </c>
      <c r="W11" s="369">
        <v>1</v>
      </c>
      <c r="X11" s="369">
        <v>3</v>
      </c>
      <c r="Y11" s="369">
        <v>4</v>
      </c>
      <c r="Z11" s="369">
        <f t="shared" ref="Z11:Z18" si="0">SUM(P11:Y11)</f>
        <v>34</v>
      </c>
      <c r="AA11" s="372">
        <f>Z11/Z19</f>
        <v>0.13333333333333333</v>
      </c>
    </row>
    <row r="12" spans="1:27" x14ac:dyDescent="0.2">
      <c r="A12" s="7" t="s">
        <v>48</v>
      </c>
      <c r="B12" s="168">
        <v>1</v>
      </c>
      <c r="C12" s="168">
        <v>2</v>
      </c>
      <c r="D12" s="168">
        <v>4</v>
      </c>
      <c r="E12" s="168">
        <v>12</v>
      </c>
      <c r="F12" s="168"/>
      <c r="G12" s="168"/>
      <c r="H12" s="168">
        <v>3</v>
      </c>
      <c r="I12" s="168"/>
      <c r="J12" s="168"/>
      <c r="K12" s="168"/>
      <c r="L12" s="168"/>
      <c r="M12" s="168">
        <v>22</v>
      </c>
      <c r="N12" s="107"/>
      <c r="O12" s="368" t="s">
        <v>48</v>
      </c>
      <c r="P12" s="369"/>
      <c r="Q12" s="369">
        <v>1</v>
      </c>
      <c r="R12" s="369">
        <v>4</v>
      </c>
      <c r="S12" s="369"/>
      <c r="T12" s="369">
        <v>2</v>
      </c>
      <c r="U12" s="369">
        <v>3</v>
      </c>
      <c r="V12" s="369">
        <v>12</v>
      </c>
      <c r="W12" s="369"/>
      <c r="X12" s="369"/>
      <c r="Y12" s="369"/>
      <c r="Z12" s="369">
        <f t="shared" si="0"/>
        <v>22</v>
      </c>
      <c r="AA12" s="372">
        <f>Z12/Z19</f>
        <v>8.6274509803921567E-2</v>
      </c>
    </row>
    <row r="13" spans="1:27" x14ac:dyDescent="0.2">
      <c r="A13" s="7" t="s">
        <v>58</v>
      </c>
      <c r="B13" s="168">
        <v>4</v>
      </c>
      <c r="C13" s="168">
        <v>1</v>
      </c>
      <c r="D13" s="168">
        <v>5</v>
      </c>
      <c r="E13" s="168">
        <v>16</v>
      </c>
      <c r="F13" s="168">
        <v>1</v>
      </c>
      <c r="G13" s="168">
        <v>3</v>
      </c>
      <c r="H13" s="168">
        <v>2</v>
      </c>
      <c r="I13" s="168">
        <v>5</v>
      </c>
      <c r="J13" s="168"/>
      <c r="K13" s="168"/>
      <c r="L13" s="168">
        <v>9</v>
      </c>
      <c r="M13" s="168">
        <v>46</v>
      </c>
      <c r="N13" s="107"/>
      <c r="O13" s="368" t="s">
        <v>58</v>
      </c>
      <c r="P13" s="369">
        <v>1</v>
      </c>
      <c r="Q13" s="369">
        <v>4</v>
      </c>
      <c r="R13" s="369">
        <v>5</v>
      </c>
      <c r="S13" s="369">
        <v>3</v>
      </c>
      <c r="T13" s="369">
        <v>1</v>
      </c>
      <c r="U13" s="369">
        <v>2</v>
      </c>
      <c r="V13" s="369">
        <v>15</v>
      </c>
      <c r="W13" s="369">
        <v>5</v>
      </c>
      <c r="X13" s="369"/>
      <c r="Y13" s="369">
        <v>9</v>
      </c>
      <c r="Z13" s="369">
        <f t="shared" si="0"/>
        <v>45</v>
      </c>
      <c r="AA13" s="372">
        <f>Z13/Z19</f>
        <v>0.17647058823529413</v>
      </c>
    </row>
    <row r="14" spans="1:27" x14ac:dyDescent="0.2">
      <c r="A14" s="7" t="s">
        <v>98</v>
      </c>
      <c r="B14" s="168">
        <v>5</v>
      </c>
      <c r="C14" s="168"/>
      <c r="D14" s="168">
        <v>3</v>
      </c>
      <c r="E14" s="168">
        <v>14</v>
      </c>
      <c r="F14" s="168">
        <v>2</v>
      </c>
      <c r="G14" s="168">
        <v>3</v>
      </c>
      <c r="H14" s="168">
        <v>1</v>
      </c>
      <c r="I14" s="168">
        <v>5</v>
      </c>
      <c r="J14" s="168">
        <v>2</v>
      </c>
      <c r="K14" s="168"/>
      <c r="L14" s="168">
        <v>7</v>
      </c>
      <c r="M14" s="168">
        <v>42</v>
      </c>
      <c r="N14" s="107"/>
      <c r="O14" s="368" t="s">
        <v>98</v>
      </c>
      <c r="P14" s="369">
        <v>2</v>
      </c>
      <c r="Q14" s="369">
        <v>5</v>
      </c>
      <c r="R14" s="369">
        <v>3</v>
      </c>
      <c r="S14" s="369">
        <v>3</v>
      </c>
      <c r="T14" s="369"/>
      <c r="U14" s="369">
        <v>1</v>
      </c>
      <c r="V14" s="369">
        <v>15</v>
      </c>
      <c r="W14" s="369">
        <v>5</v>
      </c>
      <c r="X14" s="369">
        <v>3</v>
      </c>
      <c r="Y14" s="369">
        <v>7</v>
      </c>
      <c r="Z14" s="369">
        <f t="shared" si="0"/>
        <v>44</v>
      </c>
      <c r="AA14" s="372">
        <f>Z14/Z19</f>
        <v>0.17254901960784313</v>
      </c>
    </row>
    <row r="15" spans="1:27" x14ac:dyDescent="0.2">
      <c r="A15" s="7" t="s">
        <v>138</v>
      </c>
      <c r="B15" s="168">
        <v>1</v>
      </c>
      <c r="C15" s="168"/>
      <c r="D15" s="168">
        <v>1</v>
      </c>
      <c r="E15" s="168">
        <v>15</v>
      </c>
      <c r="F15" s="168"/>
      <c r="G15" s="168"/>
      <c r="H15" s="168"/>
      <c r="I15" s="168">
        <v>1</v>
      </c>
      <c r="J15" s="168">
        <v>2</v>
      </c>
      <c r="K15" s="168">
        <v>4</v>
      </c>
      <c r="L15" s="168">
        <v>5</v>
      </c>
      <c r="M15" s="168">
        <v>29</v>
      </c>
      <c r="N15" s="107"/>
      <c r="O15" s="368" t="s">
        <v>138</v>
      </c>
      <c r="P15" s="369"/>
      <c r="Q15" s="369">
        <v>1</v>
      </c>
      <c r="R15" s="369">
        <v>1</v>
      </c>
      <c r="S15" s="369"/>
      <c r="T15" s="369"/>
      <c r="U15" s="369"/>
      <c r="V15" s="369">
        <v>14</v>
      </c>
      <c r="W15" s="369">
        <v>1</v>
      </c>
      <c r="X15" s="369">
        <v>6</v>
      </c>
      <c r="Y15" s="369">
        <v>5</v>
      </c>
      <c r="Z15" s="369">
        <f t="shared" si="0"/>
        <v>28</v>
      </c>
      <c r="AA15" s="372">
        <f>Z15/Z19</f>
        <v>0.10980392156862745</v>
      </c>
    </row>
    <row r="16" spans="1:27" x14ac:dyDescent="0.2">
      <c r="A16" s="7" t="s">
        <v>117</v>
      </c>
      <c r="B16" s="168">
        <v>10</v>
      </c>
      <c r="C16" s="168"/>
      <c r="D16" s="168">
        <v>1</v>
      </c>
      <c r="E16" s="168">
        <v>11</v>
      </c>
      <c r="F16" s="168"/>
      <c r="G16" s="168">
        <v>2</v>
      </c>
      <c r="H16" s="168">
        <v>4</v>
      </c>
      <c r="I16" s="168">
        <v>3</v>
      </c>
      <c r="J16" s="168">
        <v>1</v>
      </c>
      <c r="K16" s="168">
        <v>5</v>
      </c>
      <c r="L16" s="168">
        <v>5</v>
      </c>
      <c r="M16" s="168">
        <v>42</v>
      </c>
      <c r="N16" s="107"/>
      <c r="O16" s="368" t="s">
        <v>117</v>
      </c>
      <c r="P16" s="369"/>
      <c r="Q16" s="369">
        <v>10</v>
      </c>
      <c r="R16" s="369">
        <v>1</v>
      </c>
      <c r="S16" s="369">
        <v>2</v>
      </c>
      <c r="T16" s="369"/>
      <c r="U16" s="369">
        <v>4</v>
      </c>
      <c r="V16" s="369">
        <v>12</v>
      </c>
      <c r="W16" s="369">
        <v>3</v>
      </c>
      <c r="X16" s="369">
        <v>6</v>
      </c>
      <c r="Y16" s="369">
        <v>5</v>
      </c>
      <c r="Z16" s="369">
        <f t="shared" si="0"/>
        <v>43</v>
      </c>
      <c r="AA16" s="372">
        <f>Z16/Z19</f>
        <v>0.16862745098039217</v>
      </c>
    </row>
    <row r="17" spans="1:27" x14ac:dyDescent="0.2">
      <c r="A17" s="7" t="s">
        <v>197</v>
      </c>
      <c r="B17" s="168">
        <v>6</v>
      </c>
      <c r="C17" s="168"/>
      <c r="D17" s="168">
        <v>1</v>
      </c>
      <c r="E17" s="168">
        <v>1</v>
      </c>
      <c r="F17" s="168"/>
      <c r="G17" s="168"/>
      <c r="H17" s="168"/>
      <c r="I17" s="168"/>
      <c r="J17" s="168">
        <v>2</v>
      </c>
      <c r="K17" s="168">
        <v>6</v>
      </c>
      <c r="L17" s="168"/>
      <c r="M17" s="168">
        <v>16</v>
      </c>
      <c r="N17" s="107"/>
      <c r="O17" s="368" t="s">
        <v>197</v>
      </c>
      <c r="P17" s="369"/>
      <c r="Q17" s="369">
        <v>6</v>
      </c>
      <c r="R17" s="369">
        <v>1</v>
      </c>
      <c r="S17" s="369"/>
      <c r="T17" s="369"/>
      <c r="U17" s="369"/>
      <c r="V17" s="369">
        <v>1</v>
      </c>
      <c r="W17" s="369"/>
      <c r="X17" s="369">
        <v>8</v>
      </c>
      <c r="Y17" s="369"/>
      <c r="Z17" s="369">
        <f t="shared" si="0"/>
        <v>16</v>
      </c>
      <c r="AA17" s="372">
        <f>Z17/Z19</f>
        <v>6.2745098039215685E-2</v>
      </c>
    </row>
    <row r="18" spans="1:27" x14ac:dyDescent="0.2">
      <c r="A18" s="7" t="s">
        <v>81</v>
      </c>
      <c r="B18" s="168">
        <v>2</v>
      </c>
      <c r="C18" s="168"/>
      <c r="D18" s="168"/>
      <c r="E18" s="168">
        <v>4</v>
      </c>
      <c r="F18" s="168">
        <v>1</v>
      </c>
      <c r="G18" s="168"/>
      <c r="H18" s="168">
        <v>2</v>
      </c>
      <c r="I18" s="168"/>
      <c r="J18" s="168">
        <v>1</v>
      </c>
      <c r="K18" s="168">
        <v>4</v>
      </c>
      <c r="L18" s="168"/>
      <c r="M18" s="168">
        <v>14</v>
      </c>
      <c r="N18" s="107"/>
      <c r="O18" s="368" t="s">
        <v>81</v>
      </c>
      <c r="P18" s="369">
        <v>1</v>
      </c>
      <c r="Q18" s="369">
        <v>2</v>
      </c>
      <c r="R18" s="369"/>
      <c r="S18" s="369"/>
      <c r="T18" s="369"/>
      <c r="U18" s="369">
        <v>2</v>
      </c>
      <c r="V18" s="369">
        <v>4</v>
      </c>
      <c r="W18" s="369"/>
      <c r="X18" s="369">
        <v>5</v>
      </c>
      <c r="Y18" s="369"/>
      <c r="Z18" s="369">
        <f t="shared" si="0"/>
        <v>14</v>
      </c>
      <c r="AA18" s="372">
        <f>Z18/Z19</f>
        <v>5.4901960784313725E-2</v>
      </c>
    </row>
    <row r="19" spans="1:27" x14ac:dyDescent="0.2">
      <c r="A19" s="178" t="s">
        <v>2020</v>
      </c>
      <c r="B19" s="168">
        <v>34</v>
      </c>
      <c r="C19" s="168">
        <v>4</v>
      </c>
      <c r="D19" s="168">
        <v>20</v>
      </c>
      <c r="E19" s="168">
        <v>85</v>
      </c>
      <c r="F19" s="168">
        <v>8</v>
      </c>
      <c r="G19" s="168">
        <v>12</v>
      </c>
      <c r="H19" s="168">
        <v>14</v>
      </c>
      <c r="I19" s="168">
        <v>16</v>
      </c>
      <c r="J19" s="168">
        <v>9</v>
      </c>
      <c r="K19" s="168">
        <v>21</v>
      </c>
      <c r="L19" s="168">
        <v>31</v>
      </c>
      <c r="M19" s="168">
        <v>254</v>
      </c>
      <c r="N19" s="107"/>
      <c r="O19" s="370" t="s">
        <v>1768</v>
      </c>
      <c r="P19" s="192">
        <f t="shared" ref="P19:AA19" si="1">SUM(P10:P18)</f>
        <v>8</v>
      </c>
      <c r="Q19" s="192">
        <f t="shared" si="1"/>
        <v>34</v>
      </c>
      <c r="R19" s="192">
        <f t="shared" si="1"/>
        <v>20</v>
      </c>
      <c r="S19" s="192">
        <f t="shared" si="1"/>
        <v>12</v>
      </c>
      <c r="T19" s="192">
        <f t="shared" si="1"/>
        <v>4</v>
      </c>
      <c r="U19" s="192">
        <f t="shared" si="1"/>
        <v>14</v>
      </c>
      <c r="V19" s="192">
        <f t="shared" si="1"/>
        <v>85</v>
      </c>
      <c r="W19" s="192">
        <f t="shared" si="1"/>
        <v>16</v>
      </c>
      <c r="X19" s="192">
        <f t="shared" si="1"/>
        <v>31</v>
      </c>
      <c r="Y19" s="192">
        <f t="shared" si="1"/>
        <v>31</v>
      </c>
      <c r="Z19" s="192">
        <f t="shared" si="1"/>
        <v>255</v>
      </c>
      <c r="AA19" s="373">
        <f t="shared" si="1"/>
        <v>1.0000000000000002</v>
      </c>
    </row>
    <row r="20" spans="1:27" x14ac:dyDescent="0.2">
      <c r="N20" s="107"/>
      <c r="O20" s="107"/>
      <c r="P20" s="107"/>
      <c r="Q20" s="107"/>
      <c r="R20" s="107"/>
      <c r="S20" s="107"/>
      <c r="T20" s="107"/>
      <c r="U20" s="107"/>
      <c r="V20" s="107"/>
      <c r="W20" s="107"/>
      <c r="X20" s="107"/>
    </row>
    <row r="21" spans="1:27" x14ac:dyDescent="0.2">
      <c r="M21" s="107"/>
      <c r="N21" s="107"/>
      <c r="O21" s="107"/>
      <c r="P21" s="107"/>
      <c r="Q21" s="107"/>
      <c r="R21" s="107"/>
      <c r="S21" s="107"/>
      <c r="T21" s="107"/>
      <c r="U21" s="107"/>
      <c r="V21" s="107"/>
      <c r="W21" s="107"/>
      <c r="X21" s="107"/>
    </row>
    <row r="22" spans="1:27" x14ac:dyDescent="0.2">
      <c r="B22" s="107"/>
      <c r="C22" s="107"/>
      <c r="D22" s="107"/>
      <c r="E22" s="107"/>
      <c r="F22" s="107"/>
      <c r="G22" s="107"/>
      <c r="H22" s="107"/>
      <c r="I22" s="107"/>
      <c r="J22" s="107"/>
      <c r="K22" s="107"/>
      <c r="L22" s="107"/>
      <c r="M22" s="107"/>
      <c r="N22" s="107"/>
      <c r="O22" s="107"/>
      <c r="P22" s="107"/>
      <c r="Q22" s="107"/>
      <c r="R22" s="107"/>
      <c r="S22" s="107"/>
      <c r="T22" s="107"/>
      <c r="U22" s="107"/>
      <c r="V22" s="107"/>
      <c r="W22" s="107"/>
      <c r="X22" s="107"/>
    </row>
    <row r="23" spans="1:27" ht="24" x14ac:dyDescent="0.3">
      <c r="A23" s="297" t="s">
        <v>2044</v>
      </c>
    </row>
    <row r="25" spans="1:27" x14ac:dyDescent="0.2">
      <c r="B25" s="107"/>
      <c r="C25" s="107"/>
      <c r="D25" s="107"/>
      <c r="E25" s="107"/>
      <c r="F25" s="107"/>
      <c r="G25" s="107"/>
      <c r="H25" s="107"/>
      <c r="I25" s="107"/>
      <c r="J25" s="107"/>
      <c r="K25" s="107"/>
      <c r="L25" s="107"/>
      <c r="M25" s="107"/>
      <c r="N25" s="107"/>
      <c r="O25" s="107"/>
      <c r="P25" s="107"/>
      <c r="Q25" s="107"/>
      <c r="R25" s="107"/>
      <c r="S25" s="107"/>
      <c r="T25" s="107"/>
      <c r="U25" s="107"/>
      <c r="V25" s="107"/>
      <c r="W25" s="107"/>
      <c r="X25" s="107"/>
    </row>
    <row r="26" spans="1:27" x14ac:dyDescent="0.2">
      <c r="A26" s="109" t="s">
        <v>4</v>
      </c>
      <c r="B26" s="107" t="s">
        <v>34</v>
      </c>
      <c r="C26" s="107"/>
      <c r="D26" s="107"/>
      <c r="E26" s="107"/>
      <c r="F26" s="107"/>
      <c r="G26" s="107"/>
      <c r="H26" s="107"/>
      <c r="I26" s="107"/>
      <c r="J26" s="107"/>
      <c r="K26" s="107"/>
      <c r="L26" s="107"/>
      <c r="M26" s="107"/>
      <c r="N26" s="107"/>
      <c r="O26" s="107"/>
      <c r="P26" s="107"/>
      <c r="Q26" s="107"/>
      <c r="R26" s="107"/>
      <c r="S26" s="107"/>
      <c r="T26" s="107"/>
      <c r="U26" s="107"/>
      <c r="V26" s="107"/>
      <c r="W26" s="107"/>
      <c r="X26" s="107"/>
    </row>
    <row r="27" spans="1:27" x14ac:dyDescent="0.2">
      <c r="A27" s="6" t="s">
        <v>9</v>
      </c>
      <c r="B27" t="s">
        <v>2030</v>
      </c>
      <c r="C27" s="107"/>
      <c r="D27" s="107"/>
      <c r="E27" s="107"/>
      <c r="F27" s="107"/>
      <c r="G27" s="107"/>
      <c r="H27" s="107"/>
      <c r="I27" s="107"/>
      <c r="J27" s="107"/>
      <c r="K27" s="107"/>
      <c r="L27" s="107"/>
      <c r="M27" s="107"/>
      <c r="N27" s="107"/>
      <c r="O27" s="107"/>
      <c r="P27" s="107"/>
      <c r="Q27" s="107"/>
      <c r="R27" s="107"/>
      <c r="S27" s="107"/>
      <c r="T27" s="107"/>
      <c r="U27" s="107"/>
      <c r="V27" s="107"/>
      <c r="W27" s="107"/>
      <c r="X27" s="107"/>
    </row>
    <row r="28" spans="1:27" x14ac:dyDescent="0.2">
      <c r="B28" s="107"/>
      <c r="C28" s="107"/>
      <c r="D28" s="107"/>
      <c r="E28" s="107"/>
      <c r="F28" s="107"/>
      <c r="G28" s="107"/>
      <c r="H28" s="107"/>
      <c r="I28" s="107"/>
      <c r="J28" s="107"/>
      <c r="K28" s="107"/>
      <c r="L28" s="107"/>
      <c r="M28" s="107"/>
      <c r="N28" s="107"/>
      <c r="O28" s="107"/>
      <c r="P28" s="107"/>
      <c r="Q28" s="107"/>
      <c r="R28" s="107"/>
      <c r="S28" s="107"/>
      <c r="T28" s="107"/>
      <c r="U28" s="107"/>
      <c r="V28" s="107"/>
      <c r="W28" s="107"/>
      <c r="X28" s="107"/>
    </row>
    <row r="29" spans="1:27" x14ac:dyDescent="0.2">
      <c r="A29" s="6" t="s">
        <v>2017</v>
      </c>
      <c r="B29" s="181" t="s">
        <v>2018</v>
      </c>
      <c r="C29" s="107"/>
      <c r="D29" s="107"/>
      <c r="E29" s="107"/>
      <c r="F29" s="107"/>
      <c r="G29" s="107"/>
      <c r="H29" s="107"/>
      <c r="I29" s="107"/>
      <c r="J29" s="107"/>
      <c r="K29" s="107"/>
      <c r="L29" s="107"/>
    </row>
    <row r="30" spans="1:27" ht="34" x14ac:dyDescent="0.2">
      <c r="A30" s="180" t="s">
        <v>5</v>
      </c>
      <c r="B30" s="107" t="s">
        <v>2037</v>
      </c>
      <c r="C30" s="107" t="s">
        <v>2038</v>
      </c>
      <c r="D30" s="107" t="s">
        <v>2039</v>
      </c>
      <c r="E30" s="107" t="s">
        <v>2040</v>
      </c>
      <c r="F30" s="107" t="s">
        <v>521</v>
      </c>
      <c r="G30" s="107" t="s">
        <v>749</v>
      </c>
      <c r="H30" s="107" t="s">
        <v>804</v>
      </c>
      <c r="I30" s="107" t="s">
        <v>893</v>
      </c>
      <c r="J30" s="107" t="s">
        <v>678</v>
      </c>
      <c r="K30" s="107" t="s">
        <v>1018</v>
      </c>
      <c r="L30" s="177" t="s">
        <v>2020</v>
      </c>
      <c r="O30" s="179" t="s">
        <v>5</v>
      </c>
      <c r="P30" s="174" t="s">
        <v>2041</v>
      </c>
      <c r="Q30" s="174" t="s">
        <v>2037</v>
      </c>
      <c r="R30" s="174" t="s">
        <v>2039</v>
      </c>
      <c r="S30" s="174" t="s">
        <v>521</v>
      </c>
      <c r="T30" s="174" t="s">
        <v>2038</v>
      </c>
      <c r="U30" s="174" t="s">
        <v>749</v>
      </c>
      <c r="V30" s="174" t="s">
        <v>2040</v>
      </c>
      <c r="W30" s="174" t="s">
        <v>804</v>
      </c>
      <c r="X30" s="174" t="s">
        <v>2042</v>
      </c>
      <c r="Y30" s="174" t="s">
        <v>1018</v>
      </c>
      <c r="Z30" s="174" t="s">
        <v>1768</v>
      </c>
      <c r="AA30" s="174" t="s">
        <v>2043</v>
      </c>
    </row>
    <row r="31" spans="1:27" x14ac:dyDescent="0.2">
      <c r="A31" s="7" t="s">
        <v>35</v>
      </c>
      <c r="B31" s="168"/>
      <c r="C31" s="168"/>
      <c r="D31" s="168"/>
      <c r="E31" s="168"/>
      <c r="F31" s="168">
        <v>1</v>
      </c>
      <c r="G31" s="168"/>
      <c r="H31" s="168"/>
      <c r="I31" s="168"/>
      <c r="J31" s="168"/>
      <c r="K31" s="168"/>
      <c r="L31" s="168">
        <v>1</v>
      </c>
      <c r="O31" s="368" t="s">
        <v>35</v>
      </c>
      <c r="P31" s="371"/>
      <c r="Q31" s="371"/>
      <c r="R31" s="371"/>
      <c r="S31" s="371">
        <v>1</v>
      </c>
      <c r="T31" s="371"/>
      <c r="U31" s="371"/>
      <c r="V31" s="371"/>
      <c r="W31" s="371"/>
      <c r="X31" s="371"/>
      <c r="Y31" s="371"/>
      <c r="Z31" s="371">
        <f>SUM(P31:Y31)</f>
        <v>1</v>
      </c>
      <c r="AA31" s="372">
        <f>Z31/Z40</f>
        <v>1.1494252873563218E-2</v>
      </c>
    </row>
    <row r="32" spans="1:27" x14ac:dyDescent="0.2">
      <c r="A32" s="7" t="s">
        <v>105</v>
      </c>
      <c r="B32" s="168">
        <v>1</v>
      </c>
      <c r="C32" s="168"/>
      <c r="D32" s="168"/>
      <c r="E32" s="168">
        <v>7</v>
      </c>
      <c r="F32" s="168"/>
      <c r="G32" s="168"/>
      <c r="H32" s="168"/>
      <c r="I32" s="168"/>
      <c r="J32" s="168"/>
      <c r="K32" s="168">
        <v>1</v>
      </c>
      <c r="L32" s="168">
        <v>9</v>
      </c>
      <c r="O32" s="368" t="s">
        <v>105</v>
      </c>
      <c r="P32" s="369"/>
      <c r="Q32" s="369">
        <v>1</v>
      </c>
      <c r="R32" s="369"/>
      <c r="S32" s="369"/>
      <c r="T32" s="369"/>
      <c r="U32" s="369"/>
      <c r="V32" s="369">
        <v>7</v>
      </c>
      <c r="W32" s="369"/>
      <c r="X32" s="369"/>
      <c r="Y32" s="369">
        <v>1</v>
      </c>
      <c r="Z32" s="369">
        <f t="shared" ref="Z32:Z39" si="2">SUM(P32:Y32)</f>
        <v>9</v>
      </c>
      <c r="AA32" s="372">
        <f>Z32/Z40</f>
        <v>0.10344827586206896</v>
      </c>
    </row>
    <row r="33" spans="1:27" x14ac:dyDescent="0.2">
      <c r="A33" s="7" t="s">
        <v>48</v>
      </c>
      <c r="B33" s="168"/>
      <c r="C33" s="168">
        <v>1</v>
      </c>
      <c r="D33" s="168">
        <v>4</v>
      </c>
      <c r="E33" s="168">
        <v>6</v>
      </c>
      <c r="F33" s="168"/>
      <c r="G33" s="168"/>
      <c r="H33" s="168"/>
      <c r="I33" s="168"/>
      <c r="J33" s="168"/>
      <c r="K33" s="168"/>
      <c r="L33" s="168">
        <v>11</v>
      </c>
      <c r="N33" s="107"/>
      <c r="O33" s="368" t="s">
        <v>48</v>
      </c>
      <c r="P33" s="369"/>
      <c r="Q33" s="369"/>
      <c r="R33" s="369">
        <v>4</v>
      </c>
      <c r="S33" s="369"/>
      <c r="T33" s="369">
        <v>1</v>
      </c>
      <c r="U33" s="369"/>
      <c r="V33" s="369">
        <v>6</v>
      </c>
      <c r="W33" s="369"/>
      <c r="X33" s="369"/>
      <c r="Y33" s="369"/>
      <c r="Z33" s="369">
        <f t="shared" si="2"/>
        <v>11</v>
      </c>
      <c r="AA33" s="372">
        <f>Z33/Z40</f>
        <v>0.12643678160919541</v>
      </c>
    </row>
    <row r="34" spans="1:27" x14ac:dyDescent="0.2">
      <c r="A34" s="7" t="s">
        <v>58</v>
      </c>
      <c r="B34" s="168">
        <v>1</v>
      </c>
      <c r="C34" s="168">
        <v>1</v>
      </c>
      <c r="D34" s="168">
        <v>1</v>
      </c>
      <c r="E34" s="168">
        <v>4</v>
      </c>
      <c r="F34" s="168">
        <v>2</v>
      </c>
      <c r="G34" s="168">
        <v>1</v>
      </c>
      <c r="H34" s="168">
        <v>1</v>
      </c>
      <c r="I34" s="168"/>
      <c r="J34" s="168"/>
      <c r="K34" s="168">
        <v>2</v>
      </c>
      <c r="L34" s="168">
        <v>13</v>
      </c>
      <c r="N34" s="107"/>
      <c r="O34" s="368" t="s">
        <v>58</v>
      </c>
      <c r="P34" s="369"/>
      <c r="Q34" s="369">
        <v>1</v>
      </c>
      <c r="R34" s="369">
        <v>1</v>
      </c>
      <c r="S34" s="369">
        <v>2</v>
      </c>
      <c r="T34" s="369">
        <v>1</v>
      </c>
      <c r="U34" s="369">
        <v>1</v>
      </c>
      <c r="V34" s="369">
        <v>3</v>
      </c>
      <c r="W34" s="369">
        <v>1</v>
      </c>
      <c r="X34" s="369"/>
      <c r="Y34" s="369">
        <v>2</v>
      </c>
      <c r="Z34" s="369">
        <f t="shared" si="2"/>
        <v>12</v>
      </c>
      <c r="AA34" s="372">
        <f>Z34/Z40</f>
        <v>0.13793103448275862</v>
      </c>
    </row>
    <row r="35" spans="1:27" x14ac:dyDescent="0.2">
      <c r="A35" s="7" t="s">
        <v>98</v>
      </c>
      <c r="B35" s="168"/>
      <c r="C35" s="168"/>
      <c r="D35" s="168">
        <v>3</v>
      </c>
      <c r="E35" s="168">
        <v>4</v>
      </c>
      <c r="F35" s="168">
        <v>2</v>
      </c>
      <c r="G35" s="168"/>
      <c r="H35" s="168">
        <v>2</v>
      </c>
      <c r="I35" s="168"/>
      <c r="J35" s="168"/>
      <c r="K35" s="168">
        <v>6</v>
      </c>
      <c r="L35" s="168">
        <v>17</v>
      </c>
      <c r="N35" s="107"/>
      <c r="O35" s="368" t="s">
        <v>98</v>
      </c>
      <c r="P35" s="369"/>
      <c r="Q35" s="369"/>
      <c r="R35" s="369">
        <v>3</v>
      </c>
      <c r="S35" s="369">
        <v>2</v>
      </c>
      <c r="T35" s="369"/>
      <c r="U35" s="369"/>
      <c r="V35" s="369">
        <v>5</v>
      </c>
      <c r="W35" s="369">
        <v>2</v>
      </c>
      <c r="X35" s="369">
        <v>1</v>
      </c>
      <c r="Y35" s="369">
        <v>6</v>
      </c>
      <c r="Z35" s="369">
        <f t="shared" si="2"/>
        <v>19</v>
      </c>
      <c r="AA35" s="372">
        <f>Z35/Z40</f>
        <v>0.21839080459770116</v>
      </c>
    </row>
    <row r="36" spans="1:27" x14ac:dyDescent="0.2">
      <c r="A36" s="7" t="s">
        <v>138</v>
      </c>
      <c r="B36" s="168"/>
      <c r="C36" s="168"/>
      <c r="D36" s="168">
        <v>1</v>
      </c>
      <c r="E36" s="168">
        <v>8</v>
      </c>
      <c r="F36" s="168"/>
      <c r="G36" s="168"/>
      <c r="H36" s="168"/>
      <c r="I36" s="168">
        <v>1</v>
      </c>
      <c r="J36" s="168">
        <v>1</v>
      </c>
      <c r="K36" s="168">
        <v>3</v>
      </c>
      <c r="L36" s="168">
        <v>14</v>
      </c>
      <c r="N36" s="107"/>
      <c r="O36" s="368" t="s">
        <v>138</v>
      </c>
      <c r="P36" s="369"/>
      <c r="Q36" s="369"/>
      <c r="R36" s="369">
        <v>1</v>
      </c>
      <c r="S36" s="369"/>
      <c r="T36" s="369"/>
      <c r="U36" s="369"/>
      <c r="V36" s="369">
        <v>7</v>
      </c>
      <c r="W36" s="369"/>
      <c r="X36" s="369">
        <v>2</v>
      </c>
      <c r="Y36" s="369">
        <v>3</v>
      </c>
      <c r="Z36" s="369">
        <f t="shared" si="2"/>
        <v>13</v>
      </c>
      <c r="AA36" s="372">
        <f>Z36/Z40</f>
        <v>0.14942528735632185</v>
      </c>
    </row>
    <row r="37" spans="1:27" x14ac:dyDescent="0.2">
      <c r="A37" s="7" t="s">
        <v>117</v>
      </c>
      <c r="B37" s="168">
        <v>3</v>
      </c>
      <c r="C37" s="168"/>
      <c r="D37" s="168"/>
      <c r="E37" s="168">
        <v>5</v>
      </c>
      <c r="F37" s="168">
        <v>1</v>
      </c>
      <c r="G37" s="168"/>
      <c r="H37" s="168">
        <v>1</v>
      </c>
      <c r="I37" s="168"/>
      <c r="J37" s="168"/>
      <c r="K37" s="168">
        <v>2</v>
      </c>
      <c r="L37" s="168">
        <v>12</v>
      </c>
      <c r="N37" s="107"/>
      <c r="O37" s="368" t="s">
        <v>117</v>
      </c>
      <c r="P37" s="369"/>
      <c r="Q37" s="369">
        <v>3</v>
      </c>
      <c r="R37" s="369"/>
      <c r="S37" s="369">
        <v>1</v>
      </c>
      <c r="T37" s="369"/>
      <c r="U37" s="369"/>
      <c r="V37" s="369">
        <v>6</v>
      </c>
      <c r="W37" s="369">
        <v>1</v>
      </c>
      <c r="X37" s="369"/>
      <c r="Y37" s="369">
        <v>2</v>
      </c>
      <c r="Z37" s="369">
        <f t="shared" si="2"/>
        <v>13</v>
      </c>
      <c r="AA37" s="372">
        <f>Z37/Z40</f>
        <v>0.14942528735632185</v>
      </c>
    </row>
    <row r="38" spans="1:27" x14ac:dyDescent="0.2">
      <c r="A38" s="7" t="s">
        <v>197</v>
      </c>
      <c r="B38" s="168">
        <v>3</v>
      </c>
      <c r="C38" s="168"/>
      <c r="D38" s="168">
        <v>1</v>
      </c>
      <c r="E38" s="168">
        <v>1</v>
      </c>
      <c r="F38" s="168"/>
      <c r="G38" s="168"/>
      <c r="H38" s="168"/>
      <c r="I38" s="168"/>
      <c r="J38" s="168"/>
      <c r="K38" s="168"/>
      <c r="L38" s="168">
        <v>5</v>
      </c>
      <c r="N38" s="107"/>
      <c r="O38" s="368" t="s">
        <v>197</v>
      </c>
      <c r="P38" s="369"/>
      <c r="Q38" s="369">
        <v>3</v>
      </c>
      <c r="R38" s="369">
        <v>1</v>
      </c>
      <c r="S38" s="369"/>
      <c r="T38" s="369"/>
      <c r="U38" s="369"/>
      <c r="V38" s="369">
        <v>1</v>
      </c>
      <c r="W38" s="369"/>
      <c r="X38" s="369"/>
      <c r="Y38" s="369"/>
      <c r="Z38" s="369">
        <f t="shared" si="2"/>
        <v>5</v>
      </c>
      <c r="AA38" s="372">
        <f>Z38/Z40</f>
        <v>5.7471264367816091E-2</v>
      </c>
    </row>
    <row r="39" spans="1:27" x14ac:dyDescent="0.2">
      <c r="A39" s="7" t="s">
        <v>81</v>
      </c>
      <c r="B39" s="168">
        <v>1</v>
      </c>
      <c r="C39" s="168"/>
      <c r="D39" s="168"/>
      <c r="E39" s="168">
        <v>1</v>
      </c>
      <c r="F39" s="168"/>
      <c r="G39" s="168"/>
      <c r="H39" s="168"/>
      <c r="I39" s="168">
        <v>1</v>
      </c>
      <c r="J39" s="168">
        <v>1</v>
      </c>
      <c r="K39" s="168"/>
      <c r="L39" s="168">
        <v>4</v>
      </c>
      <c r="N39" s="107"/>
      <c r="O39" s="368" t="s">
        <v>81</v>
      </c>
      <c r="P39" s="369"/>
      <c r="Q39" s="369">
        <v>1</v>
      </c>
      <c r="R39" s="369"/>
      <c r="S39" s="369"/>
      <c r="T39" s="369"/>
      <c r="U39" s="369"/>
      <c r="V39" s="369">
        <v>1</v>
      </c>
      <c r="W39" s="369"/>
      <c r="X39" s="369">
        <v>2</v>
      </c>
      <c r="Y39" s="369"/>
      <c r="Z39" s="369">
        <f t="shared" si="2"/>
        <v>4</v>
      </c>
      <c r="AA39" s="372">
        <f>Z39/Z40</f>
        <v>4.5977011494252873E-2</v>
      </c>
    </row>
    <row r="40" spans="1:27" x14ac:dyDescent="0.2">
      <c r="A40" s="178" t="s">
        <v>2020</v>
      </c>
      <c r="B40" s="168">
        <v>9</v>
      </c>
      <c r="C40" s="168">
        <v>2</v>
      </c>
      <c r="D40" s="168">
        <v>10</v>
      </c>
      <c r="E40" s="168">
        <v>36</v>
      </c>
      <c r="F40" s="168">
        <v>6</v>
      </c>
      <c r="G40" s="168">
        <v>1</v>
      </c>
      <c r="H40" s="168">
        <v>4</v>
      </c>
      <c r="I40" s="168">
        <v>2</v>
      </c>
      <c r="J40" s="168">
        <v>2</v>
      </c>
      <c r="K40" s="168">
        <v>14</v>
      </c>
      <c r="L40" s="168">
        <v>86</v>
      </c>
      <c r="N40" s="107"/>
      <c r="O40" s="370" t="s">
        <v>1768</v>
      </c>
      <c r="P40" s="192">
        <f t="shared" ref="P40:AA40" si="3">SUM(P31:P39)</f>
        <v>0</v>
      </c>
      <c r="Q40" s="192">
        <f t="shared" si="3"/>
        <v>9</v>
      </c>
      <c r="R40" s="192">
        <f t="shared" si="3"/>
        <v>10</v>
      </c>
      <c r="S40" s="192">
        <f t="shared" si="3"/>
        <v>6</v>
      </c>
      <c r="T40" s="192">
        <f t="shared" si="3"/>
        <v>2</v>
      </c>
      <c r="U40" s="192">
        <f t="shared" si="3"/>
        <v>1</v>
      </c>
      <c r="V40" s="192">
        <f t="shared" si="3"/>
        <v>36</v>
      </c>
      <c r="W40" s="192">
        <f t="shared" si="3"/>
        <v>4</v>
      </c>
      <c r="X40" s="192">
        <f t="shared" si="3"/>
        <v>5</v>
      </c>
      <c r="Y40" s="192">
        <f t="shared" si="3"/>
        <v>14</v>
      </c>
      <c r="Z40" s="192">
        <f t="shared" si="3"/>
        <v>87</v>
      </c>
      <c r="AA40" s="373">
        <f t="shared" si="3"/>
        <v>1</v>
      </c>
    </row>
    <row r="41" spans="1:27" x14ac:dyDescent="0.2">
      <c r="N41" s="107"/>
      <c r="O41" s="107"/>
      <c r="P41" s="107"/>
      <c r="Q41" s="107"/>
      <c r="R41" s="107"/>
      <c r="S41" s="107"/>
      <c r="T41" s="107"/>
      <c r="U41" s="107"/>
      <c r="V41" s="107"/>
      <c r="W41" s="107"/>
      <c r="X41" s="107"/>
    </row>
    <row r="42" spans="1:27" x14ac:dyDescent="0.2">
      <c r="M42" s="107"/>
      <c r="N42" s="107"/>
      <c r="O42" s="107"/>
      <c r="P42" s="107"/>
      <c r="Q42" s="107"/>
      <c r="R42" s="107"/>
      <c r="S42" s="107"/>
      <c r="T42" s="107"/>
      <c r="U42" s="107"/>
      <c r="V42" s="107"/>
      <c r="W42" s="107"/>
      <c r="X42" s="107"/>
    </row>
    <row r="43" spans="1:27" x14ac:dyDescent="0.2">
      <c r="B43" s="107"/>
      <c r="C43" s="107"/>
      <c r="D43" s="107"/>
      <c r="E43" s="107"/>
      <c r="F43" s="107"/>
      <c r="G43" s="107"/>
      <c r="H43" s="107"/>
      <c r="I43" s="107"/>
      <c r="J43" s="107"/>
      <c r="K43" s="107"/>
      <c r="L43" s="107"/>
      <c r="M43" s="107"/>
      <c r="N43" s="107"/>
      <c r="O43" s="107"/>
      <c r="P43" s="107"/>
      <c r="Q43" s="107"/>
      <c r="R43" s="107"/>
      <c r="S43" s="107"/>
      <c r="T43" s="107"/>
      <c r="U43" s="107"/>
      <c r="V43" s="107"/>
      <c r="W43" s="107"/>
      <c r="X43" s="107"/>
    </row>
    <row r="44" spans="1:27" x14ac:dyDescent="0.2">
      <c r="B44" s="107"/>
      <c r="C44" s="107"/>
      <c r="D44" s="107"/>
      <c r="E44" s="107"/>
      <c r="F44" s="107"/>
      <c r="G44" s="107"/>
      <c r="H44" s="107"/>
      <c r="I44" s="107"/>
      <c r="J44" s="107"/>
      <c r="K44" s="107"/>
      <c r="L44" s="107"/>
      <c r="M44" s="107"/>
      <c r="N44" s="107"/>
      <c r="O44" s="107"/>
      <c r="P44" s="107"/>
      <c r="Q44" s="107"/>
      <c r="R44" s="107"/>
      <c r="S44" s="107"/>
      <c r="T44" s="107"/>
      <c r="U44" s="107"/>
      <c r="V44" s="107"/>
      <c r="W44" s="107"/>
      <c r="X44"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30E6-96B9-1046-AF19-5A6FEFF1EC6C}">
  <dimension ref="A1:AC54"/>
  <sheetViews>
    <sheetView topLeftCell="A31" zoomScale="110" zoomScaleNormal="110" workbookViewId="0">
      <selection activeCell="L40" sqref="L40"/>
    </sheetView>
  </sheetViews>
  <sheetFormatPr baseColWidth="10" defaultColWidth="11" defaultRowHeight="16" x14ac:dyDescent="0.2"/>
  <cols>
    <col min="1" max="1" width="18.33203125" bestFit="1" customWidth="1"/>
    <col min="2" max="2" width="18.5" style="107" bestFit="1" customWidth="1"/>
    <col min="3" max="5" width="8" style="107" bestFit="1" customWidth="1"/>
    <col min="6" max="6" width="10.33203125" style="107" bestFit="1" customWidth="1"/>
    <col min="7" max="7" width="12.5" style="107" bestFit="1" customWidth="1"/>
    <col min="8" max="8" width="10.5" style="107" bestFit="1" customWidth="1"/>
    <col min="9" max="10" width="11" style="107" customWidth="1"/>
    <col min="11" max="11" width="18.33203125" style="107" bestFit="1" customWidth="1"/>
    <col min="12" max="12" width="18.5" style="107" bestFit="1" customWidth="1"/>
    <col min="13" max="13" width="4.33203125" style="107" bestFit="1" customWidth="1"/>
    <col min="14" max="14" width="4.1640625" style="107" bestFit="1" customWidth="1"/>
    <col min="15" max="15" width="9.6640625" style="107" bestFit="1" customWidth="1"/>
    <col min="16" max="16" width="10.1640625" style="107" bestFit="1" customWidth="1"/>
    <col min="17" max="17" width="10.5" style="107" bestFit="1" customWidth="1"/>
    <col min="18" max="21" width="11" style="107" customWidth="1"/>
    <col min="22" max="25" width="8.83203125" style="107" customWidth="1"/>
    <col min="26" max="26" width="17" bestFit="1" customWidth="1"/>
    <col min="27" max="27" width="5.1640625" bestFit="1" customWidth="1"/>
    <col min="28" max="30" width="9.33203125" customWidth="1"/>
  </cols>
  <sheetData>
    <row r="1" spans="1:29" ht="24" x14ac:dyDescent="0.3">
      <c r="A1" s="297" t="s">
        <v>2045</v>
      </c>
      <c r="B1"/>
      <c r="C1"/>
      <c r="D1"/>
      <c r="E1"/>
      <c r="F1"/>
      <c r="G1"/>
      <c r="H1"/>
      <c r="I1"/>
      <c r="J1"/>
      <c r="K1"/>
      <c r="L1"/>
      <c r="M1"/>
      <c r="N1"/>
      <c r="O1"/>
    </row>
    <row r="2" spans="1:29" x14ac:dyDescent="0.2">
      <c r="B2"/>
      <c r="C2"/>
      <c r="D2"/>
      <c r="E2"/>
      <c r="F2"/>
      <c r="G2"/>
      <c r="H2"/>
      <c r="I2"/>
      <c r="J2"/>
      <c r="K2"/>
      <c r="L2"/>
      <c r="M2"/>
      <c r="N2"/>
      <c r="O2"/>
    </row>
    <row r="3" spans="1:29" x14ac:dyDescent="0.2">
      <c r="A3" s="109" t="s">
        <v>4</v>
      </c>
      <c r="B3" s="107" t="s">
        <v>34</v>
      </c>
      <c r="G3"/>
      <c r="H3"/>
      <c r="I3"/>
      <c r="J3"/>
      <c r="K3"/>
      <c r="L3"/>
      <c r="M3"/>
      <c r="N3"/>
      <c r="O3"/>
    </row>
    <row r="4" spans="1:29" x14ac:dyDescent="0.2">
      <c r="A4" s="109" t="s">
        <v>9</v>
      </c>
      <c r="B4" t="s">
        <v>2030</v>
      </c>
      <c r="G4"/>
      <c r="H4"/>
      <c r="I4"/>
      <c r="J4"/>
      <c r="K4"/>
      <c r="L4"/>
      <c r="M4"/>
      <c r="N4"/>
      <c r="O4"/>
    </row>
    <row r="5" spans="1:29" x14ac:dyDescent="0.2">
      <c r="G5"/>
      <c r="H5"/>
      <c r="I5"/>
      <c r="J5"/>
      <c r="K5"/>
      <c r="L5"/>
      <c r="M5"/>
      <c r="N5"/>
      <c r="O5"/>
    </row>
    <row r="6" spans="1:29" x14ac:dyDescent="0.2">
      <c r="A6" s="6" t="s">
        <v>2017</v>
      </c>
      <c r="B6" s="109" t="s">
        <v>2018</v>
      </c>
      <c r="G6"/>
      <c r="H6"/>
      <c r="I6"/>
      <c r="J6" s="388" t="s">
        <v>7</v>
      </c>
      <c r="K6" s="392" t="s">
        <v>2046</v>
      </c>
      <c r="L6" s="392"/>
      <c r="M6" s="389" t="s">
        <v>2047</v>
      </c>
      <c r="N6" s="389"/>
      <c r="O6" s="389"/>
      <c r="P6" s="389"/>
      <c r="Q6" s="390" t="s">
        <v>2032</v>
      </c>
      <c r="R6" s="390" t="s">
        <v>2033</v>
      </c>
      <c r="S6" s="390" t="s">
        <v>2029</v>
      </c>
      <c r="Z6" s="107"/>
      <c r="AA6" s="107"/>
      <c r="AB6" s="107"/>
    </row>
    <row r="7" spans="1:29" ht="34" x14ac:dyDescent="0.2">
      <c r="A7" s="109" t="s">
        <v>7</v>
      </c>
      <c r="B7" s="107" t="s">
        <v>61</v>
      </c>
      <c r="C7" s="107" t="s">
        <v>71</v>
      </c>
      <c r="D7" s="107" t="s">
        <v>100</v>
      </c>
      <c r="E7" s="107" t="s">
        <v>242</v>
      </c>
      <c r="F7" s="177" t="s">
        <v>2020</v>
      </c>
      <c r="G7"/>
      <c r="H7"/>
      <c r="I7"/>
      <c r="J7" s="389"/>
      <c r="K7" s="295" t="s">
        <v>39</v>
      </c>
      <c r="L7" s="295" t="s">
        <v>2048</v>
      </c>
      <c r="M7" s="182" t="s">
        <v>61</v>
      </c>
      <c r="N7" s="182" t="s">
        <v>71</v>
      </c>
      <c r="O7" s="182" t="s">
        <v>100</v>
      </c>
      <c r="P7" s="182" t="s">
        <v>242</v>
      </c>
      <c r="Q7" s="391"/>
      <c r="R7" s="391"/>
      <c r="S7" s="391"/>
      <c r="Z7" s="107"/>
      <c r="AA7" s="107"/>
      <c r="AB7" s="107"/>
      <c r="AC7" s="107"/>
    </row>
    <row r="8" spans="1:29" x14ac:dyDescent="0.2">
      <c r="A8" s="7" t="s">
        <v>60</v>
      </c>
      <c r="B8" s="168">
        <v>1</v>
      </c>
      <c r="C8" s="168">
        <v>8</v>
      </c>
      <c r="D8" s="168"/>
      <c r="E8" s="168"/>
      <c r="F8" s="168">
        <v>9</v>
      </c>
      <c r="G8"/>
      <c r="H8"/>
      <c r="I8"/>
      <c r="J8" s="7" t="s">
        <v>60</v>
      </c>
      <c r="K8" s="169">
        <v>5</v>
      </c>
      <c r="L8" s="169">
        <v>1</v>
      </c>
      <c r="M8" s="168">
        <v>1</v>
      </c>
      <c r="N8" s="168">
        <v>4</v>
      </c>
      <c r="O8" s="168"/>
      <c r="P8" s="168"/>
      <c r="Q8" s="168">
        <f>SUM(M8:P8)</f>
        <v>5</v>
      </c>
      <c r="R8" s="168">
        <f>Q8+K8</f>
        <v>10</v>
      </c>
      <c r="S8" s="190">
        <f>L8/R8</f>
        <v>0.1</v>
      </c>
      <c r="Z8" s="107"/>
      <c r="AA8" s="107"/>
      <c r="AB8" s="107"/>
      <c r="AC8" s="107"/>
    </row>
    <row r="9" spans="1:29" x14ac:dyDescent="0.2">
      <c r="A9" s="7" t="s">
        <v>50</v>
      </c>
      <c r="B9" s="168">
        <v>15</v>
      </c>
      <c r="C9" s="168">
        <v>6</v>
      </c>
      <c r="D9" s="168">
        <v>13</v>
      </c>
      <c r="E9" s="168">
        <v>2</v>
      </c>
      <c r="F9" s="168">
        <v>36</v>
      </c>
      <c r="G9"/>
      <c r="H9"/>
      <c r="I9"/>
      <c r="J9" s="7" t="s">
        <v>50</v>
      </c>
      <c r="K9" s="169">
        <v>4</v>
      </c>
      <c r="L9" s="169">
        <v>20</v>
      </c>
      <c r="M9" s="168">
        <v>20</v>
      </c>
      <c r="N9" s="168">
        <v>4</v>
      </c>
      <c r="O9" s="168">
        <v>13</v>
      </c>
      <c r="P9" s="168">
        <v>3</v>
      </c>
      <c r="Q9" s="168">
        <f t="shared" ref="Q9:Q12" si="0">SUM(M9:P9)</f>
        <v>40</v>
      </c>
      <c r="R9" s="168">
        <f t="shared" ref="R9:R12" si="1">Q9+K9</f>
        <v>44</v>
      </c>
      <c r="S9" s="190">
        <f t="shared" ref="S9:S12" si="2">L9/R9</f>
        <v>0.45454545454545453</v>
      </c>
      <c r="Z9" s="107"/>
      <c r="AA9" s="107"/>
      <c r="AB9" s="107"/>
      <c r="AC9" s="107"/>
    </row>
    <row r="10" spans="1:29" x14ac:dyDescent="0.2">
      <c r="A10" s="7" t="s">
        <v>37</v>
      </c>
      <c r="B10" s="168">
        <v>11</v>
      </c>
      <c r="C10" s="168">
        <v>16</v>
      </c>
      <c r="D10" s="168">
        <v>7</v>
      </c>
      <c r="E10" s="168">
        <v>3</v>
      </c>
      <c r="F10" s="168">
        <v>37</v>
      </c>
      <c r="G10"/>
      <c r="H10"/>
      <c r="I10"/>
      <c r="J10" s="7" t="s">
        <v>37</v>
      </c>
      <c r="K10" s="169">
        <v>13</v>
      </c>
      <c r="L10" s="169">
        <v>21</v>
      </c>
      <c r="M10" s="168">
        <v>21</v>
      </c>
      <c r="N10" s="168">
        <v>7</v>
      </c>
      <c r="O10" s="168">
        <v>9</v>
      </c>
      <c r="P10" s="168">
        <v>4</v>
      </c>
      <c r="Q10" s="168">
        <f t="shared" si="0"/>
        <v>41</v>
      </c>
      <c r="R10" s="168">
        <f t="shared" si="1"/>
        <v>54</v>
      </c>
      <c r="S10" s="190">
        <f t="shared" si="2"/>
        <v>0.3888888888888889</v>
      </c>
      <c r="Z10" s="107"/>
      <c r="AA10" s="107"/>
      <c r="AB10" s="107"/>
      <c r="AC10" s="107"/>
    </row>
    <row r="11" spans="1:29" x14ac:dyDescent="0.2">
      <c r="A11" s="7" t="s">
        <v>359</v>
      </c>
      <c r="B11" s="168">
        <v>1</v>
      </c>
      <c r="C11" s="168">
        <v>2</v>
      </c>
      <c r="D11" s="168"/>
      <c r="E11" s="168"/>
      <c r="F11" s="168">
        <v>3</v>
      </c>
      <c r="G11"/>
      <c r="H11"/>
      <c r="I11"/>
      <c r="J11" s="7" t="s">
        <v>359</v>
      </c>
      <c r="K11" s="169">
        <v>0</v>
      </c>
      <c r="L11" s="169">
        <v>2</v>
      </c>
      <c r="M11" s="168">
        <v>2</v>
      </c>
      <c r="N11" s="168">
        <v>3</v>
      </c>
      <c r="O11" s="168"/>
      <c r="P11" s="168">
        <v>1</v>
      </c>
      <c r="Q11" s="168">
        <f t="shared" si="0"/>
        <v>6</v>
      </c>
      <c r="R11" s="168">
        <f t="shared" si="1"/>
        <v>6</v>
      </c>
      <c r="S11" s="190">
        <f t="shared" si="2"/>
        <v>0.33333333333333331</v>
      </c>
      <c r="Z11" s="107"/>
      <c r="AA11" s="107"/>
      <c r="AB11" s="107"/>
      <c r="AC11" s="107"/>
    </row>
    <row r="12" spans="1:29" x14ac:dyDescent="0.2">
      <c r="A12" s="7" t="s">
        <v>146</v>
      </c>
      <c r="B12" s="168"/>
      <c r="C12" s="168"/>
      <c r="D12" s="168">
        <v>1</v>
      </c>
      <c r="E12" s="168"/>
      <c r="F12" s="168">
        <v>1</v>
      </c>
      <c r="G12"/>
      <c r="H12"/>
      <c r="I12"/>
      <c r="J12" s="7" t="s">
        <v>146</v>
      </c>
      <c r="K12" s="169">
        <v>1</v>
      </c>
      <c r="L12" s="169"/>
      <c r="M12" s="168"/>
      <c r="N12" s="168"/>
      <c r="O12" s="168">
        <v>1</v>
      </c>
      <c r="P12" s="168"/>
      <c r="Q12" s="168">
        <f t="shared" si="0"/>
        <v>1</v>
      </c>
      <c r="R12" s="168">
        <f t="shared" si="1"/>
        <v>2</v>
      </c>
      <c r="S12" s="190">
        <f t="shared" si="2"/>
        <v>0</v>
      </c>
      <c r="Z12" s="107"/>
      <c r="AA12" s="107"/>
      <c r="AB12" s="107"/>
      <c r="AC12" s="107"/>
    </row>
    <row r="13" spans="1:29" x14ac:dyDescent="0.2">
      <c r="A13" s="178" t="s">
        <v>2020</v>
      </c>
      <c r="B13" s="168">
        <v>28</v>
      </c>
      <c r="C13" s="168">
        <v>32</v>
      </c>
      <c r="D13" s="168">
        <v>21</v>
      </c>
      <c r="E13" s="168">
        <v>5</v>
      </c>
      <c r="F13" s="168">
        <v>86</v>
      </c>
      <c r="G13"/>
      <c r="H13"/>
      <c r="I13"/>
      <c r="J13" s="170" t="s">
        <v>2020</v>
      </c>
      <c r="K13" s="171">
        <f t="shared" ref="K13:R13" si="3">SUM(K8:K12)</f>
        <v>23</v>
      </c>
      <c r="L13" s="171">
        <f t="shared" si="3"/>
        <v>44</v>
      </c>
      <c r="M13" s="171">
        <f t="shared" si="3"/>
        <v>44</v>
      </c>
      <c r="N13" s="171">
        <f t="shared" si="3"/>
        <v>18</v>
      </c>
      <c r="O13" s="171">
        <f t="shared" si="3"/>
        <v>23</v>
      </c>
      <c r="P13" s="171">
        <f t="shared" si="3"/>
        <v>8</v>
      </c>
      <c r="Q13" s="171">
        <f t="shared" si="3"/>
        <v>93</v>
      </c>
      <c r="R13" s="171">
        <f t="shared" si="3"/>
        <v>116</v>
      </c>
      <c r="S13" s="196">
        <f>L13/R13</f>
        <v>0.37931034482758619</v>
      </c>
      <c r="Z13" s="107"/>
      <c r="AA13" s="107"/>
      <c r="AB13" s="107"/>
      <c r="AC13" s="107"/>
    </row>
    <row r="14" spans="1:29" x14ac:dyDescent="0.2">
      <c r="B14"/>
      <c r="C14"/>
      <c r="D14"/>
      <c r="E14"/>
      <c r="F14"/>
      <c r="G14"/>
      <c r="H14"/>
      <c r="I14"/>
      <c r="J14"/>
      <c r="K14"/>
      <c r="L14"/>
      <c r="M14"/>
      <c r="N14"/>
      <c r="O14"/>
    </row>
    <row r="15" spans="1:29" x14ac:dyDescent="0.2">
      <c r="B15"/>
      <c r="C15"/>
      <c r="D15"/>
      <c r="E15"/>
      <c r="F15"/>
      <c r="G15"/>
      <c r="H15"/>
      <c r="I15"/>
      <c r="J15"/>
      <c r="K15"/>
      <c r="L15"/>
      <c r="M15"/>
      <c r="N15"/>
      <c r="O15"/>
    </row>
    <row r="16" spans="1:29" ht="24" x14ac:dyDescent="0.3">
      <c r="A16" s="297" t="s">
        <v>2049</v>
      </c>
      <c r="B16"/>
      <c r="C16"/>
      <c r="D16"/>
      <c r="E16"/>
      <c r="F16"/>
      <c r="G16"/>
      <c r="H16"/>
      <c r="I16"/>
      <c r="J16"/>
      <c r="K16"/>
      <c r="L16"/>
      <c r="M16"/>
      <c r="N16"/>
      <c r="O16"/>
    </row>
    <row r="17" spans="1:26" x14ac:dyDescent="0.2">
      <c r="B17"/>
      <c r="C17"/>
      <c r="D17"/>
      <c r="E17"/>
      <c r="F17"/>
      <c r="G17"/>
      <c r="H17"/>
      <c r="I17"/>
      <c r="J17"/>
      <c r="K17"/>
      <c r="L17"/>
      <c r="M17"/>
      <c r="N17"/>
      <c r="O17"/>
    </row>
    <row r="18" spans="1:26" x14ac:dyDescent="0.2">
      <c r="A18" s="109" t="s">
        <v>4</v>
      </c>
      <c r="B18" s="107" t="s">
        <v>34</v>
      </c>
      <c r="I18"/>
      <c r="J18"/>
      <c r="K18"/>
      <c r="L18"/>
      <c r="M18"/>
      <c r="N18"/>
      <c r="O18"/>
    </row>
    <row r="19" spans="1:26" x14ac:dyDescent="0.2">
      <c r="I19"/>
      <c r="J19"/>
      <c r="K19"/>
      <c r="L19"/>
      <c r="M19"/>
      <c r="N19"/>
      <c r="O19"/>
    </row>
    <row r="20" spans="1:26" x14ac:dyDescent="0.2">
      <c r="A20" s="6" t="s">
        <v>2017</v>
      </c>
      <c r="B20" s="109" t="s">
        <v>2018</v>
      </c>
      <c r="I20"/>
      <c r="J20"/>
      <c r="K20"/>
      <c r="L20"/>
      <c r="M20"/>
      <c r="N20"/>
      <c r="O20"/>
    </row>
    <row r="21" spans="1:26" ht="17" x14ac:dyDescent="0.2">
      <c r="B21" s="107" t="s">
        <v>61</v>
      </c>
      <c r="G21" s="107" t="s">
        <v>2022</v>
      </c>
      <c r="H21" s="177" t="s">
        <v>2020</v>
      </c>
      <c r="I21"/>
      <c r="J21"/>
      <c r="K21" s="390" t="s">
        <v>7</v>
      </c>
      <c r="L21" s="393" t="s">
        <v>2050</v>
      </c>
      <c r="M21" s="390" t="s">
        <v>62</v>
      </c>
      <c r="N21" s="390" t="s">
        <v>481</v>
      </c>
      <c r="O21" s="390" t="s">
        <v>2024</v>
      </c>
      <c r="P21" s="397" t="s">
        <v>2025</v>
      </c>
      <c r="Q21" s="397" t="s">
        <v>2026</v>
      </c>
      <c r="R21" s="399" t="s">
        <v>2027</v>
      </c>
      <c r="S21" s="395" t="s">
        <v>2028</v>
      </c>
      <c r="T21" s="395" t="s">
        <v>2029</v>
      </c>
      <c r="Z21" s="107"/>
    </row>
    <row r="22" spans="1:26" x14ac:dyDescent="0.2">
      <c r="A22" s="109" t="s">
        <v>7</v>
      </c>
      <c r="B22" s="107" t="s">
        <v>39</v>
      </c>
      <c r="C22" s="107" t="s">
        <v>62</v>
      </c>
      <c r="D22" s="107" t="s">
        <v>2023</v>
      </c>
      <c r="E22" s="107" t="s">
        <v>481</v>
      </c>
      <c r="F22" t="s">
        <v>534</v>
      </c>
      <c r="H22" s="177"/>
      <c r="I22"/>
      <c r="J22"/>
      <c r="K22" s="391"/>
      <c r="L22" s="394"/>
      <c r="M22" s="401"/>
      <c r="N22" s="401"/>
      <c r="O22" s="401"/>
      <c r="P22" s="398"/>
      <c r="Q22" s="398"/>
      <c r="R22" s="400"/>
      <c r="S22" s="396"/>
      <c r="T22" s="396"/>
      <c r="Z22" s="107"/>
    </row>
    <row r="23" spans="1:26" x14ac:dyDescent="0.2">
      <c r="A23" s="7" t="s">
        <v>60</v>
      </c>
      <c r="B23" s="168">
        <v>5</v>
      </c>
      <c r="C23" s="168">
        <v>1</v>
      </c>
      <c r="D23" s="168"/>
      <c r="E23" s="168"/>
      <c r="F23" s="168"/>
      <c r="G23" s="168">
        <v>6</v>
      </c>
      <c r="H23" s="168">
        <v>6</v>
      </c>
      <c r="I23"/>
      <c r="J23"/>
      <c r="K23" s="7" t="s">
        <v>60</v>
      </c>
      <c r="L23" s="169">
        <v>5</v>
      </c>
      <c r="M23" s="168"/>
      <c r="N23" s="168"/>
      <c r="O23" s="168">
        <v>1</v>
      </c>
      <c r="P23" s="296">
        <f>SUM(M23:O23)</f>
        <v>1</v>
      </c>
      <c r="Q23" s="296"/>
      <c r="R23" s="168">
        <f>P23+Q23</f>
        <v>1</v>
      </c>
      <c r="S23" s="168">
        <f>L23+R23</f>
        <v>6</v>
      </c>
      <c r="T23" s="190">
        <f>L23/S23</f>
        <v>0.83333333333333337</v>
      </c>
      <c r="Z23" s="107"/>
    </row>
    <row r="24" spans="1:26" x14ac:dyDescent="0.2">
      <c r="A24" s="7" t="s">
        <v>50</v>
      </c>
      <c r="B24" s="168">
        <v>9</v>
      </c>
      <c r="C24" s="168">
        <v>7</v>
      </c>
      <c r="D24" s="168">
        <v>6</v>
      </c>
      <c r="E24" s="168">
        <v>1</v>
      </c>
      <c r="F24" s="168">
        <v>1</v>
      </c>
      <c r="G24" s="168">
        <v>24</v>
      </c>
      <c r="H24" s="168">
        <v>24</v>
      </c>
      <c r="I24"/>
      <c r="J24"/>
      <c r="K24" s="7" t="s">
        <v>50</v>
      </c>
      <c r="L24" s="169">
        <v>4</v>
      </c>
      <c r="M24" s="168">
        <v>14</v>
      </c>
      <c r="N24" s="168">
        <v>3</v>
      </c>
      <c r="O24" s="168"/>
      <c r="P24" s="296">
        <f>SUM(M24:O24)</f>
        <v>17</v>
      </c>
      <c r="Q24" s="296">
        <v>3</v>
      </c>
      <c r="R24" s="168">
        <f t="shared" ref="R24:R27" si="4">P24+Q24</f>
        <v>20</v>
      </c>
      <c r="S24" s="168">
        <f t="shared" ref="S24:S27" si="5">L24+R24</f>
        <v>24</v>
      </c>
      <c r="T24" s="190">
        <f t="shared" ref="T24:T27" si="6">L24/S24</f>
        <v>0.16666666666666666</v>
      </c>
      <c r="Z24" s="107"/>
    </row>
    <row r="25" spans="1:26" x14ac:dyDescent="0.2">
      <c r="A25" s="7" t="s">
        <v>37</v>
      </c>
      <c r="B25" s="168">
        <v>13</v>
      </c>
      <c r="C25" s="168">
        <v>5</v>
      </c>
      <c r="D25" s="168">
        <v>5</v>
      </c>
      <c r="E25" s="168"/>
      <c r="F25" s="168">
        <v>1</v>
      </c>
      <c r="G25" s="168">
        <v>24</v>
      </c>
      <c r="H25" s="168">
        <v>24</v>
      </c>
      <c r="I25"/>
      <c r="J25"/>
      <c r="K25" s="7" t="s">
        <v>37</v>
      </c>
      <c r="L25" s="169">
        <v>13</v>
      </c>
      <c r="M25" s="168">
        <v>9</v>
      </c>
      <c r="N25" s="168">
        <v>1</v>
      </c>
      <c r="O25" s="168"/>
      <c r="P25" s="296">
        <f>SUM(M25:O25)</f>
        <v>10</v>
      </c>
      <c r="Q25" s="296">
        <v>11</v>
      </c>
      <c r="R25" s="168">
        <f t="shared" si="4"/>
        <v>21</v>
      </c>
      <c r="S25" s="168">
        <f t="shared" si="5"/>
        <v>34</v>
      </c>
      <c r="T25" s="190">
        <f t="shared" si="6"/>
        <v>0.38235294117647056</v>
      </c>
      <c r="Z25" s="107"/>
    </row>
    <row r="26" spans="1:26" x14ac:dyDescent="0.2">
      <c r="A26" s="7" t="s">
        <v>359</v>
      </c>
      <c r="B26" s="168">
        <v>1</v>
      </c>
      <c r="C26" s="168">
        <v>1</v>
      </c>
      <c r="D26" s="168"/>
      <c r="E26" s="168"/>
      <c r="F26" s="168"/>
      <c r="G26" s="168">
        <v>2</v>
      </c>
      <c r="H26" s="168">
        <v>2</v>
      </c>
      <c r="I26"/>
      <c r="J26"/>
      <c r="K26" s="7" t="s">
        <v>359</v>
      </c>
      <c r="L26" s="169"/>
      <c r="M26" s="168"/>
      <c r="N26" s="168">
        <v>1</v>
      </c>
      <c r="O26" s="168"/>
      <c r="P26" s="296">
        <f>SUM(M26:O26)</f>
        <v>1</v>
      </c>
      <c r="Q26" s="296">
        <v>1</v>
      </c>
      <c r="R26" s="168">
        <f t="shared" si="4"/>
        <v>2</v>
      </c>
      <c r="S26" s="168">
        <f t="shared" si="5"/>
        <v>2</v>
      </c>
      <c r="T26" s="190">
        <f t="shared" si="6"/>
        <v>0</v>
      </c>
      <c r="Z26" s="107"/>
    </row>
    <row r="27" spans="1:26" x14ac:dyDescent="0.2">
      <c r="A27" s="7" t="s">
        <v>146</v>
      </c>
      <c r="B27" s="168">
        <v>1</v>
      </c>
      <c r="C27" s="168"/>
      <c r="D27" s="168"/>
      <c r="E27" s="168"/>
      <c r="F27" s="168"/>
      <c r="G27" s="168">
        <v>1</v>
      </c>
      <c r="H27" s="168">
        <v>1</v>
      </c>
      <c r="I27"/>
      <c r="J27"/>
      <c r="K27" s="7" t="s">
        <v>146</v>
      </c>
      <c r="L27" s="169">
        <v>1</v>
      </c>
      <c r="M27" s="168"/>
      <c r="N27" s="168"/>
      <c r="O27" s="168"/>
      <c r="P27" s="296">
        <f>SUM(M27:O27)</f>
        <v>0</v>
      </c>
      <c r="Q27" s="296"/>
      <c r="R27" s="168">
        <f t="shared" si="4"/>
        <v>0</v>
      </c>
      <c r="S27" s="168">
        <f t="shared" si="5"/>
        <v>1</v>
      </c>
      <c r="T27" s="190">
        <f t="shared" si="6"/>
        <v>1</v>
      </c>
      <c r="Z27" s="107"/>
    </row>
    <row r="28" spans="1:26" x14ac:dyDescent="0.2">
      <c r="A28" s="178" t="s">
        <v>2020</v>
      </c>
      <c r="B28" s="168">
        <v>29</v>
      </c>
      <c r="C28" s="168">
        <v>14</v>
      </c>
      <c r="D28" s="168">
        <v>11</v>
      </c>
      <c r="E28" s="168">
        <v>1</v>
      </c>
      <c r="F28" s="168">
        <v>2</v>
      </c>
      <c r="G28" s="168">
        <v>57</v>
      </c>
      <c r="H28" s="168">
        <v>57</v>
      </c>
      <c r="I28"/>
      <c r="J28"/>
      <c r="K28" s="170" t="s">
        <v>2020</v>
      </c>
      <c r="L28" s="171">
        <f t="shared" ref="L28:S28" si="7">SUM(L23:L27)</f>
        <v>23</v>
      </c>
      <c r="M28" s="171">
        <f t="shared" si="7"/>
        <v>23</v>
      </c>
      <c r="N28" s="171">
        <f t="shared" si="7"/>
        <v>5</v>
      </c>
      <c r="O28" s="171">
        <f t="shared" si="7"/>
        <v>1</v>
      </c>
      <c r="P28" s="171">
        <f t="shared" si="7"/>
        <v>29</v>
      </c>
      <c r="Q28" s="171">
        <f t="shared" si="7"/>
        <v>15</v>
      </c>
      <c r="R28" s="171">
        <f t="shared" si="7"/>
        <v>44</v>
      </c>
      <c r="S28" s="171">
        <f t="shared" si="7"/>
        <v>67</v>
      </c>
      <c r="T28" s="196">
        <f>L28/S28</f>
        <v>0.34328358208955223</v>
      </c>
      <c r="Z28" s="107"/>
    </row>
    <row r="29" spans="1:26" x14ac:dyDescent="0.2">
      <c r="B29"/>
      <c r="C29"/>
      <c r="D29"/>
      <c r="E29"/>
      <c r="F29"/>
      <c r="G29"/>
      <c r="H29"/>
      <c r="I29"/>
      <c r="J29"/>
      <c r="K29"/>
      <c r="L29"/>
      <c r="M29"/>
      <c r="N29"/>
      <c r="O29"/>
    </row>
    <row r="30" spans="1:26" x14ac:dyDescent="0.2">
      <c r="B30"/>
      <c r="C30"/>
      <c r="D30"/>
      <c r="E30"/>
      <c r="F30"/>
      <c r="G30"/>
      <c r="H30"/>
      <c r="I30"/>
      <c r="J30"/>
      <c r="K30"/>
      <c r="L30"/>
      <c r="M30"/>
      <c r="N30"/>
      <c r="O30"/>
    </row>
    <row r="31" spans="1:26" ht="24" x14ac:dyDescent="0.3">
      <c r="A31" s="297" t="s">
        <v>2051</v>
      </c>
      <c r="B31"/>
      <c r="C31"/>
      <c r="D31"/>
      <c r="E31"/>
      <c r="F31"/>
      <c r="G31"/>
      <c r="H31"/>
      <c r="I31"/>
      <c r="J31"/>
      <c r="K31" s="297" t="s">
        <v>2052</v>
      </c>
      <c r="L31"/>
      <c r="M31"/>
      <c r="N31"/>
      <c r="O31"/>
    </row>
    <row r="32" spans="1:26" x14ac:dyDescent="0.2">
      <c r="B32"/>
      <c r="C32"/>
      <c r="D32"/>
      <c r="E32"/>
      <c r="F32"/>
      <c r="G32"/>
      <c r="H32"/>
      <c r="I32"/>
      <c r="J32"/>
      <c r="K32"/>
      <c r="L32"/>
      <c r="M32"/>
      <c r="N32"/>
      <c r="O32"/>
    </row>
    <row r="33" spans="1:17" x14ac:dyDescent="0.2">
      <c r="A33" s="109" t="s">
        <v>4</v>
      </c>
      <c r="B33" s="107" t="s">
        <v>34</v>
      </c>
      <c r="G33"/>
      <c r="H33"/>
      <c r="I33"/>
      <c r="J33"/>
      <c r="K33" s="109" t="s">
        <v>4</v>
      </c>
      <c r="L33" s="107" t="s">
        <v>34</v>
      </c>
      <c r="Q33"/>
    </row>
    <row r="34" spans="1:17" x14ac:dyDescent="0.2">
      <c r="A34" s="109" t="s">
        <v>9</v>
      </c>
      <c r="B34" t="s">
        <v>2030</v>
      </c>
      <c r="G34"/>
      <c r="H34"/>
      <c r="I34"/>
      <c r="J34"/>
      <c r="K34" s="109" t="s">
        <v>9</v>
      </c>
      <c r="L34" t="s">
        <v>2030</v>
      </c>
      <c r="Q34"/>
    </row>
    <row r="35" spans="1:17" x14ac:dyDescent="0.2">
      <c r="G35"/>
      <c r="H35"/>
      <c r="I35"/>
      <c r="J35"/>
      <c r="K35"/>
      <c r="Q35"/>
    </row>
    <row r="36" spans="1:17" x14ac:dyDescent="0.2">
      <c r="A36" s="6" t="s">
        <v>2017</v>
      </c>
      <c r="B36" s="109" t="s">
        <v>2018</v>
      </c>
      <c r="H36"/>
      <c r="I36"/>
      <c r="J36"/>
      <c r="K36" s="6" t="s">
        <v>2017</v>
      </c>
      <c r="L36" s="109" t="s">
        <v>2018</v>
      </c>
    </row>
    <row r="37" spans="1:17" ht="17" x14ac:dyDescent="0.2">
      <c r="A37" s="6" t="s">
        <v>7</v>
      </c>
      <c r="B37" s="107" t="s">
        <v>60</v>
      </c>
      <c r="C37" s="107" t="s">
        <v>50</v>
      </c>
      <c r="D37" s="107" t="s">
        <v>37</v>
      </c>
      <c r="E37" t="s">
        <v>359</v>
      </c>
      <c r="F37" s="107" t="s">
        <v>146</v>
      </c>
      <c r="G37" s="177" t="s">
        <v>2020</v>
      </c>
      <c r="H37"/>
      <c r="I37"/>
      <c r="J37"/>
      <c r="K37" s="6" t="s">
        <v>7</v>
      </c>
      <c r="L37" s="107" t="s">
        <v>60</v>
      </c>
      <c r="M37" s="107" t="s">
        <v>50</v>
      </c>
      <c r="N37" s="107" t="s">
        <v>37</v>
      </c>
      <c r="O37" s="107" t="s">
        <v>359</v>
      </c>
      <c r="P37" s="107" t="s">
        <v>146</v>
      </c>
      <c r="Q37" s="177" t="s">
        <v>2020</v>
      </c>
    </row>
    <row r="38" spans="1:17" x14ac:dyDescent="0.2">
      <c r="A38" s="7" t="s">
        <v>81</v>
      </c>
      <c r="B38" s="168">
        <v>1</v>
      </c>
      <c r="C38" s="168">
        <v>1</v>
      </c>
      <c r="D38" s="168">
        <v>8</v>
      </c>
      <c r="E38" s="168"/>
      <c r="F38" s="168"/>
      <c r="G38" s="168">
        <v>10</v>
      </c>
      <c r="H38"/>
      <c r="I38"/>
      <c r="J38"/>
      <c r="K38" s="7" t="s">
        <v>81</v>
      </c>
      <c r="L38" s="168"/>
      <c r="M38" s="168"/>
      <c r="N38" s="168">
        <v>4</v>
      </c>
      <c r="O38" s="168"/>
      <c r="P38" s="168"/>
      <c r="Q38" s="168">
        <v>4</v>
      </c>
    </row>
    <row r="39" spans="1:17" x14ac:dyDescent="0.2">
      <c r="A39" s="7" t="s">
        <v>197</v>
      </c>
      <c r="B39" s="168"/>
      <c r="C39" s="168">
        <v>3</v>
      </c>
      <c r="D39" s="168">
        <v>8</v>
      </c>
      <c r="E39" s="168"/>
      <c r="F39" s="168"/>
      <c r="G39" s="168">
        <v>11</v>
      </c>
      <c r="H39"/>
      <c r="I39"/>
      <c r="J39"/>
      <c r="K39" s="7" t="s">
        <v>197</v>
      </c>
      <c r="L39" s="168">
        <v>1</v>
      </c>
      <c r="M39" s="168">
        <v>2</v>
      </c>
      <c r="N39" s="168">
        <v>2</v>
      </c>
      <c r="O39" s="168"/>
      <c r="P39" s="168"/>
      <c r="Q39" s="168">
        <v>5</v>
      </c>
    </row>
    <row r="40" spans="1:17" x14ac:dyDescent="0.2">
      <c r="A40" s="7" t="s">
        <v>117</v>
      </c>
      <c r="B40" s="168">
        <v>2</v>
      </c>
      <c r="C40" s="168">
        <v>6</v>
      </c>
      <c r="D40" s="168">
        <v>22</v>
      </c>
      <c r="E40" s="168"/>
      <c r="F40" s="168"/>
      <c r="G40" s="168">
        <v>30</v>
      </c>
      <c r="H40"/>
      <c r="I40"/>
      <c r="J40"/>
      <c r="K40" s="7" t="s">
        <v>117</v>
      </c>
      <c r="L40" s="168"/>
      <c r="M40" s="168">
        <v>6</v>
      </c>
      <c r="N40" s="168">
        <v>5</v>
      </c>
      <c r="O40" s="168">
        <v>1</v>
      </c>
      <c r="P40" s="168"/>
      <c r="Q40" s="168">
        <v>12</v>
      </c>
    </row>
    <row r="41" spans="1:17" x14ac:dyDescent="0.2">
      <c r="A41" s="7" t="s">
        <v>138</v>
      </c>
      <c r="B41" s="168"/>
      <c r="C41" s="168">
        <v>4</v>
      </c>
      <c r="D41" s="168">
        <v>11</v>
      </c>
      <c r="E41" s="168"/>
      <c r="F41" s="168"/>
      <c r="G41" s="168">
        <v>15</v>
      </c>
      <c r="H41"/>
      <c r="I41"/>
      <c r="J41"/>
      <c r="K41" s="7" t="s">
        <v>138</v>
      </c>
      <c r="L41" s="168"/>
      <c r="M41" s="168">
        <v>3</v>
      </c>
      <c r="N41" s="168">
        <v>10</v>
      </c>
      <c r="O41" s="168">
        <v>1</v>
      </c>
      <c r="P41" s="168"/>
      <c r="Q41" s="168">
        <v>14</v>
      </c>
    </row>
    <row r="42" spans="1:17" x14ac:dyDescent="0.2">
      <c r="A42" s="7" t="s">
        <v>98</v>
      </c>
      <c r="B42" s="168">
        <v>2</v>
      </c>
      <c r="C42" s="168">
        <v>6</v>
      </c>
      <c r="D42" s="168">
        <v>15</v>
      </c>
      <c r="E42" s="168">
        <v>1</v>
      </c>
      <c r="F42" s="168">
        <v>1</v>
      </c>
      <c r="G42" s="168">
        <v>25</v>
      </c>
      <c r="H42"/>
      <c r="I42"/>
      <c r="J42"/>
      <c r="K42" s="7" t="s">
        <v>98</v>
      </c>
      <c r="L42" s="168">
        <v>3</v>
      </c>
      <c r="M42" s="168">
        <v>7</v>
      </c>
      <c r="N42" s="168">
        <v>6</v>
      </c>
      <c r="O42" s="168"/>
      <c r="P42" s="168">
        <v>1</v>
      </c>
      <c r="Q42" s="168">
        <v>17</v>
      </c>
    </row>
    <row r="43" spans="1:17" x14ac:dyDescent="0.2">
      <c r="A43" s="7" t="s">
        <v>58</v>
      </c>
      <c r="B43" s="168"/>
      <c r="C43" s="168">
        <v>11</v>
      </c>
      <c r="D43" s="168">
        <v>20</v>
      </c>
      <c r="E43" s="168"/>
      <c r="F43" s="168">
        <v>2</v>
      </c>
      <c r="G43" s="168">
        <v>33</v>
      </c>
      <c r="H43"/>
      <c r="I43"/>
      <c r="J43"/>
      <c r="K43" s="7" t="s">
        <v>58</v>
      </c>
      <c r="L43" s="168">
        <v>1</v>
      </c>
      <c r="M43" s="168">
        <v>5</v>
      </c>
      <c r="N43" s="168">
        <v>6</v>
      </c>
      <c r="O43" s="168">
        <v>1</v>
      </c>
      <c r="P43" s="168"/>
      <c r="Q43" s="168">
        <v>13</v>
      </c>
    </row>
    <row r="44" spans="1:17" x14ac:dyDescent="0.2">
      <c r="A44" s="7" t="s">
        <v>48</v>
      </c>
      <c r="B44" s="168"/>
      <c r="C44" s="168">
        <v>4</v>
      </c>
      <c r="D44" s="168">
        <v>5</v>
      </c>
      <c r="E44" s="168"/>
      <c r="F44" s="168">
        <v>2</v>
      </c>
      <c r="G44" s="168">
        <v>11</v>
      </c>
      <c r="H44"/>
      <c r="I44"/>
      <c r="J44"/>
      <c r="K44" s="7" t="s">
        <v>48</v>
      </c>
      <c r="L44" s="168">
        <v>4</v>
      </c>
      <c r="M44" s="168">
        <v>4</v>
      </c>
      <c r="N44" s="168">
        <v>3</v>
      </c>
      <c r="O44" s="168"/>
      <c r="P44" s="168"/>
      <c r="Q44" s="168">
        <v>11</v>
      </c>
    </row>
    <row r="45" spans="1:17" x14ac:dyDescent="0.2">
      <c r="A45" s="7" t="s">
        <v>105</v>
      </c>
      <c r="B45" s="168">
        <v>3</v>
      </c>
      <c r="C45" s="168">
        <v>10</v>
      </c>
      <c r="D45" s="168">
        <v>13</v>
      </c>
      <c r="E45" s="168"/>
      <c r="F45" s="168"/>
      <c r="G45" s="168">
        <v>26</v>
      </c>
      <c r="H45"/>
      <c r="I45"/>
      <c r="J45"/>
      <c r="K45" s="7" t="s">
        <v>105</v>
      </c>
      <c r="L45" s="168"/>
      <c r="M45" s="168">
        <v>8</v>
      </c>
      <c r="N45" s="168"/>
      <c r="O45" s="168"/>
      <c r="P45" s="168"/>
      <c r="Q45" s="168">
        <v>8</v>
      </c>
    </row>
    <row r="46" spans="1:17" x14ac:dyDescent="0.2">
      <c r="A46" s="7" t="s">
        <v>35</v>
      </c>
      <c r="B46" s="168">
        <v>1</v>
      </c>
      <c r="C46" s="168">
        <v>3</v>
      </c>
      <c r="D46" s="168">
        <v>5</v>
      </c>
      <c r="E46" s="168"/>
      <c r="F46" s="168"/>
      <c r="G46" s="168">
        <v>9</v>
      </c>
      <c r="H46"/>
      <c r="I46"/>
      <c r="J46"/>
      <c r="K46" s="178" t="s">
        <v>2020</v>
      </c>
      <c r="L46" s="168">
        <v>9</v>
      </c>
      <c r="M46" s="168">
        <v>35</v>
      </c>
      <c r="N46" s="168">
        <v>36</v>
      </c>
      <c r="O46" s="168">
        <v>3</v>
      </c>
      <c r="P46" s="168">
        <v>1</v>
      </c>
      <c r="Q46" s="168">
        <v>84</v>
      </c>
    </row>
    <row r="47" spans="1:17" x14ac:dyDescent="0.2">
      <c r="A47" s="178" t="s">
        <v>2020</v>
      </c>
      <c r="B47" s="168">
        <v>9</v>
      </c>
      <c r="C47" s="168">
        <v>48</v>
      </c>
      <c r="D47" s="168">
        <v>107</v>
      </c>
      <c r="E47" s="168">
        <v>1</v>
      </c>
      <c r="F47" s="168">
        <v>5</v>
      </c>
      <c r="G47" s="168">
        <v>170</v>
      </c>
      <c r="H47"/>
      <c r="I47"/>
      <c r="J47"/>
      <c r="K47"/>
      <c r="L47"/>
      <c r="M47"/>
      <c r="N47"/>
      <c r="O47"/>
      <c r="P47"/>
      <c r="Q47"/>
    </row>
    <row r="48" spans="1:17" x14ac:dyDescent="0.2">
      <c r="B48"/>
      <c r="C48"/>
      <c r="D48"/>
      <c r="E48"/>
      <c r="F48"/>
      <c r="G48"/>
      <c r="H48"/>
      <c r="I48"/>
      <c r="J48"/>
      <c r="K48"/>
      <c r="L48"/>
      <c r="M48"/>
      <c r="N48"/>
      <c r="O48"/>
    </row>
    <row r="49" spans="2:15" x14ac:dyDescent="0.2">
      <c r="B49"/>
      <c r="C49"/>
      <c r="D49"/>
      <c r="E49"/>
      <c r="F49"/>
      <c r="G49"/>
      <c r="H49"/>
      <c r="I49"/>
      <c r="J49"/>
      <c r="K49"/>
      <c r="L49"/>
      <c r="M49"/>
      <c r="N49"/>
      <c r="O49"/>
    </row>
    <row r="50" spans="2:15" x14ac:dyDescent="0.2">
      <c r="B50"/>
      <c r="C50"/>
      <c r="D50"/>
      <c r="E50"/>
      <c r="F50"/>
      <c r="G50"/>
    </row>
    <row r="51" spans="2:15" x14ac:dyDescent="0.2">
      <c r="B51"/>
      <c r="C51"/>
      <c r="D51"/>
      <c r="E51"/>
      <c r="F51"/>
      <c r="G51"/>
    </row>
    <row r="52" spans="2:15" x14ac:dyDescent="0.2">
      <c r="B52"/>
      <c r="C52"/>
      <c r="D52"/>
      <c r="E52"/>
      <c r="F52"/>
      <c r="G52"/>
    </row>
    <row r="53" spans="2:15" x14ac:dyDescent="0.2">
      <c r="B53"/>
      <c r="C53"/>
      <c r="D53"/>
      <c r="E53"/>
      <c r="F53"/>
      <c r="G53"/>
    </row>
    <row r="54" spans="2:15" x14ac:dyDescent="0.2">
      <c r="B54"/>
      <c r="C54"/>
      <c r="D54"/>
      <c r="E54"/>
      <c r="F54"/>
      <c r="G54"/>
    </row>
  </sheetData>
  <mergeCells count="16">
    <mergeCell ref="K21:K22"/>
    <mergeCell ref="L21:L22"/>
    <mergeCell ref="S21:S22"/>
    <mergeCell ref="T21:T22"/>
    <mergeCell ref="Q21:Q22"/>
    <mergeCell ref="P21:P22"/>
    <mergeCell ref="R21:R22"/>
    <mergeCell ref="M21:M22"/>
    <mergeCell ref="N21:N22"/>
    <mergeCell ref="O21:O22"/>
    <mergeCell ref="J6:J7"/>
    <mergeCell ref="Q6:Q7"/>
    <mergeCell ref="R6:R7"/>
    <mergeCell ref="S6:S7"/>
    <mergeCell ref="M6:P6"/>
    <mergeCell ref="K6:L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B830-3F35-BE40-8382-D077BB58C3B9}">
  <dimension ref="A1:AE146"/>
  <sheetViews>
    <sheetView topLeftCell="A107" zoomScale="110" zoomScaleNormal="110" workbookViewId="0">
      <selection activeCell="K115" sqref="K115"/>
    </sheetView>
  </sheetViews>
  <sheetFormatPr baseColWidth="10" defaultColWidth="11" defaultRowHeight="16" x14ac:dyDescent="0.2"/>
  <cols>
    <col min="1" max="1" width="17" bestFit="1" customWidth="1"/>
    <col min="2" max="2" width="18.33203125" style="107" bestFit="1" customWidth="1"/>
    <col min="3" max="3" width="5.6640625" style="107" bestFit="1" customWidth="1"/>
    <col min="4" max="4" width="6.83203125" style="107" bestFit="1" customWidth="1"/>
    <col min="5" max="5" width="4.33203125" style="107" bestFit="1" customWidth="1"/>
    <col min="6" max="6" width="7" style="107" bestFit="1" customWidth="1"/>
    <col min="7" max="7" width="10.5" style="107" bestFit="1" customWidth="1"/>
    <col min="8" max="12" width="10.5" style="107" customWidth="1"/>
    <col min="13" max="13" width="16.6640625" style="107" customWidth="1"/>
    <col min="14" max="14" width="10.5" style="107" bestFit="1" customWidth="1"/>
    <col min="15" max="15" width="14.5" style="107" customWidth="1"/>
    <col min="16" max="16" width="16.6640625" style="107" customWidth="1"/>
    <col min="17" max="17" width="13.33203125" style="107" customWidth="1"/>
    <col min="18" max="18" width="13.1640625" style="107" customWidth="1"/>
    <col min="19" max="19" width="16.6640625" style="107" customWidth="1"/>
    <col min="20" max="20" width="11.5" style="107" customWidth="1"/>
    <col min="21" max="21" width="10.1640625" style="107" customWidth="1"/>
    <col min="22" max="22" width="16.6640625" style="107" customWidth="1"/>
    <col min="23" max="23" width="11.33203125" style="107" customWidth="1"/>
    <col min="24" max="24" width="11.5" style="107" customWidth="1"/>
    <col min="25" max="25" width="16.6640625" style="107" customWidth="1"/>
    <col min="26" max="27" width="11.33203125" style="107" customWidth="1"/>
    <col min="28" max="28" width="10.83203125" style="107" customWidth="1"/>
    <col min="29" max="29" width="14.5" style="107" bestFit="1" customWidth="1"/>
    <col min="30" max="30" width="4.1640625" style="107" bestFit="1" customWidth="1"/>
    <col min="31" max="31" width="17" bestFit="1" customWidth="1"/>
    <col min="32" max="32" width="5.1640625" bestFit="1" customWidth="1"/>
    <col min="33" max="35" width="9.33203125" customWidth="1"/>
  </cols>
  <sheetData>
    <row r="1" spans="1:31" x14ac:dyDescent="0.2">
      <c r="B1"/>
      <c r="C1"/>
      <c r="D1"/>
      <c r="E1"/>
      <c r="F1"/>
      <c r="G1"/>
      <c r="H1"/>
      <c r="I1"/>
      <c r="J1"/>
      <c r="K1"/>
      <c r="L1"/>
      <c r="M1"/>
      <c r="N1"/>
      <c r="O1"/>
      <c r="P1"/>
      <c r="Q1"/>
      <c r="R1"/>
      <c r="S1"/>
      <c r="T1"/>
    </row>
    <row r="2" spans="1:31" x14ac:dyDescent="0.2">
      <c r="B2"/>
      <c r="C2"/>
      <c r="D2"/>
      <c r="E2"/>
      <c r="F2"/>
      <c r="G2"/>
      <c r="H2"/>
      <c r="I2"/>
      <c r="J2"/>
      <c r="K2"/>
      <c r="L2"/>
      <c r="M2"/>
      <c r="N2"/>
      <c r="O2"/>
      <c r="P2"/>
      <c r="Q2"/>
      <c r="R2"/>
      <c r="S2"/>
      <c r="T2"/>
    </row>
    <row r="3" spans="1:31" ht="24" x14ac:dyDescent="0.3">
      <c r="A3" s="297" t="s">
        <v>2053</v>
      </c>
      <c r="B3"/>
      <c r="C3"/>
      <c r="D3"/>
      <c r="E3"/>
      <c r="F3"/>
      <c r="G3"/>
      <c r="H3"/>
      <c r="I3"/>
      <c r="J3"/>
      <c r="K3"/>
      <c r="L3"/>
      <c r="M3"/>
      <c r="N3"/>
      <c r="O3"/>
      <c r="P3"/>
      <c r="Q3"/>
      <c r="R3"/>
      <c r="S3"/>
      <c r="T3"/>
    </row>
    <row r="4" spans="1:31" x14ac:dyDescent="0.2">
      <c r="B4"/>
      <c r="C4"/>
      <c r="D4"/>
      <c r="E4"/>
      <c r="F4"/>
      <c r="G4"/>
      <c r="H4"/>
      <c r="I4"/>
      <c r="J4"/>
      <c r="K4"/>
      <c r="L4"/>
      <c r="M4"/>
      <c r="N4"/>
      <c r="O4"/>
      <c r="P4"/>
      <c r="Q4"/>
      <c r="R4"/>
      <c r="S4"/>
      <c r="T4"/>
    </row>
    <row r="5" spans="1:31" x14ac:dyDescent="0.2">
      <c r="B5"/>
      <c r="C5"/>
      <c r="D5"/>
      <c r="E5"/>
      <c r="F5"/>
      <c r="G5"/>
      <c r="H5"/>
      <c r="I5"/>
      <c r="J5"/>
      <c r="K5"/>
      <c r="L5"/>
      <c r="M5"/>
      <c r="N5"/>
      <c r="O5"/>
      <c r="P5"/>
      <c r="Q5"/>
      <c r="R5"/>
      <c r="S5"/>
      <c r="T5"/>
    </row>
    <row r="6" spans="1:31" x14ac:dyDescent="0.2">
      <c r="A6" s="109" t="s">
        <v>4</v>
      </c>
      <c r="B6" t="s">
        <v>34</v>
      </c>
      <c r="N6"/>
      <c r="O6"/>
      <c r="P6"/>
      <c r="Q6"/>
      <c r="R6"/>
      <c r="S6"/>
      <c r="T6"/>
    </row>
    <row r="7" spans="1:31" x14ac:dyDescent="0.2">
      <c r="A7" s="6" t="s">
        <v>8</v>
      </c>
      <c r="B7" t="s">
        <v>2030</v>
      </c>
      <c r="N7"/>
      <c r="O7"/>
      <c r="P7"/>
      <c r="Q7"/>
      <c r="R7"/>
      <c r="S7"/>
      <c r="T7"/>
    </row>
    <row r="8" spans="1:31" x14ac:dyDescent="0.2">
      <c r="B8"/>
      <c r="C8"/>
      <c r="D8"/>
      <c r="E8"/>
      <c r="F8"/>
      <c r="G8"/>
      <c r="H8"/>
      <c r="I8"/>
      <c r="J8"/>
      <c r="K8"/>
      <c r="L8"/>
      <c r="M8"/>
      <c r="N8"/>
      <c r="O8"/>
      <c r="P8"/>
      <c r="Q8"/>
      <c r="R8"/>
      <c r="S8"/>
      <c r="T8"/>
    </row>
    <row r="9" spans="1:31" ht="16" customHeight="1" x14ac:dyDescent="0.2">
      <c r="A9" s="6" t="s">
        <v>2017</v>
      </c>
      <c r="B9" s="6" t="s">
        <v>2018</v>
      </c>
      <c r="F9"/>
      <c r="G9"/>
      <c r="H9"/>
      <c r="I9"/>
      <c r="J9"/>
      <c r="K9"/>
      <c r="L9"/>
      <c r="M9" s="404" t="s">
        <v>2019</v>
      </c>
      <c r="N9" s="402" t="s">
        <v>2054</v>
      </c>
      <c r="O9" s="402"/>
      <c r="P9" s="403" t="s">
        <v>2055</v>
      </c>
      <c r="Q9" s="403"/>
      <c r="R9" s="395" t="s">
        <v>2056</v>
      </c>
      <c r="S9" s="395" t="s">
        <v>2020</v>
      </c>
      <c r="T9"/>
      <c r="U9"/>
      <c r="V9"/>
    </row>
    <row r="10" spans="1:31" ht="68" x14ac:dyDescent="0.2">
      <c r="A10" s="6" t="s">
        <v>2019</v>
      </c>
      <c r="B10" t="s">
        <v>43</v>
      </c>
      <c r="C10" t="s">
        <v>165</v>
      </c>
      <c r="D10" t="s">
        <v>75</v>
      </c>
      <c r="E10" s="108" t="s">
        <v>2020</v>
      </c>
      <c r="F10"/>
      <c r="G10"/>
      <c r="H10"/>
      <c r="I10"/>
      <c r="J10"/>
      <c r="K10"/>
      <c r="L10"/>
      <c r="M10" s="405"/>
      <c r="N10" s="343" t="s">
        <v>2057</v>
      </c>
      <c r="O10" s="343" t="s">
        <v>2058</v>
      </c>
      <c r="P10" s="340" t="s">
        <v>2059</v>
      </c>
      <c r="Q10" s="340" t="s">
        <v>2060</v>
      </c>
      <c r="R10" s="396"/>
      <c r="S10" s="396"/>
      <c r="T10"/>
      <c r="U10"/>
      <c r="V10"/>
      <c r="W10"/>
      <c r="AE10" s="107"/>
    </row>
    <row r="11" spans="1:31" x14ac:dyDescent="0.2">
      <c r="A11" s="7" t="s">
        <v>31</v>
      </c>
      <c r="B11" s="107">
        <v>1</v>
      </c>
      <c r="D11" s="107">
        <v>1</v>
      </c>
      <c r="E11" s="107">
        <v>2</v>
      </c>
      <c r="F11"/>
      <c r="G11"/>
      <c r="H11"/>
      <c r="I11"/>
      <c r="J11"/>
      <c r="K11"/>
      <c r="L11"/>
      <c r="M11" s="178" t="s">
        <v>31</v>
      </c>
      <c r="N11" s="344"/>
      <c r="O11" s="344">
        <v>1</v>
      </c>
      <c r="P11" s="341">
        <v>1</v>
      </c>
      <c r="Q11" s="341"/>
      <c r="R11" s="168"/>
      <c r="S11" s="168">
        <v>2</v>
      </c>
      <c r="T11"/>
      <c r="U11"/>
      <c r="V11"/>
      <c r="W11"/>
      <c r="AE11" s="107"/>
    </row>
    <row r="12" spans="1:31" x14ac:dyDescent="0.2">
      <c r="A12" s="7" t="s">
        <v>77</v>
      </c>
      <c r="B12" s="107">
        <v>27</v>
      </c>
      <c r="C12" s="107">
        <v>3</v>
      </c>
      <c r="D12" s="107">
        <v>16</v>
      </c>
      <c r="E12" s="107">
        <v>46</v>
      </c>
      <c r="F12"/>
      <c r="G12"/>
      <c r="H12"/>
      <c r="I12"/>
      <c r="J12"/>
      <c r="K12"/>
      <c r="L12"/>
      <c r="M12" s="178" t="s">
        <v>77</v>
      </c>
      <c r="N12" s="344">
        <v>3</v>
      </c>
      <c r="O12" s="344">
        <v>12</v>
      </c>
      <c r="P12" s="341">
        <v>4</v>
      </c>
      <c r="Q12" s="341">
        <v>9</v>
      </c>
      <c r="R12" s="168">
        <v>15</v>
      </c>
      <c r="S12" s="168">
        <v>61</v>
      </c>
      <c r="T12"/>
      <c r="U12"/>
      <c r="V12"/>
      <c r="W12"/>
      <c r="AE12" s="107"/>
    </row>
    <row r="13" spans="1:31" x14ac:dyDescent="0.2">
      <c r="A13" s="7" t="s">
        <v>290</v>
      </c>
      <c r="B13" s="107">
        <v>1</v>
      </c>
      <c r="E13" s="107">
        <v>1</v>
      </c>
      <c r="F13"/>
      <c r="G13"/>
      <c r="H13"/>
      <c r="I13"/>
      <c r="J13"/>
      <c r="K13"/>
      <c r="L13"/>
      <c r="M13" s="178" t="s">
        <v>521</v>
      </c>
      <c r="N13" s="344"/>
      <c r="O13" s="344">
        <v>1</v>
      </c>
      <c r="P13" s="341">
        <v>2</v>
      </c>
      <c r="Q13" s="341">
        <v>2</v>
      </c>
      <c r="R13" s="168"/>
      <c r="S13" s="168">
        <v>8</v>
      </c>
      <c r="T13"/>
      <c r="U13"/>
      <c r="V13"/>
      <c r="W13"/>
      <c r="AE13" s="107"/>
    </row>
    <row r="14" spans="1:31" x14ac:dyDescent="0.2">
      <c r="A14" s="7" t="s">
        <v>521</v>
      </c>
      <c r="B14" s="107">
        <v>7</v>
      </c>
      <c r="D14" s="107">
        <v>1</v>
      </c>
      <c r="E14" s="107">
        <v>8</v>
      </c>
      <c r="F14"/>
      <c r="G14"/>
      <c r="H14"/>
      <c r="I14"/>
      <c r="J14"/>
      <c r="K14"/>
      <c r="L14"/>
      <c r="M14" s="178" t="s">
        <v>551</v>
      </c>
      <c r="N14" s="344"/>
      <c r="O14" s="344"/>
      <c r="P14" s="341"/>
      <c r="Q14" s="341"/>
      <c r="R14" s="168"/>
      <c r="S14" s="168">
        <v>13</v>
      </c>
      <c r="T14"/>
      <c r="U14"/>
      <c r="V14"/>
      <c r="W14"/>
      <c r="AE14" s="107"/>
    </row>
    <row r="15" spans="1:31" x14ac:dyDescent="0.2">
      <c r="A15" s="7" t="s">
        <v>551</v>
      </c>
      <c r="B15" s="107">
        <v>13</v>
      </c>
      <c r="E15" s="107">
        <v>13</v>
      </c>
      <c r="F15"/>
      <c r="G15"/>
      <c r="H15"/>
      <c r="I15"/>
      <c r="J15"/>
      <c r="K15"/>
      <c r="L15"/>
      <c r="M15" s="178" t="s">
        <v>684</v>
      </c>
      <c r="N15" s="344">
        <v>1</v>
      </c>
      <c r="O15" s="344">
        <v>1</v>
      </c>
      <c r="P15" s="341">
        <v>5</v>
      </c>
      <c r="Q15" s="341">
        <v>2</v>
      </c>
      <c r="R15" s="168"/>
      <c r="S15" s="168">
        <v>15</v>
      </c>
      <c r="T15"/>
      <c r="U15"/>
      <c r="V15"/>
      <c r="W15"/>
      <c r="AE15" s="107"/>
    </row>
    <row r="16" spans="1:31" x14ac:dyDescent="0.2">
      <c r="A16" s="7" t="s">
        <v>684</v>
      </c>
      <c r="B16" s="107">
        <v>9</v>
      </c>
      <c r="C16" s="107">
        <v>3</v>
      </c>
      <c r="D16" s="107">
        <v>3</v>
      </c>
      <c r="E16" s="107">
        <v>15</v>
      </c>
      <c r="F16"/>
      <c r="G16"/>
      <c r="H16"/>
      <c r="I16"/>
      <c r="J16"/>
      <c r="K16"/>
      <c r="L16"/>
      <c r="M16" s="178" t="s">
        <v>749</v>
      </c>
      <c r="N16" s="344">
        <v>1</v>
      </c>
      <c r="O16" s="344"/>
      <c r="P16" s="341"/>
      <c r="Q16" s="341">
        <v>1</v>
      </c>
      <c r="R16" s="168"/>
      <c r="S16" s="168">
        <v>3</v>
      </c>
      <c r="T16"/>
      <c r="U16"/>
      <c r="V16"/>
      <c r="W16"/>
      <c r="AE16" s="107"/>
    </row>
    <row r="17" spans="1:31" x14ac:dyDescent="0.2">
      <c r="A17" s="7" t="s">
        <v>749</v>
      </c>
      <c r="B17" s="107">
        <v>2</v>
      </c>
      <c r="C17" s="107">
        <v>1</v>
      </c>
      <c r="E17" s="107">
        <v>3</v>
      </c>
      <c r="F17"/>
      <c r="G17"/>
      <c r="H17"/>
      <c r="I17"/>
      <c r="J17"/>
      <c r="K17"/>
      <c r="L17"/>
      <c r="M17" s="178" t="s">
        <v>804</v>
      </c>
      <c r="N17" s="344"/>
      <c r="O17" s="344"/>
      <c r="P17" s="341"/>
      <c r="Q17" s="341"/>
      <c r="R17" s="168"/>
      <c r="S17" s="168">
        <v>4</v>
      </c>
      <c r="T17"/>
      <c r="U17"/>
      <c r="V17"/>
      <c r="W17"/>
      <c r="AE17" s="107"/>
    </row>
    <row r="18" spans="1:31" x14ac:dyDescent="0.2">
      <c r="A18" s="7" t="s">
        <v>804</v>
      </c>
      <c r="B18" s="107">
        <v>5</v>
      </c>
      <c r="E18" s="107">
        <v>5</v>
      </c>
      <c r="F18"/>
      <c r="G18"/>
      <c r="H18"/>
      <c r="I18"/>
      <c r="J18"/>
      <c r="K18"/>
      <c r="L18"/>
      <c r="M18" s="178" t="s">
        <v>893</v>
      </c>
      <c r="N18" s="344"/>
      <c r="O18" s="344"/>
      <c r="P18" s="341"/>
      <c r="Q18" s="341"/>
      <c r="R18" s="168"/>
      <c r="S18" s="168">
        <v>2</v>
      </c>
      <c r="T18"/>
      <c r="U18"/>
      <c r="V18"/>
      <c r="W18"/>
      <c r="AE18" s="107"/>
    </row>
    <row r="19" spans="1:31" x14ac:dyDescent="0.2">
      <c r="A19" s="7" t="s">
        <v>893</v>
      </c>
      <c r="B19" s="107">
        <v>2</v>
      </c>
      <c r="E19" s="107">
        <v>2</v>
      </c>
      <c r="F19"/>
      <c r="G19"/>
      <c r="H19"/>
      <c r="I19"/>
      <c r="J19"/>
      <c r="K19"/>
      <c r="L19"/>
      <c r="M19" s="178" t="s">
        <v>678</v>
      </c>
      <c r="N19" s="344"/>
      <c r="O19" s="344">
        <v>1</v>
      </c>
      <c r="P19" s="341"/>
      <c r="Q19" s="341"/>
      <c r="R19" s="168"/>
      <c r="S19" s="168">
        <v>7</v>
      </c>
      <c r="T19"/>
      <c r="U19"/>
      <c r="V19"/>
      <c r="W19"/>
      <c r="AE19" s="107"/>
    </row>
    <row r="20" spans="1:31" x14ac:dyDescent="0.2">
      <c r="A20" s="7" t="s">
        <v>678</v>
      </c>
      <c r="B20" s="107">
        <v>5</v>
      </c>
      <c r="D20" s="107">
        <v>1</v>
      </c>
      <c r="E20" s="107">
        <v>6</v>
      </c>
      <c r="F20"/>
      <c r="G20"/>
      <c r="H20"/>
      <c r="I20"/>
      <c r="J20"/>
      <c r="K20"/>
      <c r="L20"/>
      <c r="M20" s="178" t="s">
        <v>1018</v>
      </c>
      <c r="N20" s="344">
        <v>1</v>
      </c>
      <c r="O20" s="344">
        <v>1</v>
      </c>
      <c r="P20" s="341">
        <v>1</v>
      </c>
      <c r="Q20" s="341"/>
      <c r="R20" s="168"/>
      <c r="S20" s="168">
        <v>17</v>
      </c>
      <c r="T20"/>
      <c r="U20"/>
      <c r="V20"/>
      <c r="W20"/>
      <c r="AE20" s="107"/>
    </row>
    <row r="21" spans="1:31" x14ac:dyDescent="0.2">
      <c r="A21" s="7" t="s">
        <v>1018</v>
      </c>
      <c r="B21" s="107">
        <v>15</v>
      </c>
      <c r="C21" s="107">
        <v>1</v>
      </c>
      <c r="D21" s="107">
        <v>1</v>
      </c>
      <c r="E21" s="107">
        <v>17</v>
      </c>
      <c r="F21"/>
      <c r="G21"/>
      <c r="H21"/>
      <c r="I21"/>
      <c r="J21"/>
      <c r="K21"/>
      <c r="L21"/>
      <c r="M21" s="170" t="s">
        <v>2020</v>
      </c>
      <c r="N21" s="342">
        <f t="shared" ref="N21:S21" si="0">SUM(N11:N20)</f>
        <v>6</v>
      </c>
      <c r="O21" s="342">
        <f t="shared" si="0"/>
        <v>17</v>
      </c>
      <c r="P21" s="172">
        <f t="shared" si="0"/>
        <v>13</v>
      </c>
      <c r="Q21" s="172">
        <f t="shared" si="0"/>
        <v>14</v>
      </c>
      <c r="R21" s="171">
        <f t="shared" si="0"/>
        <v>15</v>
      </c>
      <c r="S21" s="171">
        <f t="shared" si="0"/>
        <v>132</v>
      </c>
      <c r="T21"/>
      <c r="U21"/>
      <c r="V21"/>
      <c r="W21"/>
      <c r="AE21" s="107"/>
    </row>
    <row r="22" spans="1:31" x14ac:dyDescent="0.2">
      <c r="A22" s="7" t="s">
        <v>2020</v>
      </c>
      <c r="B22" s="107">
        <v>87</v>
      </c>
      <c r="C22" s="107">
        <v>8</v>
      </c>
      <c r="D22" s="107">
        <v>23</v>
      </c>
      <c r="E22" s="107">
        <v>118</v>
      </c>
      <c r="F22"/>
      <c r="G22"/>
      <c r="H22"/>
      <c r="I22"/>
      <c r="J22"/>
      <c r="K22"/>
      <c r="L22"/>
      <c r="M22"/>
      <c r="N22"/>
      <c r="O22"/>
      <c r="P22"/>
      <c r="Q22"/>
      <c r="R22"/>
      <c r="S22"/>
      <c r="T22"/>
      <c r="U22"/>
      <c r="V22"/>
    </row>
    <row r="23" spans="1:31" x14ac:dyDescent="0.2">
      <c r="B23"/>
      <c r="C23"/>
      <c r="D23"/>
      <c r="E23"/>
      <c r="F23"/>
      <c r="G23"/>
      <c r="H23"/>
      <c r="I23"/>
      <c r="J23"/>
      <c r="K23"/>
      <c r="L23"/>
      <c r="M23"/>
      <c r="N23"/>
      <c r="O23"/>
      <c r="P23"/>
      <c r="Q23"/>
      <c r="R23"/>
      <c r="S23"/>
      <c r="T23"/>
      <c r="U23"/>
      <c r="V23"/>
    </row>
    <row r="24" spans="1:31" x14ac:dyDescent="0.2">
      <c r="B24"/>
      <c r="C24"/>
      <c r="D24"/>
      <c r="E24"/>
      <c r="F24"/>
      <c r="G24"/>
      <c r="H24"/>
      <c r="I24"/>
      <c r="J24"/>
      <c r="K24"/>
      <c r="L24"/>
      <c r="M24"/>
      <c r="N24"/>
      <c r="O24"/>
      <c r="P24"/>
      <c r="Q24"/>
      <c r="R24"/>
      <c r="S24"/>
      <c r="T24"/>
      <c r="U24"/>
      <c r="V24"/>
    </row>
    <row r="25" spans="1:31" x14ac:dyDescent="0.2">
      <c r="A25" s="109" t="s">
        <v>4</v>
      </c>
      <c r="B25" t="s">
        <v>34</v>
      </c>
      <c r="C25"/>
      <c r="D25"/>
      <c r="E25"/>
      <c r="F25"/>
      <c r="G25"/>
      <c r="H25"/>
      <c r="I25"/>
      <c r="J25"/>
      <c r="K25"/>
      <c r="L25"/>
    </row>
    <row r="26" spans="1:31" x14ac:dyDescent="0.2">
      <c r="A26" s="6" t="s">
        <v>8</v>
      </c>
      <c r="B26" t="s">
        <v>2030</v>
      </c>
      <c r="G26"/>
      <c r="H26"/>
      <c r="I26"/>
      <c r="J26"/>
      <c r="K26"/>
      <c r="L26"/>
    </row>
    <row r="27" spans="1:31" x14ac:dyDescent="0.2">
      <c r="B27"/>
      <c r="C27"/>
      <c r="D27"/>
      <c r="E27"/>
      <c r="F27"/>
      <c r="G27"/>
      <c r="H27"/>
      <c r="I27"/>
      <c r="J27"/>
      <c r="K27"/>
      <c r="L27"/>
    </row>
    <row r="28" spans="1:31" x14ac:dyDescent="0.2">
      <c r="A28" s="6" t="s">
        <v>2017</v>
      </c>
      <c r="B28" s="6" t="s">
        <v>2018</v>
      </c>
      <c r="F28"/>
      <c r="G28"/>
      <c r="H28"/>
      <c r="I28"/>
      <c r="J28"/>
      <c r="K28"/>
      <c r="L28"/>
    </row>
    <row r="29" spans="1:31" ht="68" x14ac:dyDescent="0.2">
      <c r="A29" s="6" t="s">
        <v>2019</v>
      </c>
      <c r="B29" t="s">
        <v>43</v>
      </c>
      <c r="C29" t="s">
        <v>76</v>
      </c>
      <c r="D29" t="s">
        <v>103</v>
      </c>
      <c r="E29" s="108" t="s">
        <v>2020</v>
      </c>
      <c r="F29"/>
    </row>
    <row r="30" spans="1:31" x14ac:dyDescent="0.2">
      <c r="A30" s="7" t="s">
        <v>31</v>
      </c>
      <c r="B30" s="107">
        <v>1</v>
      </c>
      <c r="C30" s="107">
        <v>1</v>
      </c>
      <c r="E30" s="107">
        <v>2</v>
      </c>
      <c r="F30"/>
    </row>
    <row r="31" spans="1:31" x14ac:dyDescent="0.2">
      <c r="A31" s="7" t="s">
        <v>77</v>
      </c>
      <c r="B31" s="107">
        <v>32</v>
      </c>
      <c r="C31" s="107">
        <v>5</v>
      </c>
      <c r="D31" s="107">
        <v>9</v>
      </c>
      <c r="E31" s="107">
        <v>46</v>
      </c>
      <c r="F31"/>
    </row>
    <row r="32" spans="1:31" x14ac:dyDescent="0.2">
      <c r="A32" s="7" t="s">
        <v>290</v>
      </c>
      <c r="B32" s="107">
        <v>1</v>
      </c>
      <c r="E32" s="107">
        <v>1</v>
      </c>
      <c r="F32"/>
    </row>
    <row r="33" spans="1:12" x14ac:dyDescent="0.2">
      <c r="A33" s="7" t="s">
        <v>521</v>
      </c>
      <c r="B33" s="107">
        <v>4</v>
      </c>
      <c r="C33" s="107">
        <v>2</v>
      </c>
      <c r="D33" s="107">
        <v>2</v>
      </c>
      <c r="E33" s="107">
        <v>8</v>
      </c>
      <c r="F33"/>
    </row>
    <row r="34" spans="1:12" x14ac:dyDescent="0.2">
      <c r="A34" s="7" t="s">
        <v>551</v>
      </c>
      <c r="B34" s="107">
        <v>13</v>
      </c>
      <c r="E34" s="107">
        <v>13</v>
      </c>
      <c r="F34"/>
    </row>
    <row r="35" spans="1:12" x14ac:dyDescent="0.2">
      <c r="A35" s="7" t="s">
        <v>684</v>
      </c>
      <c r="B35" s="107">
        <v>3</v>
      </c>
      <c r="C35" s="107">
        <v>7</v>
      </c>
      <c r="D35" s="107">
        <v>5</v>
      </c>
      <c r="E35" s="107">
        <v>15</v>
      </c>
      <c r="F35"/>
    </row>
    <row r="36" spans="1:12" x14ac:dyDescent="0.2">
      <c r="A36" s="7" t="s">
        <v>749</v>
      </c>
      <c r="B36" s="107">
        <v>2</v>
      </c>
      <c r="D36" s="107">
        <v>1</v>
      </c>
      <c r="E36" s="107">
        <v>3</v>
      </c>
      <c r="F36"/>
    </row>
    <row r="37" spans="1:12" x14ac:dyDescent="0.2">
      <c r="A37" s="7" t="s">
        <v>804</v>
      </c>
      <c r="B37" s="107">
        <v>5</v>
      </c>
      <c r="E37" s="107">
        <v>5</v>
      </c>
      <c r="F37"/>
    </row>
    <row r="38" spans="1:12" x14ac:dyDescent="0.2">
      <c r="A38" s="7" t="s">
        <v>893</v>
      </c>
      <c r="C38" s="107">
        <v>2</v>
      </c>
      <c r="E38" s="107">
        <v>2</v>
      </c>
      <c r="F38"/>
    </row>
    <row r="39" spans="1:12" x14ac:dyDescent="0.2">
      <c r="A39" s="7" t="s">
        <v>678</v>
      </c>
      <c r="B39" s="107">
        <v>5</v>
      </c>
      <c r="D39" s="107">
        <v>1</v>
      </c>
      <c r="E39" s="107">
        <v>6</v>
      </c>
      <c r="F39"/>
    </row>
    <row r="40" spans="1:12" x14ac:dyDescent="0.2">
      <c r="A40" s="7" t="s">
        <v>1018</v>
      </c>
      <c r="B40" s="107">
        <v>16</v>
      </c>
      <c r="C40" s="107">
        <v>1</v>
      </c>
      <c r="E40" s="107">
        <v>17</v>
      </c>
      <c r="F40"/>
    </row>
    <row r="41" spans="1:12" x14ac:dyDescent="0.2">
      <c r="A41" s="7" t="s">
        <v>2020</v>
      </c>
      <c r="B41" s="107">
        <v>82</v>
      </c>
      <c r="C41" s="107">
        <v>18</v>
      </c>
      <c r="D41" s="107">
        <v>18</v>
      </c>
      <c r="E41" s="107">
        <v>118</v>
      </c>
      <c r="F41"/>
    </row>
    <row r="45" spans="1:12" ht="24" x14ac:dyDescent="0.3">
      <c r="A45" s="297" t="s">
        <v>2061</v>
      </c>
      <c r="B45"/>
      <c r="C45"/>
      <c r="D45"/>
      <c r="E45"/>
      <c r="F45"/>
      <c r="G45"/>
      <c r="H45"/>
      <c r="I45"/>
      <c r="J45"/>
      <c r="K45"/>
      <c r="L45"/>
    </row>
    <row r="46" spans="1:12" x14ac:dyDescent="0.2">
      <c r="A46" s="109" t="s">
        <v>4</v>
      </c>
      <c r="B46" s="107" t="s">
        <v>34</v>
      </c>
      <c r="C46"/>
      <c r="D46"/>
      <c r="E46"/>
      <c r="F46"/>
      <c r="G46"/>
      <c r="H46"/>
      <c r="I46"/>
      <c r="J46"/>
      <c r="K46"/>
      <c r="L46"/>
    </row>
    <row r="47" spans="1:12" x14ac:dyDescent="0.2">
      <c r="A47" s="109" t="s">
        <v>9</v>
      </c>
      <c r="B47" t="s">
        <v>39</v>
      </c>
      <c r="G47"/>
      <c r="H47"/>
      <c r="I47"/>
      <c r="J47"/>
      <c r="K47"/>
      <c r="L47"/>
    </row>
    <row r="48" spans="1:12" x14ac:dyDescent="0.2">
      <c r="A48" s="109" t="s">
        <v>8</v>
      </c>
      <c r="B48" t="s">
        <v>2030</v>
      </c>
      <c r="G48"/>
      <c r="H48"/>
      <c r="I48"/>
      <c r="J48"/>
      <c r="K48"/>
      <c r="L48"/>
    </row>
    <row r="49" spans="1:20" x14ac:dyDescent="0.2">
      <c r="G49"/>
      <c r="H49"/>
      <c r="I49"/>
      <c r="J49"/>
      <c r="K49"/>
      <c r="L49"/>
    </row>
    <row r="50" spans="1:20" ht="34" x14ac:dyDescent="0.2">
      <c r="A50" s="6" t="s">
        <v>7</v>
      </c>
      <c r="B50" s="177" t="s">
        <v>2017</v>
      </c>
      <c r="C50"/>
      <c r="D50"/>
      <c r="E50"/>
      <c r="F50"/>
      <c r="G50"/>
      <c r="H50"/>
      <c r="I50"/>
      <c r="J50"/>
      <c r="K50"/>
      <c r="L50"/>
      <c r="M50" s="222" t="s">
        <v>7</v>
      </c>
      <c r="N50" s="163" t="s">
        <v>2062</v>
      </c>
      <c r="O50" s="163" t="s">
        <v>2063</v>
      </c>
      <c r="Q50" s="222" t="s">
        <v>7</v>
      </c>
      <c r="R50" s="163" t="s">
        <v>2062</v>
      </c>
      <c r="S50" s="163" t="s">
        <v>2063</v>
      </c>
      <c r="T50" s="163" t="s">
        <v>2064</v>
      </c>
    </row>
    <row r="51" spans="1:20" x14ac:dyDescent="0.2">
      <c r="A51" s="7" t="s">
        <v>35</v>
      </c>
      <c r="B51" s="168">
        <v>7</v>
      </c>
      <c r="C51"/>
      <c r="D51"/>
      <c r="E51"/>
      <c r="F51"/>
      <c r="G51"/>
      <c r="H51"/>
      <c r="I51"/>
      <c r="J51"/>
      <c r="K51"/>
      <c r="L51"/>
      <c r="M51" s="7" t="s">
        <v>35</v>
      </c>
      <c r="N51" s="168">
        <v>8</v>
      </c>
      <c r="O51" s="168">
        <v>9</v>
      </c>
      <c r="Q51" s="7" t="s">
        <v>2065</v>
      </c>
      <c r="R51" s="168">
        <v>8</v>
      </c>
      <c r="S51" s="168">
        <v>9</v>
      </c>
      <c r="T51" s="190">
        <f>(S51-R51)/R51</f>
        <v>0.125</v>
      </c>
    </row>
    <row r="52" spans="1:20" x14ac:dyDescent="0.2">
      <c r="A52" s="7" t="s">
        <v>105</v>
      </c>
      <c r="B52" s="168">
        <v>18</v>
      </c>
      <c r="C52"/>
      <c r="D52"/>
      <c r="E52"/>
      <c r="F52"/>
      <c r="G52"/>
      <c r="H52"/>
      <c r="I52"/>
      <c r="J52"/>
      <c r="K52"/>
      <c r="L52"/>
      <c r="M52" s="7" t="s">
        <v>105</v>
      </c>
      <c r="N52" s="168">
        <v>18</v>
      </c>
      <c r="O52" s="168">
        <v>35</v>
      </c>
      <c r="Q52" s="7" t="s">
        <v>2066</v>
      </c>
      <c r="R52" s="168">
        <v>18</v>
      </c>
      <c r="S52" s="168">
        <v>35</v>
      </c>
      <c r="T52" s="190">
        <f>(S52-R52)/R52</f>
        <v>0.94444444444444442</v>
      </c>
    </row>
    <row r="53" spans="1:20" x14ac:dyDescent="0.2">
      <c r="A53" s="7" t="s">
        <v>48</v>
      </c>
      <c r="B53" s="168">
        <v>7</v>
      </c>
      <c r="C53"/>
      <c r="D53"/>
      <c r="E53"/>
      <c r="F53"/>
      <c r="G53"/>
      <c r="H53"/>
      <c r="I53"/>
      <c r="J53"/>
      <c r="K53"/>
      <c r="L53"/>
      <c r="M53" s="7" t="s">
        <v>48</v>
      </c>
      <c r="N53" s="168">
        <v>7</v>
      </c>
      <c r="O53" s="168">
        <v>17</v>
      </c>
      <c r="Q53" s="7" t="s">
        <v>2067</v>
      </c>
      <c r="R53" s="168">
        <f>SUM(N53:N56)</f>
        <v>69</v>
      </c>
      <c r="S53" s="168">
        <f>SUM(O53:O56)</f>
        <v>137</v>
      </c>
      <c r="T53" s="190">
        <f>(S53-R53)/R53</f>
        <v>0.98550724637681164</v>
      </c>
    </row>
    <row r="54" spans="1:20" x14ac:dyDescent="0.2">
      <c r="A54" s="7" t="s">
        <v>58</v>
      </c>
      <c r="B54" s="168">
        <v>27</v>
      </c>
      <c r="C54"/>
      <c r="D54"/>
      <c r="E54"/>
      <c r="F54"/>
      <c r="G54"/>
      <c r="H54"/>
      <c r="I54"/>
      <c r="J54"/>
      <c r="K54"/>
      <c r="L54"/>
      <c r="M54" s="7" t="s">
        <v>58</v>
      </c>
      <c r="N54" s="168">
        <v>28</v>
      </c>
      <c r="O54" s="168">
        <v>48</v>
      </c>
      <c r="Q54" s="7" t="s">
        <v>2068</v>
      </c>
      <c r="R54" s="168">
        <f>SUM(N57:N59)</f>
        <v>44</v>
      </c>
      <c r="S54" s="168">
        <f>SUM(O57:O59)</f>
        <v>74</v>
      </c>
      <c r="T54" s="190">
        <f>(S54-R54)/R54</f>
        <v>0.68181818181818177</v>
      </c>
    </row>
    <row r="55" spans="1:20" x14ac:dyDescent="0.2">
      <c r="A55" s="7" t="s">
        <v>98</v>
      </c>
      <c r="B55" s="168">
        <v>22</v>
      </c>
      <c r="C55"/>
      <c r="D55"/>
      <c r="E55"/>
      <c r="F55"/>
      <c r="G55"/>
      <c r="H55"/>
      <c r="I55"/>
      <c r="J55"/>
      <c r="K55"/>
      <c r="L55"/>
      <c r="M55" s="7" t="s">
        <v>98</v>
      </c>
      <c r="N55" s="168">
        <v>23</v>
      </c>
      <c r="O55" s="168">
        <v>44</v>
      </c>
      <c r="Q55" s="170" t="s">
        <v>2020</v>
      </c>
      <c r="R55" s="171">
        <f>SUM(R51:R54)</f>
        <v>139</v>
      </c>
      <c r="S55" s="171">
        <f>SUM(S51:S54)</f>
        <v>255</v>
      </c>
      <c r="T55" s="196">
        <f>(S55-R55)/R55</f>
        <v>0.83453237410071945</v>
      </c>
    </row>
    <row r="56" spans="1:20" x14ac:dyDescent="0.2">
      <c r="A56" s="7" t="s">
        <v>138</v>
      </c>
      <c r="B56" s="168">
        <v>11</v>
      </c>
      <c r="C56"/>
      <c r="D56"/>
      <c r="E56"/>
      <c r="F56"/>
      <c r="G56"/>
      <c r="H56"/>
      <c r="I56"/>
      <c r="J56"/>
      <c r="K56"/>
      <c r="L56"/>
      <c r="M56" s="7" t="s">
        <v>138</v>
      </c>
      <c r="N56" s="168">
        <v>11</v>
      </c>
      <c r="O56" s="168">
        <v>28</v>
      </c>
    </row>
    <row r="57" spans="1:20" x14ac:dyDescent="0.2">
      <c r="A57" s="7" t="s">
        <v>117</v>
      </c>
      <c r="B57" s="168">
        <v>26</v>
      </c>
      <c r="C57"/>
      <c r="D57"/>
      <c r="E57"/>
      <c r="F57"/>
      <c r="G57"/>
      <c r="H57"/>
      <c r="I57"/>
      <c r="J57"/>
      <c r="K57"/>
      <c r="L57"/>
      <c r="M57" s="7" t="s">
        <v>117</v>
      </c>
      <c r="N57" s="168">
        <v>26</v>
      </c>
      <c r="O57" s="168">
        <v>44</v>
      </c>
    </row>
    <row r="58" spans="1:20" x14ac:dyDescent="0.2">
      <c r="A58" s="7" t="s">
        <v>197</v>
      </c>
      <c r="B58" s="168">
        <v>9</v>
      </c>
      <c r="C58"/>
      <c r="D58"/>
      <c r="E58"/>
      <c r="F58"/>
      <c r="G58"/>
      <c r="H58"/>
      <c r="I58"/>
      <c r="J58"/>
      <c r="K58"/>
      <c r="L58"/>
      <c r="M58" s="7" t="s">
        <v>197</v>
      </c>
      <c r="N58" s="168">
        <v>9</v>
      </c>
      <c r="O58" s="168">
        <v>16</v>
      </c>
    </row>
    <row r="59" spans="1:20" x14ac:dyDescent="0.2">
      <c r="A59" s="7" t="s">
        <v>81</v>
      </c>
      <c r="B59" s="168">
        <v>9</v>
      </c>
      <c r="C59"/>
      <c r="D59"/>
      <c r="E59"/>
      <c r="F59"/>
      <c r="G59"/>
      <c r="H59"/>
      <c r="I59"/>
      <c r="J59"/>
      <c r="K59"/>
      <c r="L59"/>
      <c r="M59" s="7" t="s">
        <v>81</v>
      </c>
      <c r="N59" s="168">
        <v>9</v>
      </c>
      <c r="O59" s="168">
        <v>14</v>
      </c>
    </row>
    <row r="60" spans="1:20" x14ac:dyDescent="0.2">
      <c r="A60" s="178" t="s">
        <v>2020</v>
      </c>
      <c r="B60" s="168">
        <v>136</v>
      </c>
      <c r="C60"/>
      <c r="D60"/>
      <c r="E60"/>
      <c r="F60"/>
      <c r="G60"/>
      <c r="H60"/>
      <c r="I60"/>
      <c r="J60"/>
      <c r="K60"/>
      <c r="L60"/>
      <c r="M60" s="170" t="s">
        <v>2020</v>
      </c>
      <c r="N60" s="171">
        <f>SUM(N51:N59)</f>
        <v>139</v>
      </c>
      <c r="O60" s="171">
        <f>SUM(O51:O59)</f>
        <v>255</v>
      </c>
    </row>
    <row r="61" spans="1:20" x14ac:dyDescent="0.2">
      <c r="B61"/>
      <c r="C61"/>
      <c r="D61"/>
      <c r="E61"/>
      <c r="F61"/>
      <c r="G61"/>
      <c r="H61"/>
      <c r="I61"/>
      <c r="J61"/>
      <c r="K61"/>
      <c r="L61"/>
    </row>
    <row r="65" spans="1:26" ht="24" x14ac:dyDescent="0.3">
      <c r="A65" s="297" t="s">
        <v>2069</v>
      </c>
      <c r="B65"/>
      <c r="C65"/>
      <c r="D65"/>
      <c r="E65"/>
      <c r="F65"/>
      <c r="G65"/>
      <c r="H65"/>
      <c r="I65"/>
      <c r="J65"/>
      <c r="K65"/>
      <c r="L65"/>
      <c r="M65"/>
      <c r="N65"/>
      <c r="O65"/>
      <c r="P65"/>
      <c r="Q65"/>
      <c r="R65"/>
      <c r="S65"/>
      <c r="T65"/>
    </row>
    <row r="66" spans="1:26" x14ac:dyDescent="0.2">
      <c r="B66"/>
      <c r="C66"/>
      <c r="D66"/>
      <c r="E66"/>
      <c r="F66"/>
      <c r="G66"/>
      <c r="H66"/>
      <c r="I66"/>
      <c r="J66"/>
      <c r="K66"/>
      <c r="L66"/>
      <c r="M66"/>
      <c r="N66"/>
      <c r="O66"/>
      <c r="P66"/>
      <c r="Q66"/>
      <c r="R66"/>
      <c r="S66"/>
      <c r="T66"/>
    </row>
    <row r="67" spans="1:26" x14ac:dyDescent="0.2">
      <c r="B67"/>
      <c r="C67"/>
      <c r="D67"/>
      <c r="E67"/>
      <c r="F67"/>
      <c r="G67"/>
      <c r="H67"/>
      <c r="I67"/>
      <c r="J67"/>
      <c r="K67"/>
      <c r="L67"/>
      <c r="M67"/>
      <c r="N67"/>
      <c r="O67"/>
      <c r="P67"/>
      <c r="Q67"/>
      <c r="R67"/>
      <c r="S67"/>
      <c r="T67"/>
    </row>
    <row r="68" spans="1:26" x14ac:dyDescent="0.2">
      <c r="A68" s="109" t="s">
        <v>4</v>
      </c>
      <c r="B68" t="s">
        <v>34</v>
      </c>
      <c r="C68"/>
      <c r="D68"/>
      <c r="E68"/>
      <c r="F68"/>
      <c r="G68"/>
      <c r="H68"/>
      <c r="I68"/>
      <c r="J68"/>
      <c r="K68"/>
      <c r="L68"/>
      <c r="M68"/>
      <c r="N68"/>
      <c r="O68"/>
      <c r="P68"/>
      <c r="Q68"/>
      <c r="R68"/>
      <c r="S68"/>
      <c r="T68"/>
    </row>
    <row r="69" spans="1:26" x14ac:dyDescent="0.2">
      <c r="A69" s="6" t="s">
        <v>9</v>
      </c>
      <c r="B69" t="s">
        <v>2030</v>
      </c>
    </row>
    <row r="70" spans="1:26" x14ac:dyDescent="0.2">
      <c r="A70" s="6" t="s">
        <v>8</v>
      </c>
      <c r="B70" t="s">
        <v>2030</v>
      </c>
    </row>
    <row r="71" spans="1:26" x14ac:dyDescent="0.2">
      <c r="B71"/>
      <c r="C71"/>
      <c r="D71"/>
      <c r="E71"/>
      <c r="F71"/>
      <c r="G71"/>
      <c r="H71"/>
      <c r="I71"/>
      <c r="J71"/>
      <c r="K71"/>
      <c r="L71"/>
      <c r="M71"/>
      <c r="N71"/>
      <c r="O71"/>
      <c r="P71"/>
      <c r="Q71"/>
      <c r="R71"/>
      <c r="S71"/>
      <c r="T71"/>
    </row>
    <row r="72" spans="1:26" ht="16" customHeight="1" x14ac:dyDescent="0.2">
      <c r="A72" s="6" t="s">
        <v>2017</v>
      </c>
      <c r="B72" s="109" t="s">
        <v>2018</v>
      </c>
      <c r="M72"/>
      <c r="N72"/>
      <c r="O72"/>
      <c r="P72"/>
      <c r="Q72"/>
      <c r="R72"/>
      <c r="S72"/>
      <c r="T72"/>
    </row>
    <row r="73" spans="1:26" ht="16" customHeight="1" x14ac:dyDescent="0.2">
      <c r="A73" s="6" t="s">
        <v>2019</v>
      </c>
      <c r="B73" s="107" t="s">
        <v>83</v>
      </c>
      <c r="C73" s="107" t="s">
        <v>240</v>
      </c>
      <c r="D73" s="107" t="s">
        <v>63</v>
      </c>
      <c r="E73" s="107" t="s">
        <v>52</v>
      </c>
      <c r="F73" s="107" t="s">
        <v>2023</v>
      </c>
      <c r="G73" s="108" t="s">
        <v>2020</v>
      </c>
      <c r="H73" s="108"/>
      <c r="I73" s="108"/>
      <c r="J73" s="108"/>
      <c r="K73" s="108"/>
      <c r="L73" s="108"/>
      <c r="M73" s="222" t="s">
        <v>2070</v>
      </c>
      <c r="N73" s="182" t="s">
        <v>247</v>
      </c>
      <c r="O73"/>
      <c r="P73" s="222" t="s">
        <v>2070</v>
      </c>
      <c r="Q73" s="182" t="s">
        <v>83</v>
      </c>
      <c r="R73"/>
      <c r="S73" s="222" t="s">
        <v>2070</v>
      </c>
      <c r="T73" s="182" t="s">
        <v>240</v>
      </c>
      <c r="V73" s="222" t="s">
        <v>2070</v>
      </c>
      <c r="W73" s="182" t="s">
        <v>52</v>
      </c>
      <c r="Y73" s="222" t="s">
        <v>2070</v>
      </c>
      <c r="Z73" s="182" t="s">
        <v>63</v>
      </c>
    </row>
    <row r="74" spans="1:26" x14ac:dyDescent="0.2">
      <c r="A74" s="7" t="s">
        <v>31</v>
      </c>
      <c r="D74" s="107">
        <v>1</v>
      </c>
      <c r="E74" s="107">
        <v>1</v>
      </c>
      <c r="G74" s="107">
        <v>2</v>
      </c>
      <c r="M74" s="364" t="s">
        <v>77</v>
      </c>
      <c r="N74" s="185">
        <v>6</v>
      </c>
      <c r="O74"/>
      <c r="P74" s="364" t="s">
        <v>77</v>
      </c>
      <c r="Q74" s="185">
        <v>13</v>
      </c>
      <c r="R74"/>
      <c r="S74" s="364" t="s">
        <v>77</v>
      </c>
      <c r="T74" s="185">
        <v>8</v>
      </c>
      <c r="V74" s="364" t="s">
        <v>31</v>
      </c>
      <c r="W74" s="185">
        <v>1</v>
      </c>
      <c r="Y74" s="364" t="s">
        <v>31</v>
      </c>
      <c r="Z74" s="185">
        <v>1</v>
      </c>
    </row>
    <row r="75" spans="1:26" x14ac:dyDescent="0.2">
      <c r="A75" s="71" t="s">
        <v>32</v>
      </c>
      <c r="D75" s="107">
        <v>1</v>
      </c>
      <c r="E75" s="107">
        <v>1</v>
      </c>
      <c r="G75" s="107">
        <v>2</v>
      </c>
      <c r="M75" s="71" t="s">
        <v>144</v>
      </c>
      <c r="N75" s="107">
        <v>4</v>
      </c>
      <c r="O75"/>
      <c r="P75" s="71" t="s">
        <v>134</v>
      </c>
      <c r="Q75" s="107">
        <v>2</v>
      </c>
      <c r="R75"/>
      <c r="S75" s="71" t="s">
        <v>234</v>
      </c>
      <c r="T75" s="107">
        <v>1</v>
      </c>
      <c r="V75" s="71" t="s">
        <v>47</v>
      </c>
      <c r="W75" s="107">
        <v>1</v>
      </c>
      <c r="Y75" s="71" t="s">
        <v>47</v>
      </c>
      <c r="Z75" s="107">
        <v>1</v>
      </c>
    </row>
    <row r="76" spans="1:26" x14ac:dyDescent="0.2">
      <c r="A76" s="367" t="s">
        <v>47</v>
      </c>
      <c r="D76" s="107">
        <v>1</v>
      </c>
      <c r="E76" s="107">
        <v>1</v>
      </c>
      <c r="G76" s="107">
        <v>2</v>
      </c>
      <c r="M76" s="71" t="s">
        <v>244</v>
      </c>
      <c r="N76" s="107">
        <v>2</v>
      </c>
      <c r="O76"/>
      <c r="P76" s="71" t="s">
        <v>161</v>
      </c>
      <c r="Q76" s="107">
        <v>1</v>
      </c>
      <c r="R76"/>
      <c r="S76" s="71" t="s">
        <v>94</v>
      </c>
      <c r="T76" s="107">
        <v>3</v>
      </c>
      <c r="V76" s="364" t="s">
        <v>77</v>
      </c>
      <c r="W76" s="185">
        <v>5</v>
      </c>
      <c r="Y76" s="364" t="s">
        <v>77</v>
      </c>
      <c r="Z76" s="185">
        <v>1</v>
      </c>
    </row>
    <row r="77" spans="1:26" x14ac:dyDescent="0.2">
      <c r="A77" s="7" t="s">
        <v>77</v>
      </c>
      <c r="B77" s="107">
        <v>12</v>
      </c>
      <c r="C77" s="107">
        <v>8</v>
      </c>
      <c r="E77" s="107">
        <v>5</v>
      </c>
      <c r="G77" s="107">
        <v>25</v>
      </c>
      <c r="M77" s="365" t="s">
        <v>2020</v>
      </c>
      <c r="N77" s="366">
        <v>6</v>
      </c>
      <c r="O77"/>
      <c r="P77" s="71" t="s">
        <v>79</v>
      </c>
      <c r="Q77" s="107">
        <v>8</v>
      </c>
      <c r="R77"/>
      <c r="S77" s="71" t="s">
        <v>325</v>
      </c>
      <c r="T77" s="107">
        <v>1</v>
      </c>
      <c r="V77" s="71" t="s">
        <v>362</v>
      </c>
      <c r="W77" s="107">
        <v>1</v>
      </c>
      <c r="Y77" s="71" t="s">
        <v>144</v>
      </c>
      <c r="Z77" s="107">
        <v>1</v>
      </c>
    </row>
    <row r="78" spans="1:26" x14ac:dyDescent="0.2">
      <c r="A78" s="71" t="s">
        <v>122</v>
      </c>
      <c r="B78" s="107">
        <v>9</v>
      </c>
      <c r="C78" s="107">
        <v>2</v>
      </c>
      <c r="G78" s="107">
        <v>11</v>
      </c>
      <c r="O78"/>
      <c r="P78" s="71" t="s">
        <v>364</v>
      </c>
      <c r="Q78" s="107">
        <v>1</v>
      </c>
      <c r="R78"/>
      <c r="S78" s="71" t="s">
        <v>204</v>
      </c>
      <c r="T78" s="107">
        <v>1</v>
      </c>
      <c r="V78" s="71" t="s">
        <v>144</v>
      </c>
      <c r="W78" s="107">
        <v>1</v>
      </c>
      <c r="Y78" s="365" t="s">
        <v>2020</v>
      </c>
      <c r="Z78" s="366">
        <v>2</v>
      </c>
    </row>
    <row r="79" spans="1:26" x14ac:dyDescent="0.2">
      <c r="A79" s="367" t="s">
        <v>234</v>
      </c>
      <c r="C79" s="107">
        <v>1</v>
      </c>
      <c r="G79" s="107">
        <v>1</v>
      </c>
      <c r="O79"/>
      <c r="P79" s="71" t="s">
        <v>156</v>
      </c>
      <c r="Q79" s="107">
        <v>1</v>
      </c>
      <c r="R79"/>
      <c r="S79" s="71" t="s">
        <v>373</v>
      </c>
      <c r="T79" s="107">
        <v>1</v>
      </c>
      <c r="V79" s="71" t="s">
        <v>430</v>
      </c>
      <c r="W79" s="107">
        <v>3</v>
      </c>
    </row>
    <row r="80" spans="1:26" x14ac:dyDescent="0.2">
      <c r="A80" s="367" t="s">
        <v>134</v>
      </c>
      <c r="B80" s="107">
        <v>2</v>
      </c>
      <c r="G80" s="107">
        <v>2</v>
      </c>
      <c r="O80"/>
      <c r="P80" s="364" t="s">
        <v>749</v>
      </c>
      <c r="Q80" s="185">
        <v>1</v>
      </c>
      <c r="R80"/>
      <c r="S80" s="71" t="s">
        <v>307</v>
      </c>
      <c r="T80" s="107">
        <v>1</v>
      </c>
      <c r="V80" s="364" t="s">
        <v>521</v>
      </c>
      <c r="W80" s="185">
        <v>2</v>
      </c>
    </row>
    <row r="81" spans="1:23" x14ac:dyDescent="0.2">
      <c r="A81" s="367" t="s">
        <v>161</v>
      </c>
      <c r="B81" s="107">
        <v>1</v>
      </c>
      <c r="G81" s="107">
        <v>1</v>
      </c>
      <c r="O81"/>
      <c r="P81" s="71" t="s">
        <v>751</v>
      </c>
      <c r="Q81" s="107">
        <v>1</v>
      </c>
      <c r="R81"/>
      <c r="S81" s="364" t="s">
        <v>551</v>
      </c>
      <c r="T81" s="185">
        <v>4</v>
      </c>
      <c r="V81" s="71" t="s">
        <v>547</v>
      </c>
      <c r="W81" s="107">
        <v>1</v>
      </c>
    </row>
    <row r="82" spans="1:23" x14ac:dyDescent="0.2">
      <c r="A82" s="367" t="s">
        <v>79</v>
      </c>
      <c r="B82" s="107">
        <v>5</v>
      </c>
      <c r="G82" s="107">
        <v>5</v>
      </c>
      <c r="O82"/>
      <c r="P82" s="364" t="s">
        <v>804</v>
      </c>
      <c r="Q82" s="185">
        <v>3</v>
      </c>
      <c r="R82"/>
      <c r="S82" s="71" t="s">
        <v>630</v>
      </c>
      <c r="T82" s="107">
        <v>1</v>
      </c>
      <c r="V82" s="71" t="s">
        <v>526</v>
      </c>
      <c r="W82" s="107">
        <v>1</v>
      </c>
    </row>
    <row r="83" spans="1:23" x14ac:dyDescent="0.2">
      <c r="A83" s="367" t="s">
        <v>204</v>
      </c>
      <c r="C83" s="107">
        <v>1</v>
      </c>
      <c r="G83" s="107">
        <v>1</v>
      </c>
      <c r="O83"/>
      <c r="P83" s="71" t="s">
        <v>822</v>
      </c>
      <c r="Q83" s="107">
        <v>1</v>
      </c>
      <c r="R83"/>
      <c r="S83" s="71" t="s">
        <v>610</v>
      </c>
      <c r="T83" s="107">
        <v>2</v>
      </c>
      <c r="V83" s="364" t="s">
        <v>551</v>
      </c>
      <c r="W83" s="185">
        <v>2</v>
      </c>
    </row>
    <row r="84" spans="1:23" x14ac:dyDescent="0.2">
      <c r="A84" s="367" t="s">
        <v>156</v>
      </c>
      <c r="B84" s="107">
        <v>1</v>
      </c>
      <c r="G84" s="107">
        <v>1</v>
      </c>
      <c r="O84"/>
      <c r="P84" s="71" t="s">
        <v>852</v>
      </c>
      <c r="Q84" s="107">
        <v>1</v>
      </c>
      <c r="R84"/>
      <c r="S84" s="71" t="s">
        <v>634</v>
      </c>
      <c r="T84" s="107">
        <v>1</v>
      </c>
      <c r="V84" s="71" t="s">
        <v>556</v>
      </c>
      <c r="W84" s="107">
        <v>1</v>
      </c>
    </row>
    <row r="85" spans="1:23" x14ac:dyDescent="0.2">
      <c r="A85" s="71" t="s">
        <v>256</v>
      </c>
      <c r="C85" s="107">
        <v>3</v>
      </c>
      <c r="G85" s="107">
        <v>3</v>
      </c>
      <c r="O85"/>
      <c r="P85" s="71" t="s">
        <v>830</v>
      </c>
      <c r="Q85" s="107">
        <v>1</v>
      </c>
      <c r="R85"/>
      <c r="S85" s="364" t="s">
        <v>893</v>
      </c>
      <c r="T85" s="185">
        <v>2</v>
      </c>
      <c r="V85" s="71" t="s">
        <v>563</v>
      </c>
      <c r="W85" s="107">
        <v>1</v>
      </c>
    </row>
    <row r="86" spans="1:23" x14ac:dyDescent="0.2">
      <c r="A86" s="367" t="s">
        <v>94</v>
      </c>
      <c r="C86" s="107">
        <v>3</v>
      </c>
      <c r="G86" s="107">
        <v>3</v>
      </c>
      <c r="P86" s="364" t="s">
        <v>1018</v>
      </c>
      <c r="Q86" s="185">
        <v>7</v>
      </c>
      <c r="S86" s="71" t="s">
        <v>921</v>
      </c>
      <c r="T86" s="107">
        <v>1</v>
      </c>
      <c r="V86" s="364" t="s">
        <v>684</v>
      </c>
      <c r="W86" s="185">
        <v>8</v>
      </c>
    </row>
    <row r="87" spans="1:23" x14ac:dyDescent="0.2">
      <c r="A87" s="71" t="s">
        <v>303</v>
      </c>
      <c r="B87" s="107">
        <v>2</v>
      </c>
      <c r="C87" s="107">
        <v>2</v>
      </c>
      <c r="E87" s="107">
        <v>1</v>
      </c>
      <c r="G87" s="107">
        <v>5</v>
      </c>
      <c r="P87" s="71" t="s">
        <v>1042</v>
      </c>
      <c r="Q87" s="107">
        <v>1</v>
      </c>
      <c r="S87" s="71" t="s">
        <v>916</v>
      </c>
      <c r="T87" s="107">
        <v>1</v>
      </c>
      <c r="V87" s="71" t="s">
        <v>685</v>
      </c>
      <c r="W87" s="107">
        <v>1</v>
      </c>
    </row>
    <row r="88" spans="1:23" x14ac:dyDescent="0.2">
      <c r="A88" s="367" t="s">
        <v>362</v>
      </c>
      <c r="E88" s="107">
        <v>1</v>
      </c>
      <c r="G88" s="107">
        <v>1</v>
      </c>
      <c r="P88" s="71" t="s">
        <v>1054</v>
      </c>
      <c r="Q88" s="107">
        <v>1</v>
      </c>
      <c r="S88" s="364" t="s">
        <v>678</v>
      </c>
      <c r="T88" s="185">
        <v>1</v>
      </c>
      <c r="V88" s="71" t="s">
        <v>739</v>
      </c>
      <c r="W88" s="107">
        <v>3</v>
      </c>
    </row>
    <row r="89" spans="1:23" x14ac:dyDescent="0.2">
      <c r="A89" s="367" t="s">
        <v>79</v>
      </c>
      <c r="B89" s="107">
        <v>1</v>
      </c>
      <c r="G89" s="107">
        <v>1</v>
      </c>
      <c r="P89" s="71" t="s">
        <v>1083</v>
      </c>
      <c r="Q89" s="107">
        <v>3</v>
      </c>
      <c r="S89" s="71" t="s">
        <v>952</v>
      </c>
      <c r="T89" s="107">
        <v>1</v>
      </c>
      <c r="V89" s="71" t="s">
        <v>689</v>
      </c>
      <c r="W89" s="107">
        <v>2</v>
      </c>
    </row>
    <row r="90" spans="1:23" x14ac:dyDescent="0.2">
      <c r="A90" s="367" t="s">
        <v>325</v>
      </c>
      <c r="C90" s="107">
        <v>1</v>
      </c>
      <c r="G90" s="107">
        <v>1</v>
      </c>
      <c r="P90" s="71" t="s">
        <v>1100</v>
      </c>
      <c r="Q90" s="107">
        <v>2</v>
      </c>
      <c r="S90" s="365" t="s">
        <v>2020</v>
      </c>
      <c r="T90" s="366">
        <v>15</v>
      </c>
      <c r="V90" s="71" t="s">
        <v>728</v>
      </c>
      <c r="W90" s="107">
        <v>2</v>
      </c>
    </row>
    <row r="91" spans="1:23" x14ac:dyDescent="0.2">
      <c r="A91" s="367" t="s">
        <v>364</v>
      </c>
      <c r="B91" s="107">
        <v>1</v>
      </c>
      <c r="G91" s="107">
        <v>1</v>
      </c>
      <c r="P91" s="365" t="s">
        <v>2020</v>
      </c>
      <c r="Q91" s="366">
        <v>24</v>
      </c>
      <c r="V91" s="365" t="s">
        <v>2020</v>
      </c>
      <c r="W91" s="366">
        <v>18</v>
      </c>
    </row>
    <row r="92" spans="1:23" x14ac:dyDescent="0.2">
      <c r="A92" s="367" t="s">
        <v>307</v>
      </c>
      <c r="C92" s="107">
        <v>1</v>
      </c>
      <c r="G92" s="107">
        <v>1</v>
      </c>
    </row>
    <row r="93" spans="1:23" x14ac:dyDescent="0.2">
      <c r="A93" s="71" t="s">
        <v>368</v>
      </c>
      <c r="B93" s="107">
        <v>1</v>
      </c>
      <c r="C93" s="107">
        <v>1</v>
      </c>
      <c r="G93" s="107">
        <v>2</v>
      </c>
    </row>
    <row r="94" spans="1:23" x14ac:dyDescent="0.2">
      <c r="A94" s="367" t="s">
        <v>79</v>
      </c>
      <c r="B94" s="107">
        <v>1</v>
      </c>
      <c r="G94" s="107">
        <v>1</v>
      </c>
    </row>
    <row r="95" spans="1:23" x14ac:dyDescent="0.2">
      <c r="A95" s="367" t="s">
        <v>373</v>
      </c>
      <c r="C95" s="107">
        <v>1</v>
      </c>
      <c r="G95" s="107">
        <v>1</v>
      </c>
    </row>
    <row r="96" spans="1:23" x14ac:dyDescent="0.2">
      <c r="A96" s="71" t="s">
        <v>429</v>
      </c>
      <c r="E96" s="107">
        <v>3</v>
      </c>
      <c r="G96" s="107">
        <v>3</v>
      </c>
    </row>
    <row r="97" spans="1:7" x14ac:dyDescent="0.2">
      <c r="A97" s="367" t="s">
        <v>430</v>
      </c>
      <c r="E97" s="107">
        <v>3</v>
      </c>
      <c r="G97" s="107">
        <v>3</v>
      </c>
    </row>
    <row r="98" spans="1:7" x14ac:dyDescent="0.2">
      <c r="A98" s="71" t="s">
        <v>143</v>
      </c>
      <c r="E98" s="107">
        <v>1</v>
      </c>
      <c r="G98" s="107">
        <v>1</v>
      </c>
    </row>
    <row r="99" spans="1:7" x14ac:dyDescent="0.2">
      <c r="A99" s="367" t="s">
        <v>144</v>
      </c>
      <c r="E99" s="107">
        <v>1</v>
      </c>
      <c r="G99" s="107">
        <v>1</v>
      </c>
    </row>
    <row r="100" spans="1:7" x14ac:dyDescent="0.2">
      <c r="A100" s="7" t="s">
        <v>521</v>
      </c>
      <c r="E100" s="107">
        <v>2</v>
      </c>
      <c r="G100" s="107">
        <v>2</v>
      </c>
    </row>
    <row r="101" spans="1:7" x14ac:dyDescent="0.2">
      <c r="A101" s="71" t="s">
        <v>522</v>
      </c>
      <c r="E101" s="107">
        <v>2</v>
      </c>
      <c r="G101" s="107">
        <v>2</v>
      </c>
    </row>
    <row r="102" spans="1:7" x14ac:dyDescent="0.2">
      <c r="A102" s="367" t="s">
        <v>547</v>
      </c>
      <c r="E102" s="107">
        <v>1</v>
      </c>
      <c r="G102" s="107">
        <v>1</v>
      </c>
    </row>
    <row r="103" spans="1:7" x14ac:dyDescent="0.2">
      <c r="A103" s="367" t="s">
        <v>526</v>
      </c>
      <c r="E103" s="107">
        <v>1</v>
      </c>
      <c r="G103" s="107">
        <v>1</v>
      </c>
    </row>
    <row r="104" spans="1:7" x14ac:dyDescent="0.2">
      <c r="A104" s="7" t="s">
        <v>551</v>
      </c>
      <c r="C104" s="107">
        <v>4</v>
      </c>
      <c r="E104" s="107">
        <v>2</v>
      </c>
      <c r="G104" s="107">
        <v>6</v>
      </c>
    </row>
    <row r="105" spans="1:7" x14ac:dyDescent="0.2">
      <c r="A105" s="71" t="s">
        <v>552</v>
      </c>
      <c r="E105" s="107">
        <v>2</v>
      </c>
      <c r="G105" s="107">
        <v>2</v>
      </c>
    </row>
    <row r="106" spans="1:7" x14ac:dyDescent="0.2">
      <c r="A106" s="367" t="s">
        <v>556</v>
      </c>
      <c r="E106" s="107">
        <v>1</v>
      </c>
      <c r="G106" s="107">
        <v>1</v>
      </c>
    </row>
    <row r="107" spans="1:7" x14ac:dyDescent="0.2">
      <c r="A107" s="367" t="s">
        <v>563</v>
      </c>
      <c r="E107" s="107">
        <v>1</v>
      </c>
      <c r="G107" s="107">
        <v>1</v>
      </c>
    </row>
    <row r="108" spans="1:7" x14ac:dyDescent="0.2">
      <c r="A108" s="71" t="s">
        <v>606</v>
      </c>
      <c r="C108" s="107">
        <v>2</v>
      </c>
      <c r="G108" s="107">
        <v>2</v>
      </c>
    </row>
    <row r="109" spans="1:7" x14ac:dyDescent="0.2">
      <c r="A109" s="367" t="s">
        <v>610</v>
      </c>
      <c r="C109" s="107">
        <v>2</v>
      </c>
      <c r="G109" s="107">
        <v>2</v>
      </c>
    </row>
    <row r="110" spans="1:7" x14ac:dyDescent="0.2">
      <c r="A110" s="71" t="s">
        <v>629</v>
      </c>
      <c r="C110" s="107">
        <v>2</v>
      </c>
      <c r="G110" s="107">
        <v>2</v>
      </c>
    </row>
    <row r="111" spans="1:7" x14ac:dyDescent="0.2">
      <c r="A111" s="367" t="s">
        <v>630</v>
      </c>
      <c r="C111" s="107">
        <v>1</v>
      </c>
      <c r="G111" s="107">
        <v>1</v>
      </c>
    </row>
    <row r="112" spans="1:7" x14ac:dyDescent="0.2">
      <c r="A112" s="367" t="s">
        <v>634</v>
      </c>
      <c r="C112" s="107">
        <v>1</v>
      </c>
      <c r="G112" s="107">
        <v>1</v>
      </c>
    </row>
    <row r="113" spans="1:12" x14ac:dyDescent="0.2">
      <c r="A113" s="7" t="s">
        <v>684</v>
      </c>
      <c r="D113" s="107">
        <v>2</v>
      </c>
      <c r="E113" s="107">
        <v>6</v>
      </c>
      <c r="F113" s="107">
        <v>1</v>
      </c>
      <c r="G113" s="107">
        <v>9</v>
      </c>
    </row>
    <row r="114" spans="1:12" x14ac:dyDescent="0.2">
      <c r="A114" s="71" t="s">
        <v>667</v>
      </c>
      <c r="E114" s="107">
        <v>3</v>
      </c>
      <c r="G114" s="107">
        <v>3</v>
      </c>
    </row>
    <row r="115" spans="1:12" x14ac:dyDescent="0.2">
      <c r="A115" s="367" t="s">
        <v>685</v>
      </c>
      <c r="E115" s="107">
        <v>1</v>
      </c>
      <c r="G115" s="107">
        <v>1</v>
      </c>
    </row>
    <row r="116" spans="1:12" x14ac:dyDescent="0.2">
      <c r="A116" s="367" t="s">
        <v>689</v>
      </c>
      <c r="E116" s="107">
        <v>2</v>
      </c>
      <c r="G116" s="107">
        <v>2</v>
      </c>
    </row>
    <row r="117" spans="1:12" x14ac:dyDescent="0.2">
      <c r="A117" s="71" t="s">
        <v>723</v>
      </c>
      <c r="D117" s="107">
        <v>2</v>
      </c>
      <c r="F117" s="107">
        <v>1</v>
      </c>
      <c r="G117" s="107">
        <v>3</v>
      </c>
    </row>
    <row r="118" spans="1:12" x14ac:dyDescent="0.2">
      <c r="A118" s="367" t="s">
        <v>728</v>
      </c>
      <c r="D118" s="107">
        <v>2</v>
      </c>
      <c r="F118" s="107">
        <v>1</v>
      </c>
      <c r="G118" s="107">
        <v>3</v>
      </c>
    </row>
    <row r="119" spans="1:12" x14ac:dyDescent="0.2">
      <c r="A119" s="71" t="s">
        <v>733</v>
      </c>
      <c r="E119" s="107">
        <v>3</v>
      </c>
      <c r="G119" s="107">
        <v>3</v>
      </c>
    </row>
    <row r="120" spans="1:12" x14ac:dyDescent="0.2">
      <c r="A120" s="367" t="s">
        <v>739</v>
      </c>
      <c r="E120" s="107">
        <v>3</v>
      </c>
      <c r="G120" s="107">
        <v>3</v>
      </c>
    </row>
    <row r="121" spans="1:12" x14ac:dyDescent="0.2">
      <c r="A121" s="7" t="s">
        <v>749</v>
      </c>
      <c r="B121" s="107">
        <v>1</v>
      </c>
      <c r="G121" s="107">
        <v>1</v>
      </c>
    </row>
    <row r="122" spans="1:12" x14ac:dyDescent="0.2">
      <c r="A122" s="71" t="s">
        <v>750</v>
      </c>
      <c r="B122" s="107">
        <v>1</v>
      </c>
      <c r="G122" s="107">
        <v>1</v>
      </c>
    </row>
    <row r="123" spans="1:12" x14ac:dyDescent="0.2">
      <c r="A123" s="367" t="s">
        <v>751</v>
      </c>
      <c r="B123" s="107">
        <v>1</v>
      </c>
      <c r="G123" s="107">
        <v>1</v>
      </c>
      <c r="H123"/>
      <c r="I123"/>
      <c r="J123"/>
      <c r="K123"/>
      <c r="L123"/>
    </row>
    <row r="124" spans="1:12" x14ac:dyDescent="0.2">
      <c r="A124" s="7" t="s">
        <v>804</v>
      </c>
      <c r="B124" s="107">
        <v>3</v>
      </c>
      <c r="G124" s="107">
        <v>3</v>
      </c>
      <c r="H124"/>
      <c r="I124"/>
      <c r="J124"/>
      <c r="K124"/>
      <c r="L124"/>
    </row>
    <row r="125" spans="1:12" x14ac:dyDescent="0.2">
      <c r="A125" s="71" t="s">
        <v>805</v>
      </c>
      <c r="B125" s="107">
        <v>3</v>
      </c>
      <c r="G125" s="107">
        <v>3</v>
      </c>
      <c r="H125"/>
      <c r="I125"/>
      <c r="J125"/>
      <c r="K125"/>
      <c r="L125"/>
    </row>
    <row r="126" spans="1:12" x14ac:dyDescent="0.2">
      <c r="A126" s="367" t="s">
        <v>822</v>
      </c>
      <c r="B126" s="107">
        <v>1</v>
      </c>
      <c r="G126" s="107">
        <v>1</v>
      </c>
      <c r="H126"/>
      <c r="I126"/>
      <c r="J126"/>
      <c r="K126"/>
      <c r="L126"/>
    </row>
    <row r="127" spans="1:12" x14ac:dyDescent="0.2">
      <c r="A127" s="367" t="s">
        <v>852</v>
      </c>
      <c r="B127" s="107">
        <v>1</v>
      </c>
      <c r="G127" s="107">
        <v>1</v>
      </c>
      <c r="H127"/>
      <c r="I127"/>
      <c r="J127"/>
      <c r="K127"/>
      <c r="L127"/>
    </row>
    <row r="128" spans="1:12" x14ac:dyDescent="0.2">
      <c r="A128" s="367" t="s">
        <v>830</v>
      </c>
      <c r="B128" s="107">
        <v>1</v>
      </c>
      <c r="G128" s="107">
        <v>1</v>
      </c>
      <c r="H128"/>
      <c r="I128"/>
      <c r="J128"/>
      <c r="K128"/>
      <c r="L128"/>
    </row>
    <row r="129" spans="1:12" x14ac:dyDescent="0.2">
      <c r="A129" s="7" t="s">
        <v>893</v>
      </c>
      <c r="C129" s="107">
        <v>2</v>
      </c>
      <c r="G129" s="107">
        <v>2</v>
      </c>
      <c r="H129"/>
      <c r="I129"/>
      <c r="J129"/>
      <c r="K129"/>
      <c r="L129"/>
    </row>
    <row r="130" spans="1:12" x14ac:dyDescent="0.2">
      <c r="A130" s="71" t="s">
        <v>894</v>
      </c>
      <c r="C130" s="107">
        <v>2</v>
      </c>
      <c r="G130" s="107">
        <v>2</v>
      </c>
      <c r="H130"/>
      <c r="I130"/>
      <c r="J130"/>
      <c r="K130"/>
      <c r="L130"/>
    </row>
    <row r="131" spans="1:12" x14ac:dyDescent="0.2">
      <c r="A131" s="367" t="s">
        <v>921</v>
      </c>
      <c r="C131" s="107">
        <v>1</v>
      </c>
      <c r="G131" s="107">
        <v>1</v>
      </c>
      <c r="H131"/>
      <c r="I131"/>
      <c r="J131"/>
      <c r="K131"/>
      <c r="L131"/>
    </row>
    <row r="132" spans="1:12" x14ac:dyDescent="0.2">
      <c r="A132" s="367" t="s">
        <v>916</v>
      </c>
      <c r="C132" s="107">
        <v>1</v>
      </c>
      <c r="G132" s="107">
        <v>1</v>
      </c>
      <c r="H132"/>
      <c r="I132"/>
      <c r="J132"/>
      <c r="K132"/>
      <c r="L132"/>
    </row>
    <row r="133" spans="1:12" x14ac:dyDescent="0.2">
      <c r="A133" s="7" t="s">
        <v>678</v>
      </c>
      <c r="F133" s="107">
        <v>1</v>
      </c>
      <c r="G133" s="107">
        <v>1</v>
      </c>
      <c r="H133"/>
      <c r="I133"/>
      <c r="J133"/>
      <c r="K133"/>
      <c r="L133"/>
    </row>
    <row r="134" spans="1:12" x14ac:dyDescent="0.2">
      <c r="A134" s="71" t="s">
        <v>679</v>
      </c>
      <c r="F134" s="107">
        <v>1</v>
      </c>
      <c r="G134" s="107">
        <v>1</v>
      </c>
      <c r="H134"/>
      <c r="I134"/>
      <c r="J134"/>
      <c r="K134"/>
      <c r="L134"/>
    </row>
    <row r="135" spans="1:12" x14ac:dyDescent="0.2">
      <c r="A135" s="367" t="s">
        <v>952</v>
      </c>
      <c r="F135" s="107">
        <v>1</v>
      </c>
      <c r="G135" s="107">
        <v>1</v>
      </c>
      <c r="H135"/>
      <c r="I135"/>
      <c r="J135"/>
      <c r="K135"/>
      <c r="L135"/>
    </row>
    <row r="136" spans="1:12" x14ac:dyDescent="0.2">
      <c r="A136" s="7" t="s">
        <v>1018</v>
      </c>
      <c r="B136" s="107">
        <v>7</v>
      </c>
      <c r="G136" s="107">
        <v>7</v>
      </c>
      <c r="H136"/>
      <c r="I136"/>
      <c r="J136"/>
      <c r="K136"/>
      <c r="L136"/>
    </row>
    <row r="137" spans="1:12" x14ac:dyDescent="0.2">
      <c r="A137" s="71" t="s">
        <v>1034</v>
      </c>
      <c r="B137" s="107">
        <v>7</v>
      </c>
      <c r="G137" s="107">
        <v>7</v>
      </c>
      <c r="H137"/>
      <c r="I137"/>
      <c r="J137"/>
      <c r="K137"/>
      <c r="L137"/>
    </row>
    <row r="138" spans="1:12" x14ac:dyDescent="0.2">
      <c r="A138" s="367" t="s">
        <v>1042</v>
      </c>
      <c r="B138" s="107">
        <v>1</v>
      </c>
      <c r="G138" s="107">
        <v>1</v>
      </c>
      <c r="H138"/>
      <c r="I138"/>
      <c r="J138"/>
      <c r="K138"/>
      <c r="L138"/>
    </row>
    <row r="139" spans="1:12" x14ac:dyDescent="0.2">
      <c r="A139" s="367" t="s">
        <v>1054</v>
      </c>
      <c r="B139" s="107">
        <v>1</v>
      </c>
      <c r="G139" s="107">
        <v>1</v>
      </c>
      <c r="H139"/>
      <c r="I139"/>
      <c r="J139"/>
      <c r="K139"/>
      <c r="L139"/>
    </row>
    <row r="140" spans="1:12" x14ac:dyDescent="0.2">
      <c r="A140" s="367" t="s">
        <v>1083</v>
      </c>
      <c r="B140" s="107">
        <v>3</v>
      </c>
      <c r="G140" s="107">
        <v>3</v>
      </c>
      <c r="H140"/>
      <c r="I140"/>
      <c r="J140"/>
      <c r="K140"/>
      <c r="L140"/>
    </row>
    <row r="141" spans="1:12" x14ac:dyDescent="0.2">
      <c r="A141" s="367" t="s">
        <v>1100</v>
      </c>
      <c r="B141" s="107">
        <v>2</v>
      </c>
      <c r="G141" s="107">
        <v>2</v>
      </c>
      <c r="H141"/>
      <c r="I141"/>
      <c r="J141"/>
      <c r="K141"/>
      <c r="L141"/>
    </row>
    <row r="142" spans="1:12" x14ac:dyDescent="0.2">
      <c r="A142" s="7" t="s">
        <v>2020</v>
      </c>
      <c r="B142" s="107">
        <v>23</v>
      </c>
      <c r="C142" s="107">
        <v>14</v>
      </c>
      <c r="D142" s="107">
        <v>3</v>
      </c>
      <c r="E142" s="107">
        <v>16</v>
      </c>
      <c r="F142" s="107">
        <v>2</v>
      </c>
      <c r="G142" s="107">
        <v>58</v>
      </c>
      <c r="H142"/>
      <c r="I142"/>
      <c r="J142"/>
      <c r="K142"/>
      <c r="L142"/>
    </row>
    <row r="143" spans="1:12" x14ac:dyDescent="0.2">
      <c r="B143"/>
      <c r="C143"/>
      <c r="D143"/>
      <c r="E143"/>
      <c r="F143"/>
      <c r="G143"/>
      <c r="H143"/>
      <c r="I143"/>
      <c r="J143"/>
      <c r="K143"/>
      <c r="L143"/>
    </row>
    <row r="144" spans="1:12" x14ac:dyDescent="0.2">
      <c r="B144"/>
      <c r="C144"/>
      <c r="D144"/>
      <c r="E144"/>
      <c r="F144"/>
      <c r="G144"/>
      <c r="H144"/>
      <c r="I144"/>
      <c r="J144"/>
      <c r="K144"/>
      <c r="L144"/>
    </row>
    <row r="145" spans="2:12" x14ac:dyDescent="0.2">
      <c r="B145"/>
      <c r="C145"/>
      <c r="D145"/>
      <c r="E145"/>
      <c r="F145"/>
      <c r="G145"/>
      <c r="H145"/>
      <c r="I145"/>
      <c r="J145"/>
      <c r="K145"/>
      <c r="L145"/>
    </row>
    <row r="146" spans="2:12" x14ac:dyDescent="0.2">
      <c r="B146"/>
      <c r="C146"/>
      <c r="D146"/>
      <c r="E146"/>
      <c r="F146"/>
      <c r="G146"/>
      <c r="H146"/>
      <c r="I146"/>
      <c r="J146"/>
      <c r="K146"/>
      <c r="L146"/>
    </row>
  </sheetData>
  <mergeCells count="5">
    <mergeCell ref="N9:O9"/>
    <mergeCell ref="P9:Q9"/>
    <mergeCell ref="R9:R10"/>
    <mergeCell ref="M9:M10"/>
    <mergeCell ref="S9:S10"/>
  </mergeCell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A9C4-49E9-4E4A-850E-482108EF87A8}">
  <dimension ref="A1:AI153"/>
  <sheetViews>
    <sheetView topLeftCell="A95" zoomScale="99" workbookViewId="0">
      <selection activeCell="B58" sqref="B58:C58"/>
    </sheetView>
  </sheetViews>
  <sheetFormatPr baseColWidth="10" defaultColWidth="11" defaultRowHeight="16" x14ac:dyDescent="0.2"/>
  <cols>
    <col min="1" max="1" width="14.1640625" customWidth="1"/>
    <col min="2" max="9" width="9.5" customWidth="1"/>
    <col min="10" max="11" width="8.83203125" customWidth="1"/>
    <col min="12" max="12" width="4.33203125" customWidth="1"/>
    <col min="13" max="13" width="8.5" customWidth="1"/>
    <col min="14" max="31" width="8.83203125" customWidth="1"/>
    <col min="32" max="32" width="6.83203125" customWidth="1"/>
  </cols>
  <sheetData>
    <row r="1" spans="1:19" ht="51" x14ac:dyDescent="0.2">
      <c r="A1" s="173" t="s">
        <v>2019</v>
      </c>
      <c r="B1" s="174" t="s">
        <v>2071</v>
      </c>
      <c r="C1" s="174" t="s">
        <v>2072</v>
      </c>
      <c r="D1" s="174" t="s">
        <v>34</v>
      </c>
      <c r="E1" s="175" t="s">
        <v>2073</v>
      </c>
      <c r="F1" s="175" t="s">
        <v>2014</v>
      </c>
      <c r="G1" s="174" t="s">
        <v>2074</v>
      </c>
      <c r="I1" s="174" t="s">
        <v>2075</v>
      </c>
      <c r="J1" s="174" t="s">
        <v>2073</v>
      </c>
      <c r="K1" s="175" t="s">
        <v>2076</v>
      </c>
      <c r="L1" s="107"/>
      <c r="M1" s="175" t="s">
        <v>2077</v>
      </c>
      <c r="N1" s="107"/>
      <c r="O1" s="174" t="s">
        <v>2078</v>
      </c>
      <c r="P1" s="174" t="s">
        <v>2079</v>
      </c>
      <c r="Q1" s="107"/>
      <c r="R1" s="174" t="s">
        <v>2080</v>
      </c>
      <c r="S1" s="174" t="s">
        <v>2014</v>
      </c>
    </row>
    <row r="2" spans="1:19" x14ac:dyDescent="0.2">
      <c r="A2" s="164" t="s">
        <v>2081</v>
      </c>
      <c r="B2" s="165"/>
      <c r="C2" s="165"/>
      <c r="D2" s="165">
        <v>9</v>
      </c>
      <c r="E2" s="166">
        <v>9</v>
      </c>
      <c r="F2" s="166">
        <f>D2-E2</f>
        <v>0</v>
      </c>
      <c r="G2" s="165">
        <f>SUM(B2:D2)</f>
        <v>9</v>
      </c>
      <c r="I2" s="165">
        <v>4</v>
      </c>
      <c r="J2" s="165">
        <v>9</v>
      </c>
      <c r="K2" s="166">
        <f>J2-I2</f>
        <v>5</v>
      </c>
      <c r="L2" s="107"/>
      <c r="M2" s="166">
        <v>2</v>
      </c>
      <c r="N2" s="107"/>
      <c r="O2" s="195">
        <f>D2/257</f>
        <v>3.5019455252918288E-2</v>
      </c>
      <c r="P2" s="195">
        <f>G2/329</f>
        <v>2.7355623100303952E-2</v>
      </c>
      <c r="Q2" s="107"/>
      <c r="R2" s="195">
        <f>I2/146</f>
        <v>2.7397260273972601E-2</v>
      </c>
      <c r="S2" s="195">
        <f>O2-R2</f>
        <v>7.6221949789456872E-3</v>
      </c>
    </row>
    <row r="3" spans="1:19" x14ac:dyDescent="0.2">
      <c r="A3" s="164" t="s">
        <v>77</v>
      </c>
      <c r="B3" s="165">
        <v>42</v>
      </c>
      <c r="C3" s="165">
        <v>9</v>
      </c>
      <c r="D3" s="165">
        <f>SUM(D4:D11)</f>
        <v>85</v>
      </c>
      <c r="E3" s="166">
        <f>SUM(E4:E11)</f>
        <v>80</v>
      </c>
      <c r="F3" s="166">
        <f t="shared" ref="F3:F25" si="0">D3-E3</f>
        <v>5</v>
      </c>
      <c r="G3" s="165">
        <f>SUM(B3:D3)</f>
        <v>136</v>
      </c>
      <c r="I3" s="165">
        <f>SUM(I4:I11)</f>
        <v>43</v>
      </c>
      <c r="J3" s="165">
        <f>SUM(J4:J11)</f>
        <v>85</v>
      </c>
      <c r="K3" s="166">
        <f>J3-I3</f>
        <v>42</v>
      </c>
      <c r="L3" s="107"/>
      <c r="M3" s="166">
        <f>SUM(M4:M11)</f>
        <v>28</v>
      </c>
      <c r="N3" s="107"/>
      <c r="O3" s="195">
        <f t="shared" ref="O3:O25" si="1">D3/257</f>
        <v>0.33073929961089493</v>
      </c>
      <c r="P3" s="195">
        <f t="shared" ref="P3:P25" si="2">G3/329</f>
        <v>0.41337386018237082</v>
      </c>
      <c r="Q3" s="107"/>
      <c r="R3" s="195">
        <f t="shared" ref="R3:R25" si="3">I3/146</f>
        <v>0.29452054794520549</v>
      </c>
      <c r="S3" s="195">
        <f t="shared" ref="S3:S25" si="4">O3-R3</f>
        <v>3.6218751665689441E-2</v>
      </c>
    </row>
    <row r="4" spans="1:19" x14ac:dyDescent="0.2">
      <c r="A4" s="167" t="s">
        <v>2082</v>
      </c>
      <c r="B4" s="168"/>
      <c r="C4" s="168"/>
      <c r="D4" s="168">
        <v>7</v>
      </c>
      <c r="E4" s="169">
        <v>2</v>
      </c>
      <c r="F4" s="169">
        <f t="shared" si="0"/>
        <v>5</v>
      </c>
      <c r="G4" s="168">
        <f>SUM(B4:D4)</f>
        <v>7</v>
      </c>
      <c r="I4" s="168">
        <v>2</v>
      </c>
      <c r="J4" s="168">
        <v>7</v>
      </c>
      <c r="K4" s="169">
        <f>J4-I4</f>
        <v>5</v>
      </c>
      <c r="L4" s="107"/>
      <c r="M4" s="169">
        <v>0</v>
      </c>
      <c r="N4" s="107"/>
      <c r="O4" s="217">
        <f t="shared" si="1"/>
        <v>2.7237354085603113E-2</v>
      </c>
      <c r="P4" s="217">
        <f t="shared" si="2"/>
        <v>2.1276595744680851E-2</v>
      </c>
      <c r="Q4" s="107"/>
      <c r="R4" s="217">
        <f t="shared" si="3"/>
        <v>1.3698630136986301E-2</v>
      </c>
      <c r="S4" s="217">
        <f t="shared" si="4"/>
        <v>1.3538723948616813E-2</v>
      </c>
    </row>
    <row r="5" spans="1:19" x14ac:dyDescent="0.2">
      <c r="A5" s="167" t="s">
        <v>122</v>
      </c>
      <c r="B5" s="168">
        <v>18</v>
      </c>
      <c r="C5" s="168"/>
      <c r="D5" s="168">
        <v>25</v>
      </c>
      <c r="E5" s="169">
        <v>25</v>
      </c>
      <c r="F5" s="169">
        <f t="shared" si="0"/>
        <v>0</v>
      </c>
      <c r="G5" s="168">
        <f t="shared" ref="G5:G11" si="5">SUM(B5:D5)</f>
        <v>43</v>
      </c>
      <c r="I5" s="168">
        <v>13</v>
      </c>
      <c r="J5" s="168">
        <v>25</v>
      </c>
      <c r="K5" s="169">
        <f t="shared" ref="K5:K11" si="6">J5-I5</f>
        <v>12</v>
      </c>
      <c r="L5" s="107"/>
      <c r="M5" s="169">
        <v>8</v>
      </c>
      <c r="N5" s="107"/>
      <c r="O5" s="217">
        <f t="shared" si="1"/>
        <v>9.727626459143969E-2</v>
      </c>
      <c r="P5" s="217">
        <f t="shared" si="2"/>
        <v>0.13069908814589665</v>
      </c>
      <c r="Q5" s="107"/>
      <c r="R5" s="217">
        <f t="shared" si="3"/>
        <v>8.9041095890410954E-2</v>
      </c>
      <c r="S5" s="217">
        <f t="shared" si="4"/>
        <v>8.2351687010287361E-3</v>
      </c>
    </row>
    <row r="6" spans="1:19" x14ac:dyDescent="0.2">
      <c r="A6" s="167" t="s">
        <v>256</v>
      </c>
      <c r="B6" s="168">
        <v>3</v>
      </c>
      <c r="C6" s="168"/>
      <c r="D6" s="168">
        <v>9</v>
      </c>
      <c r="E6" s="169">
        <v>10</v>
      </c>
      <c r="F6" s="169">
        <f t="shared" si="0"/>
        <v>-1</v>
      </c>
      <c r="G6" s="168">
        <f t="shared" si="5"/>
        <v>12</v>
      </c>
      <c r="I6" s="168">
        <v>5</v>
      </c>
      <c r="J6" s="168">
        <v>9</v>
      </c>
      <c r="K6" s="169">
        <f t="shared" si="6"/>
        <v>4</v>
      </c>
      <c r="L6" s="107"/>
      <c r="M6" s="169">
        <v>4</v>
      </c>
      <c r="N6" s="107"/>
      <c r="O6" s="217">
        <f t="shared" si="1"/>
        <v>3.5019455252918288E-2</v>
      </c>
      <c r="P6" s="217">
        <f t="shared" si="2"/>
        <v>3.64741641337386E-2</v>
      </c>
      <c r="Q6" s="107"/>
      <c r="R6" s="217">
        <f t="shared" si="3"/>
        <v>3.4246575342465752E-2</v>
      </c>
      <c r="S6" s="217">
        <f t="shared" si="4"/>
        <v>7.728799104525369E-4</v>
      </c>
    </row>
    <row r="7" spans="1:19" x14ac:dyDescent="0.2">
      <c r="A7" s="167" t="s">
        <v>303</v>
      </c>
      <c r="B7" s="168">
        <v>21</v>
      </c>
      <c r="C7" s="168"/>
      <c r="D7" s="168">
        <v>17</v>
      </c>
      <c r="E7" s="169">
        <v>17</v>
      </c>
      <c r="F7" s="169">
        <f t="shared" si="0"/>
        <v>0</v>
      </c>
      <c r="G7" s="168">
        <f t="shared" si="5"/>
        <v>38</v>
      </c>
      <c r="I7" s="168">
        <v>11</v>
      </c>
      <c r="J7" s="168">
        <v>17</v>
      </c>
      <c r="K7" s="169">
        <f t="shared" si="6"/>
        <v>6</v>
      </c>
      <c r="L7" s="107"/>
      <c r="M7" s="169">
        <v>6</v>
      </c>
      <c r="N7" s="107"/>
      <c r="O7" s="217">
        <f t="shared" si="1"/>
        <v>6.6147859922178989E-2</v>
      </c>
      <c r="P7" s="217">
        <f t="shared" si="2"/>
        <v>0.11550151975683891</v>
      </c>
      <c r="Q7" s="107"/>
      <c r="R7" s="217">
        <f t="shared" si="3"/>
        <v>7.5342465753424653E-2</v>
      </c>
      <c r="S7" s="217">
        <f t="shared" si="4"/>
        <v>-9.1946058312456641E-3</v>
      </c>
    </row>
    <row r="8" spans="1:19" x14ac:dyDescent="0.2">
      <c r="A8" s="167" t="s">
        <v>2083</v>
      </c>
      <c r="B8" s="168"/>
      <c r="C8" s="168"/>
      <c r="D8" s="168">
        <v>4</v>
      </c>
      <c r="E8" s="169">
        <v>4</v>
      </c>
      <c r="F8" s="169">
        <f t="shared" si="0"/>
        <v>0</v>
      </c>
      <c r="G8" s="168">
        <f t="shared" si="5"/>
        <v>4</v>
      </c>
      <c r="I8" s="168">
        <v>2</v>
      </c>
      <c r="J8" s="168">
        <v>4</v>
      </c>
      <c r="K8" s="169">
        <f t="shared" si="6"/>
        <v>2</v>
      </c>
      <c r="L8" s="107"/>
      <c r="M8" s="169">
        <v>1</v>
      </c>
      <c r="N8" s="107"/>
      <c r="O8" s="217">
        <f t="shared" si="1"/>
        <v>1.556420233463035E-2</v>
      </c>
      <c r="P8" s="217">
        <f t="shared" si="2"/>
        <v>1.2158054711246201E-2</v>
      </c>
      <c r="Q8" s="107"/>
      <c r="R8" s="217">
        <f t="shared" si="3"/>
        <v>1.3698630136986301E-2</v>
      </c>
      <c r="S8" s="217">
        <f t="shared" si="4"/>
        <v>1.8655721976440498E-3</v>
      </c>
    </row>
    <row r="9" spans="1:19" x14ac:dyDescent="0.2">
      <c r="A9" s="167" t="s">
        <v>405</v>
      </c>
      <c r="B9" s="168"/>
      <c r="C9" s="168"/>
      <c r="D9" s="168">
        <v>5</v>
      </c>
      <c r="E9" s="169">
        <v>5</v>
      </c>
      <c r="F9" s="169">
        <f>D9-E9</f>
        <v>0</v>
      </c>
      <c r="G9" s="168">
        <f>SUM(B9:D9)</f>
        <v>5</v>
      </c>
      <c r="I9" s="168">
        <v>2</v>
      </c>
      <c r="J9" s="168">
        <v>5</v>
      </c>
      <c r="K9" s="169">
        <f t="shared" si="6"/>
        <v>3</v>
      </c>
      <c r="L9" s="107"/>
      <c r="M9" s="169">
        <v>2</v>
      </c>
      <c r="N9" s="107"/>
      <c r="O9" s="217">
        <f t="shared" si="1"/>
        <v>1.9455252918287938E-2</v>
      </c>
      <c r="P9" s="217">
        <f t="shared" si="2"/>
        <v>1.5197568389057751E-2</v>
      </c>
      <c r="Q9" s="107"/>
      <c r="R9" s="217">
        <f t="shared" si="3"/>
        <v>1.3698630136986301E-2</v>
      </c>
      <c r="S9" s="217">
        <f t="shared" si="4"/>
        <v>5.7566227813016374E-3</v>
      </c>
    </row>
    <row r="10" spans="1:19" x14ac:dyDescent="0.2">
      <c r="A10" s="167" t="s">
        <v>429</v>
      </c>
      <c r="B10" s="168"/>
      <c r="C10" s="168">
        <v>9</v>
      </c>
      <c r="D10" s="168">
        <v>10</v>
      </c>
      <c r="E10" s="169">
        <v>10</v>
      </c>
      <c r="F10" s="169">
        <f t="shared" si="0"/>
        <v>0</v>
      </c>
      <c r="G10" s="168">
        <f t="shared" si="5"/>
        <v>19</v>
      </c>
      <c r="I10" s="168">
        <v>4</v>
      </c>
      <c r="J10" s="168">
        <v>10</v>
      </c>
      <c r="K10" s="169">
        <f t="shared" si="6"/>
        <v>6</v>
      </c>
      <c r="L10" s="107"/>
      <c r="M10" s="169">
        <v>3</v>
      </c>
      <c r="N10" s="107"/>
      <c r="O10" s="217">
        <f t="shared" si="1"/>
        <v>3.8910505836575876E-2</v>
      </c>
      <c r="P10" s="217">
        <f t="shared" si="2"/>
        <v>5.7750759878419454E-2</v>
      </c>
      <c r="Q10" s="107"/>
      <c r="R10" s="217">
        <f t="shared" si="3"/>
        <v>2.7397260273972601E-2</v>
      </c>
      <c r="S10" s="217">
        <f t="shared" si="4"/>
        <v>1.1513245562603275E-2</v>
      </c>
    </row>
    <row r="11" spans="1:19" x14ac:dyDescent="0.2">
      <c r="A11" s="167" t="s">
        <v>143</v>
      </c>
      <c r="B11" s="168"/>
      <c r="C11" s="168"/>
      <c r="D11" s="168">
        <v>8</v>
      </c>
      <c r="E11" s="169">
        <v>7</v>
      </c>
      <c r="F11" s="169">
        <f t="shared" si="0"/>
        <v>1</v>
      </c>
      <c r="G11" s="168">
        <f t="shared" si="5"/>
        <v>8</v>
      </c>
      <c r="I11" s="168">
        <v>4</v>
      </c>
      <c r="J11" s="168">
        <v>8</v>
      </c>
      <c r="K11" s="169">
        <f t="shared" si="6"/>
        <v>4</v>
      </c>
      <c r="L11" s="107"/>
      <c r="M11" s="169">
        <v>4</v>
      </c>
      <c r="N11" s="107"/>
      <c r="O11" s="217">
        <f t="shared" si="1"/>
        <v>3.1128404669260701E-2</v>
      </c>
      <c r="P11" s="217">
        <f t="shared" si="2"/>
        <v>2.4316109422492401E-2</v>
      </c>
      <c r="Q11" s="107"/>
      <c r="R11" s="217">
        <f t="shared" si="3"/>
        <v>2.7397260273972601E-2</v>
      </c>
      <c r="S11" s="217">
        <f t="shared" si="4"/>
        <v>3.7311443952880996E-3</v>
      </c>
    </row>
    <row r="12" spans="1:19" x14ac:dyDescent="0.2">
      <c r="A12" s="164" t="s">
        <v>1128</v>
      </c>
      <c r="B12" s="165">
        <v>7</v>
      </c>
      <c r="C12" s="165"/>
      <c r="D12" s="165">
        <f>SUM(D13:D20)</f>
        <v>73</v>
      </c>
      <c r="E12" s="166">
        <f>SUM(E13:E20)</f>
        <v>71</v>
      </c>
      <c r="F12" s="166">
        <f t="shared" si="0"/>
        <v>2</v>
      </c>
      <c r="G12" s="165">
        <f t="shared" ref="G12:G25" si="7">SUM(B12:D12)</f>
        <v>80</v>
      </c>
      <c r="I12" s="165">
        <f>SUM(I13:I20)</f>
        <v>45</v>
      </c>
      <c r="J12" s="165">
        <f>SUM(J13:J20)</f>
        <v>73</v>
      </c>
      <c r="K12" s="166">
        <f>J12-I12</f>
        <v>28</v>
      </c>
      <c r="L12" s="107"/>
      <c r="M12" s="166">
        <f>SUM(M13:M20)</f>
        <v>29</v>
      </c>
      <c r="N12" s="107"/>
      <c r="O12" s="195">
        <f t="shared" si="1"/>
        <v>0.28404669260700388</v>
      </c>
      <c r="P12" s="195">
        <f t="shared" si="2"/>
        <v>0.24316109422492402</v>
      </c>
      <c r="Q12" s="107"/>
      <c r="R12" s="195">
        <f t="shared" si="3"/>
        <v>0.30821917808219179</v>
      </c>
      <c r="S12" s="195">
        <f t="shared" si="4"/>
        <v>-2.417248547518791E-2</v>
      </c>
    </row>
    <row r="13" spans="1:19" x14ac:dyDescent="0.2">
      <c r="A13" s="167" t="s">
        <v>2084</v>
      </c>
      <c r="B13" s="168"/>
      <c r="C13" s="168"/>
      <c r="D13" s="168">
        <v>7</v>
      </c>
      <c r="E13" s="169">
        <v>5</v>
      </c>
      <c r="F13" s="169">
        <f t="shared" ref="F13:F20" si="8">D13-E13</f>
        <v>2</v>
      </c>
      <c r="G13" s="168">
        <f t="shared" si="7"/>
        <v>7</v>
      </c>
      <c r="I13" s="168">
        <v>2</v>
      </c>
      <c r="J13" s="168">
        <v>7</v>
      </c>
      <c r="K13" s="169">
        <f t="shared" ref="K13:K20" si="9">J13-I13</f>
        <v>5</v>
      </c>
      <c r="L13" s="71"/>
      <c r="M13" s="169">
        <v>0</v>
      </c>
      <c r="N13" s="107"/>
      <c r="O13" s="217">
        <f t="shared" si="1"/>
        <v>2.7237354085603113E-2</v>
      </c>
      <c r="P13" s="217">
        <f t="shared" si="2"/>
        <v>2.1276595744680851E-2</v>
      </c>
      <c r="Q13" s="107"/>
      <c r="R13" s="217">
        <f t="shared" si="3"/>
        <v>1.3698630136986301E-2</v>
      </c>
      <c r="S13" s="217">
        <f t="shared" si="4"/>
        <v>1.3538723948616813E-2</v>
      </c>
    </row>
    <row r="14" spans="1:19" x14ac:dyDescent="0.2">
      <c r="A14" s="167" t="s">
        <v>750</v>
      </c>
      <c r="B14" s="168">
        <v>3</v>
      </c>
      <c r="C14" s="168"/>
      <c r="D14" s="168">
        <v>14</v>
      </c>
      <c r="E14" s="169">
        <v>14</v>
      </c>
      <c r="F14" s="169">
        <f t="shared" si="8"/>
        <v>0</v>
      </c>
      <c r="G14" s="168">
        <f t="shared" si="7"/>
        <v>17</v>
      </c>
      <c r="I14" s="168">
        <v>11</v>
      </c>
      <c r="J14" s="168">
        <v>14</v>
      </c>
      <c r="K14" s="169">
        <f t="shared" si="9"/>
        <v>3</v>
      </c>
      <c r="L14" s="107"/>
      <c r="M14" s="169">
        <v>5</v>
      </c>
      <c r="N14" s="107"/>
      <c r="O14" s="217">
        <f t="shared" si="1"/>
        <v>5.4474708171206226E-2</v>
      </c>
      <c r="P14" s="217">
        <f t="shared" si="2"/>
        <v>5.1671732522796353E-2</v>
      </c>
      <c r="Q14" s="107"/>
      <c r="R14" s="217">
        <f t="shared" si="3"/>
        <v>7.5342465753424653E-2</v>
      </c>
      <c r="S14" s="217">
        <f t="shared" si="4"/>
        <v>-2.0867757582218427E-2</v>
      </c>
    </row>
    <row r="15" spans="1:19" x14ac:dyDescent="0.2">
      <c r="A15" s="167" t="s">
        <v>1239</v>
      </c>
      <c r="B15" s="168"/>
      <c r="C15" s="168"/>
      <c r="D15" s="168">
        <v>18</v>
      </c>
      <c r="E15" s="169">
        <v>17</v>
      </c>
      <c r="F15" s="169">
        <f t="shared" si="8"/>
        <v>1</v>
      </c>
      <c r="G15" s="168">
        <f t="shared" si="7"/>
        <v>18</v>
      </c>
      <c r="I15" s="168">
        <v>13</v>
      </c>
      <c r="J15" s="168">
        <v>18</v>
      </c>
      <c r="K15" s="169">
        <f t="shared" si="9"/>
        <v>5</v>
      </c>
      <c r="L15" s="189"/>
      <c r="M15" s="169">
        <v>11</v>
      </c>
      <c r="N15" s="184"/>
      <c r="O15" s="217">
        <f t="shared" si="1"/>
        <v>7.0038910505836577E-2</v>
      </c>
      <c r="P15" s="217">
        <f t="shared" si="2"/>
        <v>5.4711246200607903E-2</v>
      </c>
      <c r="Q15" s="184"/>
      <c r="R15" s="217">
        <f t="shared" si="3"/>
        <v>8.9041095890410954E-2</v>
      </c>
      <c r="S15" s="217">
        <f t="shared" si="4"/>
        <v>-1.9002185384574377E-2</v>
      </c>
    </row>
    <row r="16" spans="1:19" x14ac:dyDescent="0.2">
      <c r="A16" s="167" t="s">
        <v>522</v>
      </c>
      <c r="B16" s="168"/>
      <c r="C16" s="168"/>
      <c r="D16" s="168">
        <v>12</v>
      </c>
      <c r="E16" s="169">
        <v>12</v>
      </c>
      <c r="F16" s="169">
        <f t="shared" si="8"/>
        <v>0</v>
      </c>
      <c r="G16" s="168">
        <f t="shared" si="7"/>
        <v>12</v>
      </c>
      <c r="I16" s="168">
        <v>6</v>
      </c>
      <c r="J16" s="168">
        <v>12</v>
      </c>
      <c r="K16" s="169">
        <f t="shared" si="9"/>
        <v>6</v>
      </c>
      <c r="L16" s="71"/>
      <c r="M16" s="169">
        <v>4</v>
      </c>
      <c r="N16" s="107"/>
      <c r="O16" s="217">
        <f t="shared" si="1"/>
        <v>4.6692607003891051E-2</v>
      </c>
      <c r="P16" s="217">
        <f t="shared" si="2"/>
        <v>3.64741641337386E-2</v>
      </c>
      <c r="Q16" s="107"/>
      <c r="R16" s="217">
        <f t="shared" si="3"/>
        <v>4.1095890410958902E-2</v>
      </c>
      <c r="S16" s="217">
        <f t="shared" si="4"/>
        <v>5.5967165929321494E-3</v>
      </c>
    </row>
    <row r="17" spans="1:19" x14ac:dyDescent="0.2">
      <c r="A17" s="167" t="s">
        <v>733</v>
      </c>
      <c r="B17" s="168"/>
      <c r="C17" s="168"/>
      <c r="D17" s="168">
        <v>2</v>
      </c>
      <c r="E17" s="169">
        <v>3</v>
      </c>
      <c r="F17" s="169">
        <f t="shared" si="8"/>
        <v>-1</v>
      </c>
      <c r="G17" s="168">
        <f t="shared" si="7"/>
        <v>2</v>
      </c>
      <c r="I17" s="168">
        <v>1</v>
      </c>
      <c r="J17" s="168">
        <v>2</v>
      </c>
      <c r="K17" s="169">
        <f t="shared" si="9"/>
        <v>1</v>
      </c>
      <c r="L17" s="189"/>
      <c r="M17" s="169">
        <v>0</v>
      </c>
      <c r="N17" s="184"/>
      <c r="O17" s="217">
        <f t="shared" si="1"/>
        <v>7.7821011673151752E-3</v>
      </c>
      <c r="P17" s="217">
        <f t="shared" si="2"/>
        <v>6.0790273556231003E-3</v>
      </c>
      <c r="Q17" s="184"/>
      <c r="R17" s="217">
        <f t="shared" si="3"/>
        <v>6.8493150684931503E-3</v>
      </c>
      <c r="S17" s="217">
        <f t="shared" si="4"/>
        <v>9.327860988220249E-4</v>
      </c>
    </row>
    <row r="18" spans="1:19" x14ac:dyDescent="0.2">
      <c r="A18" s="167" t="s">
        <v>32</v>
      </c>
      <c r="B18" s="168"/>
      <c r="C18" s="168"/>
      <c r="D18" s="168">
        <v>4</v>
      </c>
      <c r="E18" s="169">
        <v>4</v>
      </c>
      <c r="F18" s="169">
        <f t="shared" si="8"/>
        <v>0</v>
      </c>
      <c r="G18" s="168">
        <f t="shared" si="7"/>
        <v>4</v>
      </c>
      <c r="I18" s="168">
        <v>2</v>
      </c>
      <c r="J18" s="168">
        <v>4</v>
      </c>
      <c r="K18" s="169">
        <f t="shared" si="9"/>
        <v>2</v>
      </c>
      <c r="L18" s="71"/>
      <c r="M18" s="169">
        <v>1</v>
      </c>
      <c r="N18" s="107"/>
      <c r="O18" s="217">
        <f t="shared" si="1"/>
        <v>1.556420233463035E-2</v>
      </c>
      <c r="P18" s="217">
        <f t="shared" si="2"/>
        <v>1.2158054711246201E-2</v>
      </c>
      <c r="Q18" s="107"/>
      <c r="R18" s="217">
        <f t="shared" si="3"/>
        <v>1.3698630136986301E-2</v>
      </c>
      <c r="S18" s="217">
        <f t="shared" si="4"/>
        <v>1.8655721976440498E-3</v>
      </c>
    </row>
    <row r="19" spans="1:19" x14ac:dyDescent="0.2">
      <c r="A19" s="167" t="s">
        <v>606</v>
      </c>
      <c r="B19" s="168">
        <v>2</v>
      </c>
      <c r="C19" s="168"/>
      <c r="D19" s="168">
        <v>6</v>
      </c>
      <c r="E19" s="169">
        <v>6</v>
      </c>
      <c r="F19" s="169">
        <f t="shared" si="8"/>
        <v>0</v>
      </c>
      <c r="G19" s="168">
        <f t="shared" si="7"/>
        <v>8</v>
      </c>
      <c r="I19" s="168">
        <v>4</v>
      </c>
      <c r="J19" s="168">
        <v>6</v>
      </c>
      <c r="K19" s="169">
        <f t="shared" si="9"/>
        <v>2</v>
      </c>
      <c r="L19" s="189"/>
      <c r="M19" s="169">
        <v>3</v>
      </c>
      <c r="N19" s="184"/>
      <c r="O19" s="217">
        <f t="shared" si="1"/>
        <v>2.3346303501945526E-2</v>
      </c>
      <c r="P19" s="217">
        <f t="shared" si="2"/>
        <v>2.4316109422492401E-2</v>
      </c>
      <c r="Q19" s="184"/>
      <c r="R19" s="217">
        <f t="shared" si="3"/>
        <v>2.7397260273972601E-2</v>
      </c>
      <c r="S19" s="217">
        <f t="shared" si="4"/>
        <v>-4.0509567720270756E-3</v>
      </c>
    </row>
    <row r="20" spans="1:19" x14ac:dyDescent="0.2">
      <c r="A20" s="167" t="s">
        <v>629</v>
      </c>
      <c r="B20" s="168">
        <v>2</v>
      </c>
      <c r="C20" s="168"/>
      <c r="D20" s="168">
        <v>10</v>
      </c>
      <c r="E20" s="169">
        <v>10</v>
      </c>
      <c r="F20" s="169">
        <f t="shared" si="8"/>
        <v>0</v>
      </c>
      <c r="G20" s="168">
        <f t="shared" si="7"/>
        <v>12</v>
      </c>
      <c r="I20" s="168">
        <v>6</v>
      </c>
      <c r="J20" s="168">
        <v>10</v>
      </c>
      <c r="K20" s="169">
        <f t="shared" si="9"/>
        <v>4</v>
      </c>
      <c r="L20" s="71"/>
      <c r="M20" s="169">
        <v>5</v>
      </c>
      <c r="N20" s="107"/>
      <c r="O20" s="217">
        <f t="shared" si="1"/>
        <v>3.8910505836575876E-2</v>
      </c>
      <c r="P20" s="217">
        <f t="shared" si="2"/>
        <v>3.64741641337386E-2</v>
      </c>
      <c r="Q20" s="107"/>
      <c r="R20" s="217">
        <f t="shared" si="3"/>
        <v>4.1095890410958902E-2</v>
      </c>
      <c r="S20" s="217">
        <f t="shared" si="4"/>
        <v>-2.1853845743830258E-3</v>
      </c>
    </row>
    <row r="21" spans="1:19" x14ac:dyDescent="0.2">
      <c r="A21" s="164" t="s">
        <v>1160</v>
      </c>
      <c r="B21" s="165"/>
      <c r="C21" s="165"/>
      <c r="D21" s="165">
        <v>9</v>
      </c>
      <c r="E21" s="166">
        <v>9</v>
      </c>
      <c r="F21" s="166">
        <f t="shared" si="0"/>
        <v>0</v>
      </c>
      <c r="G21" s="165">
        <f t="shared" si="7"/>
        <v>9</v>
      </c>
      <c r="I21" s="165">
        <v>6</v>
      </c>
      <c r="J21" s="165">
        <v>9</v>
      </c>
      <c r="K21" s="166">
        <f t="shared" ref="K21:K25" si="10">J21-I21</f>
        <v>3</v>
      </c>
      <c r="L21" s="189"/>
      <c r="M21" s="166">
        <v>3</v>
      </c>
      <c r="N21" s="184"/>
      <c r="O21" s="195">
        <f t="shared" si="1"/>
        <v>3.5019455252918288E-2</v>
      </c>
      <c r="P21" s="195">
        <f t="shared" si="2"/>
        <v>2.7355623100303952E-2</v>
      </c>
      <c r="Q21" s="184"/>
      <c r="R21" s="195">
        <f t="shared" si="3"/>
        <v>4.1095890410958902E-2</v>
      </c>
      <c r="S21" s="195">
        <f t="shared" si="4"/>
        <v>-6.0764351580406134E-3</v>
      </c>
    </row>
    <row r="22" spans="1:19" x14ac:dyDescent="0.2">
      <c r="A22" s="164" t="s">
        <v>804</v>
      </c>
      <c r="B22" s="165">
        <v>9</v>
      </c>
      <c r="C22" s="165"/>
      <c r="D22" s="165">
        <v>16</v>
      </c>
      <c r="E22" s="166">
        <v>16</v>
      </c>
      <c r="F22" s="166">
        <f t="shared" si="0"/>
        <v>0</v>
      </c>
      <c r="G22" s="165">
        <f t="shared" si="7"/>
        <v>25</v>
      </c>
      <c r="I22" s="165">
        <v>12</v>
      </c>
      <c r="J22" s="165">
        <v>16</v>
      </c>
      <c r="K22" s="166">
        <f t="shared" si="10"/>
        <v>4</v>
      </c>
      <c r="L22" s="71"/>
      <c r="M22" s="166">
        <v>9</v>
      </c>
      <c r="N22" s="107"/>
      <c r="O22" s="195">
        <f t="shared" si="1"/>
        <v>6.2256809338521402E-2</v>
      </c>
      <c r="P22" s="195">
        <f t="shared" si="2"/>
        <v>7.598784194528875E-2</v>
      </c>
      <c r="Q22" s="107"/>
      <c r="R22" s="195">
        <f t="shared" si="3"/>
        <v>8.2191780821917804E-2</v>
      </c>
      <c r="S22" s="195">
        <f t="shared" si="4"/>
        <v>-1.9934971483396402E-2</v>
      </c>
    </row>
    <row r="23" spans="1:19" x14ac:dyDescent="0.2">
      <c r="A23" s="164" t="s">
        <v>1018</v>
      </c>
      <c r="B23" s="165">
        <v>2</v>
      </c>
      <c r="C23" s="165"/>
      <c r="D23" s="165">
        <v>31</v>
      </c>
      <c r="E23" s="166">
        <v>31</v>
      </c>
      <c r="F23" s="166">
        <f t="shared" si="0"/>
        <v>0</v>
      </c>
      <c r="G23" s="165">
        <f t="shared" si="7"/>
        <v>33</v>
      </c>
      <c r="I23" s="165">
        <v>15</v>
      </c>
      <c r="J23" s="165">
        <v>31</v>
      </c>
      <c r="K23" s="166">
        <f t="shared" si="10"/>
        <v>16</v>
      </c>
      <c r="L23" s="71"/>
      <c r="M23" s="166">
        <v>12</v>
      </c>
      <c r="N23" s="107"/>
      <c r="O23" s="195">
        <f t="shared" si="1"/>
        <v>0.12062256809338522</v>
      </c>
      <c r="P23" s="195">
        <f t="shared" si="2"/>
        <v>0.10030395136778116</v>
      </c>
      <c r="Q23" s="107"/>
      <c r="R23" s="195">
        <f t="shared" si="3"/>
        <v>0.10273972602739725</v>
      </c>
      <c r="S23" s="195">
        <f t="shared" si="4"/>
        <v>1.7882842065987961E-2</v>
      </c>
    </row>
    <row r="24" spans="1:19" x14ac:dyDescent="0.2">
      <c r="A24" s="164" t="s">
        <v>893</v>
      </c>
      <c r="B24" s="165"/>
      <c r="C24" s="165"/>
      <c r="D24" s="165">
        <v>10</v>
      </c>
      <c r="E24" s="166">
        <v>10</v>
      </c>
      <c r="F24" s="166">
        <f t="shared" si="0"/>
        <v>0</v>
      </c>
      <c r="G24" s="165">
        <f t="shared" si="7"/>
        <v>10</v>
      </c>
      <c r="I24" s="165">
        <v>7</v>
      </c>
      <c r="J24" s="165">
        <v>10</v>
      </c>
      <c r="K24" s="166">
        <f t="shared" si="10"/>
        <v>3</v>
      </c>
      <c r="L24" s="71"/>
      <c r="M24" s="166">
        <v>5</v>
      </c>
      <c r="N24" s="107"/>
      <c r="O24" s="195">
        <f t="shared" si="1"/>
        <v>3.8910505836575876E-2</v>
      </c>
      <c r="P24" s="195">
        <f t="shared" si="2"/>
        <v>3.0395136778115502E-2</v>
      </c>
      <c r="Q24" s="107"/>
      <c r="R24" s="195">
        <f t="shared" si="3"/>
        <v>4.7945205479452052E-2</v>
      </c>
      <c r="S24" s="195">
        <f t="shared" si="4"/>
        <v>-9.0346996428761761E-3</v>
      </c>
    </row>
    <row r="25" spans="1:19" x14ac:dyDescent="0.2">
      <c r="A25" s="164" t="s">
        <v>678</v>
      </c>
      <c r="B25" s="165">
        <v>3</v>
      </c>
      <c r="C25" s="165"/>
      <c r="D25" s="165">
        <v>24</v>
      </c>
      <c r="E25" s="166">
        <v>24</v>
      </c>
      <c r="F25" s="166">
        <f t="shared" si="0"/>
        <v>0</v>
      </c>
      <c r="G25" s="165">
        <f t="shared" si="7"/>
        <v>27</v>
      </c>
      <c r="I25" s="165">
        <v>14</v>
      </c>
      <c r="J25" s="165">
        <v>24</v>
      </c>
      <c r="K25" s="166">
        <f t="shared" si="10"/>
        <v>10</v>
      </c>
      <c r="L25" s="71"/>
      <c r="M25" s="166">
        <v>4</v>
      </c>
      <c r="N25" s="107"/>
      <c r="O25" s="195">
        <f t="shared" si="1"/>
        <v>9.3385214007782102E-2</v>
      </c>
      <c r="P25" s="195">
        <f t="shared" si="2"/>
        <v>8.2066869300911852E-2</v>
      </c>
      <c r="Q25" s="107"/>
      <c r="R25" s="195">
        <f t="shared" si="3"/>
        <v>9.5890410958904104E-2</v>
      </c>
      <c r="S25" s="195">
        <f t="shared" si="4"/>
        <v>-2.5051969511220018E-3</v>
      </c>
    </row>
    <row r="26" spans="1:19" x14ac:dyDescent="0.2">
      <c r="A26" s="170" t="s">
        <v>2020</v>
      </c>
      <c r="B26" s="171">
        <f t="shared" ref="B26:G26" si="11">SUM(B21:B25)+B2+B3+B12</f>
        <v>63</v>
      </c>
      <c r="C26" s="171">
        <f t="shared" si="11"/>
        <v>9</v>
      </c>
      <c r="D26" s="171">
        <f t="shared" si="11"/>
        <v>257</v>
      </c>
      <c r="E26" s="172">
        <f t="shared" si="11"/>
        <v>250</v>
      </c>
      <c r="F26" s="172">
        <f t="shared" si="11"/>
        <v>7</v>
      </c>
      <c r="G26" s="171">
        <f t="shared" si="11"/>
        <v>329</v>
      </c>
      <c r="I26" s="171">
        <f>SUM(I21:I25)+I2+I3+I12</f>
        <v>146</v>
      </c>
      <c r="J26" s="171">
        <f>SUM(J21:J25)+J2+J3+J12</f>
        <v>257</v>
      </c>
      <c r="K26" s="172">
        <f>SUM(K21:K25)+K2+K3+K12</f>
        <v>111</v>
      </c>
      <c r="L26" s="71"/>
      <c r="M26" s="172">
        <f>SUM(M21:M25)+M2+M3+M12</f>
        <v>92</v>
      </c>
      <c r="N26" s="107"/>
      <c r="O26" s="196">
        <f>SUM(O21:O25)+O2+O3+O12</f>
        <v>0.99999999999999989</v>
      </c>
      <c r="P26" s="196">
        <f>SUM(P21:P25)+P2+P3+P12</f>
        <v>1</v>
      </c>
      <c r="Q26" s="107"/>
      <c r="R26" s="196">
        <f>SUM(R21:R25)+R2+R3+R12</f>
        <v>1</v>
      </c>
      <c r="S26" s="196">
        <f>SUM(S21:S25)+S2+S3+S12</f>
        <v>0</v>
      </c>
    </row>
    <row r="27" spans="1:19" x14ac:dyDescent="0.2">
      <c r="M27" s="71"/>
      <c r="N27" s="107"/>
      <c r="O27" s="107"/>
      <c r="P27" s="107"/>
      <c r="Q27" s="107"/>
      <c r="R27" s="107"/>
    </row>
    <row r="28" spans="1:19" x14ac:dyDescent="0.2">
      <c r="M28" s="71"/>
      <c r="N28" s="107"/>
      <c r="O28" s="107"/>
      <c r="P28" s="107"/>
      <c r="Q28" s="107"/>
      <c r="R28" s="107"/>
    </row>
    <row r="29" spans="1:19" x14ac:dyDescent="0.2">
      <c r="M29" s="71"/>
      <c r="N29" s="107"/>
      <c r="O29" s="107"/>
      <c r="P29" s="107"/>
      <c r="Q29" s="107"/>
      <c r="R29" s="107"/>
    </row>
    <row r="30" spans="1:19" ht="17" x14ac:dyDescent="0.2">
      <c r="A30" s="173" t="s">
        <v>2019</v>
      </c>
      <c r="B30" s="192" t="s">
        <v>37</v>
      </c>
      <c r="C30" s="192" t="s">
        <v>50</v>
      </c>
      <c r="D30" s="192" t="s">
        <v>359</v>
      </c>
      <c r="E30" s="192" t="s">
        <v>60</v>
      </c>
      <c r="F30" s="192" t="s">
        <v>1348</v>
      </c>
      <c r="G30" s="192" t="s">
        <v>248</v>
      </c>
      <c r="H30" s="192" t="s">
        <v>101</v>
      </c>
      <c r="I30" s="174" t="s">
        <v>1768</v>
      </c>
      <c r="M30" s="189"/>
      <c r="N30" s="184"/>
      <c r="O30" s="184"/>
      <c r="P30" s="184"/>
      <c r="Q30" s="184"/>
      <c r="R30" s="184"/>
    </row>
    <row r="31" spans="1:19" x14ac:dyDescent="0.2">
      <c r="A31" s="178" t="s">
        <v>2081</v>
      </c>
      <c r="B31" s="168">
        <v>9</v>
      </c>
      <c r="C31" s="168"/>
      <c r="D31" s="168"/>
      <c r="E31" s="168"/>
      <c r="F31" s="168"/>
      <c r="G31" s="168"/>
      <c r="H31" s="168"/>
      <c r="I31" s="168">
        <v>9</v>
      </c>
      <c r="M31" s="71"/>
      <c r="N31" s="107"/>
      <c r="O31" s="107"/>
      <c r="P31" s="107"/>
      <c r="Q31" s="107"/>
      <c r="R31" s="107"/>
    </row>
    <row r="32" spans="1:19" x14ac:dyDescent="0.2">
      <c r="A32" s="178" t="s">
        <v>1128</v>
      </c>
      <c r="B32" s="168">
        <v>42</v>
      </c>
      <c r="C32" s="168">
        <v>17</v>
      </c>
      <c r="D32" s="168"/>
      <c r="E32" s="168">
        <v>9</v>
      </c>
      <c r="F32" s="168"/>
      <c r="G32" s="168"/>
      <c r="H32" s="168">
        <v>5</v>
      </c>
      <c r="I32" s="168">
        <v>73</v>
      </c>
      <c r="M32" s="189"/>
      <c r="N32" s="184"/>
      <c r="O32" s="184"/>
      <c r="P32" s="184"/>
      <c r="Q32" s="184"/>
      <c r="R32" s="184"/>
    </row>
    <row r="33" spans="1:20" x14ac:dyDescent="0.2">
      <c r="A33" s="178" t="s">
        <v>1160</v>
      </c>
      <c r="B33" s="168">
        <v>6</v>
      </c>
      <c r="C33" s="168">
        <v>1</v>
      </c>
      <c r="D33" s="168">
        <v>2</v>
      </c>
      <c r="E33" s="168"/>
      <c r="F33" s="168"/>
      <c r="G33" s="168"/>
      <c r="H33" s="168"/>
      <c r="I33" s="168">
        <v>9</v>
      </c>
      <c r="M33" s="71"/>
      <c r="N33" s="107"/>
      <c r="O33" s="107"/>
      <c r="P33" s="107"/>
      <c r="Q33" s="107"/>
      <c r="R33" s="107"/>
    </row>
    <row r="34" spans="1:20" x14ac:dyDescent="0.2">
      <c r="A34" s="178" t="s">
        <v>804</v>
      </c>
      <c r="B34" s="168">
        <v>14</v>
      </c>
      <c r="C34" s="168">
        <v>2</v>
      </c>
      <c r="D34" s="168"/>
      <c r="E34" s="168"/>
      <c r="F34" s="168"/>
      <c r="G34" s="168"/>
      <c r="H34" s="168"/>
      <c r="I34" s="168">
        <v>16</v>
      </c>
      <c r="M34" s="71"/>
      <c r="N34" s="107"/>
      <c r="O34" s="107"/>
      <c r="P34" s="107"/>
      <c r="Q34" s="107"/>
      <c r="R34" s="107"/>
    </row>
    <row r="35" spans="1:20" x14ac:dyDescent="0.2">
      <c r="A35" s="178" t="s">
        <v>1018</v>
      </c>
      <c r="B35" s="168">
        <v>15</v>
      </c>
      <c r="C35" s="168">
        <v>16</v>
      </c>
      <c r="D35" s="168"/>
      <c r="E35" s="168"/>
      <c r="F35" s="168"/>
      <c r="G35" s="168"/>
      <c r="H35" s="168"/>
      <c r="I35" s="168">
        <v>31</v>
      </c>
      <c r="M35" s="71"/>
      <c r="N35" s="107"/>
      <c r="O35" s="107"/>
      <c r="P35" s="107"/>
      <c r="Q35" s="107"/>
      <c r="R35" s="107"/>
    </row>
    <row r="36" spans="1:20" x14ac:dyDescent="0.2">
      <c r="A36" s="178" t="s">
        <v>77</v>
      </c>
      <c r="B36" s="168">
        <v>23</v>
      </c>
      <c r="C36" s="168">
        <v>52</v>
      </c>
      <c r="D36" s="168">
        <v>3</v>
      </c>
      <c r="E36" s="168"/>
      <c r="F36" s="168">
        <v>6</v>
      </c>
      <c r="G36" s="168">
        <v>1</v>
      </c>
      <c r="H36" s="168"/>
      <c r="I36" s="168">
        <v>85</v>
      </c>
      <c r="M36" s="71"/>
      <c r="N36" s="107"/>
      <c r="O36" s="107"/>
      <c r="P36" s="107"/>
      <c r="Q36" s="107"/>
      <c r="R36" s="107"/>
    </row>
    <row r="37" spans="1:20" x14ac:dyDescent="0.2">
      <c r="A37" s="178" t="s">
        <v>893</v>
      </c>
      <c r="B37" s="168">
        <v>10</v>
      </c>
      <c r="C37" s="168"/>
      <c r="D37" s="168"/>
      <c r="E37" s="168"/>
      <c r="F37" s="168"/>
      <c r="G37" s="168"/>
      <c r="H37" s="168"/>
      <c r="I37" s="168">
        <v>10</v>
      </c>
      <c r="M37" s="71"/>
      <c r="N37" s="107"/>
      <c r="O37" s="107"/>
      <c r="P37" s="107"/>
      <c r="Q37" s="107"/>
      <c r="R37" s="107"/>
    </row>
    <row r="38" spans="1:20" x14ac:dyDescent="0.2">
      <c r="A38" s="178" t="s">
        <v>678</v>
      </c>
      <c r="B38" s="168">
        <v>23</v>
      </c>
      <c r="C38" s="168"/>
      <c r="D38" s="168"/>
      <c r="E38" s="168"/>
      <c r="F38" s="168"/>
      <c r="G38" s="168"/>
      <c r="H38" s="168">
        <v>1</v>
      </c>
      <c r="I38" s="168">
        <v>24</v>
      </c>
      <c r="M38" s="71"/>
      <c r="N38" s="107"/>
      <c r="O38" s="107"/>
      <c r="P38" s="107"/>
      <c r="Q38" s="107"/>
      <c r="R38" s="107"/>
    </row>
    <row r="39" spans="1:20" x14ac:dyDescent="0.2">
      <c r="A39" s="170" t="s">
        <v>1768</v>
      </c>
      <c r="B39" s="171">
        <v>142</v>
      </c>
      <c r="C39" s="171">
        <v>88</v>
      </c>
      <c r="D39" s="171">
        <v>5</v>
      </c>
      <c r="E39" s="171">
        <v>9</v>
      </c>
      <c r="F39" s="171">
        <v>6</v>
      </c>
      <c r="G39" s="171">
        <v>1</v>
      </c>
      <c r="H39" s="171">
        <v>6</v>
      </c>
      <c r="I39" s="171">
        <v>257</v>
      </c>
      <c r="M39" s="71"/>
      <c r="N39" s="107"/>
      <c r="O39" s="107"/>
      <c r="P39" s="107"/>
      <c r="Q39" s="107"/>
      <c r="R39" s="107"/>
    </row>
    <row r="40" spans="1:20" x14ac:dyDescent="0.2">
      <c r="A40" s="170" t="s">
        <v>2085</v>
      </c>
      <c r="B40" s="171">
        <v>96</v>
      </c>
      <c r="C40" s="171">
        <v>41</v>
      </c>
      <c r="D40" s="171">
        <v>0</v>
      </c>
      <c r="E40" s="171">
        <v>6</v>
      </c>
      <c r="F40" s="171">
        <v>3</v>
      </c>
      <c r="G40" s="171">
        <v>0</v>
      </c>
      <c r="H40" s="171">
        <v>0</v>
      </c>
      <c r="I40" s="171">
        <v>146</v>
      </c>
      <c r="M40" s="71"/>
      <c r="N40" s="107"/>
      <c r="O40" s="107"/>
      <c r="P40" s="107"/>
      <c r="Q40" s="107"/>
      <c r="R40" s="107"/>
    </row>
    <row r="41" spans="1:20" x14ac:dyDescent="0.2">
      <c r="A41" s="170" t="s">
        <v>2086</v>
      </c>
      <c r="B41" s="196">
        <f>(B39-B40)/B40</f>
        <v>0.47916666666666669</v>
      </c>
      <c r="C41" s="196">
        <f>(C39-C40)/C40</f>
        <v>1.1463414634146341</v>
      </c>
      <c r="D41" s="196"/>
      <c r="E41" s="196">
        <f>(E39-E40)/E40</f>
        <v>0.5</v>
      </c>
      <c r="F41" s="196">
        <f>(F39-F40)/F40</f>
        <v>1</v>
      </c>
      <c r="G41" s="196"/>
      <c r="H41" s="196"/>
      <c r="I41" s="196">
        <f>(I39-I40)/I40</f>
        <v>0.76027397260273977</v>
      </c>
      <c r="M41" s="71"/>
      <c r="N41" s="107"/>
      <c r="O41" s="107"/>
      <c r="P41" s="107"/>
      <c r="Q41" s="107"/>
      <c r="R41" s="107"/>
    </row>
    <row r="42" spans="1:20" x14ac:dyDescent="0.2">
      <c r="M42" s="71"/>
      <c r="N42" s="107"/>
      <c r="O42" s="107"/>
      <c r="P42" s="107"/>
      <c r="Q42" s="107"/>
      <c r="R42" s="107"/>
    </row>
    <row r="43" spans="1:20" x14ac:dyDescent="0.2">
      <c r="M43" s="71"/>
      <c r="N43" s="107"/>
      <c r="O43" s="107"/>
      <c r="P43" s="107"/>
      <c r="Q43" s="107"/>
      <c r="R43" s="107"/>
    </row>
    <row r="44" spans="1:20" ht="51" x14ac:dyDescent="0.2">
      <c r="A44" s="179" t="s">
        <v>5</v>
      </c>
      <c r="B44" s="174" t="s">
        <v>2081</v>
      </c>
      <c r="C44" s="174" t="s">
        <v>1128</v>
      </c>
      <c r="D44" s="174" t="s">
        <v>1160</v>
      </c>
      <c r="E44" s="174" t="s">
        <v>804</v>
      </c>
      <c r="F44" s="174" t="s">
        <v>1018</v>
      </c>
      <c r="G44" s="174" t="s">
        <v>77</v>
      </c>
      <c r="H44" s="174" t="s">
        <v>893</v>
      </c>
      <c r="I44" s="174" t="s">
        <v>678</v>
      </c>
      <c r="J44" s="174" t="s">
        <v>2020</v>
      </c>
      <c r="K44" s="174" t="s">
        <v>2043</v>
      </c>
      <c r="N44" s="163" t="s">
        <v>2087</v>
      </c>
      <c r="O44" s="174" t="s">
        <v>2043</v>
      </c>
      <c r="P44" s="184"/>
      <c r="Q44" s="184"/>
      <c r="R44" s="163" t="s">
        <v>2088</v>
      </c>
      <c r="S44" s="174" t="s">
        <v>2043</v>
      </c>
    </row>
    <row r="45" spans="1:20" x14ac:dyDescent="0.2">
      <c r="A45" s="178" t="s">
        <v>35</v>
      </c>
      <c r="B45" s="168"/>
      <c r="C45" s="168">
        <v>6</v>
      </c>
      <c r="D45" s="168"/>
      <c r="E45" s="168">
        <v>1</v>
      </c>
      <c r="F45" s="168">
        <v>1</v>
      </c>
      <c r="G45" s="168">
        <v>1</v>
      </c>
      <c r="H45" s="168"/>
      <c r="I45" s="168"/>
      <c r="J45" s="168">
        <f t="shared" ref="J45:J53" si="12">SUM(B45:I45)</f>
        <v>9</v>
      </c>
      <c r="K45" s="190">
        <f>J45/257</f>
        <v>3.5019455252918288E-2</v>
      </c>
      <c r="N45" s="168">
        <v>8</v>
      </c>
      <c r="O45" s="190">
        <f>N45/149</f>
        <v>5.3691275167785234E-2</v>
      </c>
      <c r="R45" s="168">
        <v>1</v>
      </c>
      <c r="S45" s="190">
        <f>R45/107</f>
        <v>9.3457943925233638E-3</v>
      </c>
    </row>
    <row r="46" spans="1:20" x14ac:dyDescent="0.2">
      <c r="A46" s="178" t="s">
        <v>105</v>
      </c>
      <c r="B46" s="168">
        <v>2</v>
      </c>
      <c r="C46" s="168">
        <v>10</v>
      </c>
      <c r="D46" s="168">
        <v>1</v>
      </c>
      <c r="E46" s="168">
        <v>1</v>
      </c>
      <c r="F46" s="168">
        <v>4</v>
      </c>
      <c r="G46" s="168">
        <v>10</v>
      </c>
      <c r="H46" s="168">
        <v>1</v>
      </c>
      <c r="I46" s="168">
        <v>2</v>
      </c>
      <c r="J46" s="168">
        <f t="shared" si="12"/>
        <v>31</v>
      </c>
      <c r="K46" s="190">
        <f t="shared" ref="K46:K53" si="13">J46/257</f>
        <v>0.12062256809338522</v>
      </c>
      <c r="N46" s="168">
        <v>22</v>
      </c>
      <c r="O46" s="190">
        <f t="shared" ref="O46:O53" si="14">N46/149</f>
        <v>0.1476510067114094</v>
      </c>
      <c r="R46" s="168">
        <v>9</v>
      </c>
      <c r="S46" s="190">
        <f t="shared" ref="S46:S53" si="15">R46/107</f>
        <v>8.4112149532710276E-2</v>
      </c>
      <c r="T46" s="194">
        <f>SUM(S45:S46)</f>
        <v>9.3457943925233641E-2</v>
      </c>
    </row>
    <row r="47" spans="1:20" x14ac:dyDescent="0.2">
      <c r="A47" s="178" t="s">
        <v>48</v>
      </c>
      <c r="B47" s="168"/>
      <c r="C47" s="168">
        <v>7</v>
      </c>
      <c r="D47" s="168">
        <v>1</v>
      </c>
      <c r="E47" s="168"/>
      <c r="F47" s="168"/>
      <c r="G47" s="168">
        <v>6</v>
      </c>
      <c r="H47" s="168"/>
      <c r="I47" s="168"/>
      <c r="J47" s="168">
        <f t="shared" si="12"/>
        <v>14</v>
      </c>
      <c r="K47" s="190">
        <f t="shared" si="13"/>
        <v>5.4474708171206226E-2</v>
      </c>
      <c r="L47">
        <f>SUM(J45:J47)</f>
        <v>54</v>
      </c>
      <c r="M47" s="197">
        <f>L47/257</f>
        <v>0.21011673151750973</v>
      </c>
      <c r="N47" s="168">
        <v>7</v>
      </c>
      <c r="O47" s="193">
        <f t="shared" si="14"/>
        <v>4.6979865771812082E-2</v>
      </c>
      <c r="R47" s="168">
        <v>7</v>
      </c>
      <c r="S47" s="193">
        <f t="shared" si="15"/>
        <v>6.5420560747663545E-2</v>
      </c>
    </row>
    <row r="48" spans="1:20" x14ac:dyDescent="0.2">
      <c r="A48" s="178" t="s">
        <v>58</v>
      </c>
      <c r="B48" s="168">
        <v>5</v>
      </c>
      <c r="C48" s="168">
        <v>9</v>
      </c>
      <c r="D48" s="168">
        <v>1</v>
      </c>
      <c r="E48" s="168">
        <v>5</v>
      </c>
      <c r="F48" s="168">
        <v>10</v>
      </c>
      <c r="G48" s="168">
        <v>18</v>
      </c>
      <c r="H48" s="168"/>
      <c r="I48" s="168"/>
      <c r="J48" s="168">
        <f t="shared" si="12"/>
        <v>48</v>
      </c>
      <c r="K48" s="190">
        <f t="shared" si="13"/>
        <v>0.1867704280155642</v>
      </c>
      <c r="N48" s="168">
        <v>28</v>
      </c>
      <c r="O48" s="193">
        <f t="shared" si="14"/>
        <v>0.18791946308724833</v>
      </c>
      <c r="R48" s="168">
        <v>20</v>
      </c>
      <c r="S48" s="193">
        <f t="shared" si="15"/>
        <v>0.18691588785046728</v>
      </c>
    </row>
    <row r="49" spans="1:32" x14ac:dyDescent="0.2">
      <c r="A49" s="178" t="s">
        <v>98</v>
      </c>
      <c r="B49" s="168"/>
      <c r="C49" s="168">
        <v>17</v>
      </c>
      <c r="D49" s="168">
        <v>4</v>
      </c>
      <c r="E49" s="168">
        <v>5</v>
      </c>
      <c r="F49" s="168">
        <v>6</v>
      </c>
      <c r="G49" s="168">
        <v>18</v>
      </c>
      <c r="H49" s="168">
        <v>2</v>
      </c>
      <c r="I49" s="168">
        <v>1</v>
      </c>
      <c r="J49" s="168">
        <f t="shared" si="12"/>
        <v>53</v>
      </c>
      <c r="K49" s="190">
        <f t="shared" si="13"/>
        <v>0.20622568093385213</v>
      </c>
      <c r="N49" s="168">
        <v>27</v>
      </c>
      <c r="O49" s="193">
        <f t="shared" si="14"/>
        <v>0.18120805369127516</v>
      </c>
      <c r="R49" s="168">
        <v>26</v>
      </c>
      <c r="S49" s="193">
        <f t="shared" si="15"/>
        <v>0.24299065420560748</v>
      </c>
    </row>
    <row r="50" spans="1:32" x14ac:dyDescent="0.2">
      <c r="A50" s="178" t="s">
        <v>138</v>
      </c>
      <c r="B50" s="168"/>
      <c r="C50" s="168">
        <v>2</v>
      </c>
      <c r="D50" s="168"/>
      <c r="E50" s="168">
        <v>1</v>
      </c>
      <c r="F50" s="168">
        <v>6</v>
      </c>
      <c r="G50" s="168">
        <v>14</v>
      </c>
      <c r="H50" s="168">
        <v>2</v>
      </c>
      <c r="I50" s="168">
        <v>3</v>
      </c>
      <c r="J50" s="168">
        <f t="shared" si="12"/>
        <v>28</v>
      </c>
      <c r="K50" s="190">
        <f t="shared" si="13"/>
        <v>0.10894941634241245</v>
      </c>
      <c r="N50" s="168">
        <v>12</v>
      </c>
      <c r="O50" s="193">
        <f t="shared" si="14"/>
        <v>8.0536912751677847E-2</v>
      </c>
      <c r="P50" s="194">
        <f>SUM(O47:O50)</f>
        <v>0.49664429530201337</v>
      </c>
      <c r="R50" s="168">
        <v>16</v>
      </c>
      <c r="S50" s="193">
        <f t="shared" si="15"/>
        <v>0.14953271028037382</v>
      </c>
      <c r="T50" s="194">
        <f>SUM(S47:S50)</f>
        <v>0.64485981308411211</v>
      </c>
    </row>
    <row r="51" spans="1:32" x14ac:dyDescent="0.2">
      <c r="A51" s="178" t="s">
        <v>117</v>
      </c>
      <c r="B51" s="168">
        <v>2</v>
      </c>
      <c r="C51" s="168">
        <v>15</v>
      </c>
      <c r="D51" s="168">
        <v>1</v>
      </c>
      <c r="E51" s="168">
        <v>3</v>
      </c>
      <c r="F51" s="168">
        <v>4</v>
      </c>
      <c r="G51" s="168">
        <v>11</v>
      </c>
      <c r="H51" s="168">
        <v>1</v>
      </c>
      <c r="I51" s="168">
        <v>4</v>
      </c>
      <c r="J51" s="168">
        <f t="shared" si="12"/>
        <v>41</v>
      </c>
      <c r="K51" s="190">
        <f t="shared" si="13"/>
        <v>0.15953307392996108</v>
      </c>
      <c r="N51" s="168">
        <v>26</v>
      </c>
      <c r="O51" s="190">
        <f t="shared" si="14"/>
        <v>0.17449664429530201</v>
      </c>
      <c r="R51" s="168">
        <v>15</v>
      </c>
      <c r="S51" s="190">
        <f t="shared" si="15"/>
        <v>0.14018691588785046</v>
      </c>
    </row>
    <row r="52" spans="1:32" x14ac:dyDescent="0.2">
      <c r="A52" s="178" t="s">
        <v>197</v>
      </c>
      <c r="B52" s="168"/>
      <c r="C52" s="168">
        <v>7</v>
      </c>
      <c r="D52" s="168">
        <v>1</v>
      </c>
      <c r="E52" s="168"/>
      <c r="F52" s="168"/>
      <c r="G52" s="168">
        <v>1</v>
      </c>
      <c r="H52" s="168">
        <v>2</v>
      </c>
      <c r="I52" s="168">
        <v>7</v>
      </c>
      <c r="J52" s="168">
        <f t="shared" si="12"/>
        <v>18</v>
      </c>
      <c r="K52" s="190">
        <f t="shared" si="13"/>
        <v>7.0038910505836577E-2</v>
      </c>
      <c r="N52" s="168">
        <v>10</v>
      </c>
      <c r="O52" s="190">
        <f t="shared" si="14"/>
        <v>6.7114093959731544E-2</v>
      </c>
      <c r="R52" s="168">
        <v>8</v>
      </c>
      <c r="S52" s="190">
        <f t="shared" si="15"/>
        <v>7.476635514018691E-2</v>
      </c>
    </row>
    <row r="53" spans="1:32" x14ac:dyDescent="0.2">
      <c r="A53" s="178" t="s">
        <v>81</v>
      </c>
      <c r="B53" s="168"/>
      <c r="C53" s="168">
        <v>5</v>
      </c>
      <c r="D53" s="168"/>
      <c r="E53" s="168"/>
      <c r="F53" s="168"/>
      <c r="G53" s="168">
        <v>4</v>
      </c>
      <c r="H53" s="168">
        <v>1</v>
      </c>
      <c r="I53" s="168">
        <v>4</v>
      </c>
      <c r="J53" s="168">
        <f t="shared" si="12"/>
        <v>14</v>
      </c>
      <c r="K53" s="190">
        <f t="shared" si="13"/>
        <v>5.4474708171206226E-2</v>
      </c>
      <c r="N53" s="168">
        <v>9</v>
      </c>
      <c r="O53" s="190">
        <f t="shared" si="14"/>
        <v>6.0402684563758392E-2</v>
      </c>
      <c r="P53" s="194">
        <f>SUM(O51:O53)</f>
        <v>0.30201342281879195</v>
      </c>
      <c r="R53" s="168">
        <v>5</v>
      </c>
      <c r="S53" s="190">
        <f t="shared" si="15"/>
        <v>4.6728971962616821E-2</v>
      </c>
      <c r="T53" s="194">
        <f>SUM(S51:S53)</f>
        <v>0.26168224299065418</v>
      </c>
    </row>
    <row r="54" spans="1:32" x14ac:dyDescent="0.2">
      <c r="A54" s="170" t="s">
        <v>2020</v>
      </c>
      <c r="B54" s="171">
        <f t="shared" ref="B54:G54" si="16">SUM(B45:B53)</f>
        <v>9</v>
      </c>
      <c r="C54" s="171">
        <f t="shared" si="16"/>
        <v>78</v>
      </c>
      <c r="D54" s="171">
        <f t="shared" si="16"/>
        <v>9</v>
      </c>
      <c r="E54" s="171">
        <f t="shared" si="16"/>
        <v>16</v>
      </c>
      <c r="F54" s="171">
        <f t="shared" si="16"/>
        <v>31</v>
      </c>
      <c r="G54" s="171">
        <f t="shared" si="16"/>
        <v>83</v>
      </c>
      <c r="H54" s="171">
        <f>SUM(H45:H53)</f>
        <v>9</v>
      </c>
      <c r="I54" s="171">
        <f>SUM(I45:I53)</f>
        <v>21</v>
      </c>
      <c r="J54" s="171">
        <f>SUM(J45:J53)</f>
        <v>256</v>
      </c>
      <c r="K54" s="196">
        <f>SUM(K45:K53)</f>
        <v>0.99610894941634254</v>
      </c>
      <c r="N54" s="171">
        <f>SUM(N45:N53)</f>
        <v>149</v>
      </c>
      <c r="O54" s="191">
        <f>SUM(O45:O53)</f>
        <v>1</v>
      </c>
      <c r="R54" s="171">
        <f>SUM(R45:R53)</f>
        <v>107</v>
      </c>
      <c r="S54" s="191">
        <f>SUM(S45:S53)</f>
        <v>1</v>
      </c>
      <c r="T54" s="191">
        <f>SUM(T45:T53)</f>
        <v>1</v>
      </c>
    </row>
    <row r="58" spans="1:32" ht="51" x14ac:dyDescent="0.2">
      <c r="A58" s="411" t="s">
        <v>2019</v>
      </c>
      <c r="B58" s="406" t="s">
        <v>2089</v>
      </c>
      <c r="C58" s="406"/>
      <c r="D58" s="174" t="s">
        <v>2090</v>
      </c>
      <c r="E58" s="406" t="s">
        <v>2091</v>
      </c>
      <c r="F58" s="406"/>
      <c r="G58" s="407" t="s">
        <v>2092</v>
      </c>
      <c r="H58" s="407" t="s">
        <v>2093</v>
      </c>
      <c r="I58" s="184"/>
      <c r="J58" s="406" t="s">
        <v>2094</v>
      </c>
      <c r="K58" s="406"/>
      <c r="L58" s="174" t="s">
        <v>2095</v>
      </c>
      <c r="M58" s="406" t="s">
        <v>2096</v>
      </c>
      <c r="N58" s="406"/>
      <c r="O58" s="407" t="s">
        <v>2097</v>
      </c>
      <c r="P58" s="407" t="s">
        <v>2098</v>
      </c>
      <c r="R58" s="406" t="s">
        <v>2099</v>
      </c>
      <c r="S58" s="406"/>
      <c r="T58" s="174" t="s">
        <v>2100</v>
      </c>
      <c r="U58" s="406" t="s">
        <v>2101</v>
      </c>
      <c r="V58" s="406"/>
      <c r="W58" s="407" t="s">
        <v>2102</v>
      </c>
      <c r="X58" s="407" t="s">
        <v>2103</v>
      </c>
      <c r="Y58" s="184"/>
      <c r="Z58" s="406" t="s">
        <v>2104</v>
      </c>
      <c r="AA58" s="406"/>
      <c r="AB58" s="409" t="s">
        <v>2105</v>
      </c>
      <c r="AD58" s="406" t="s">
        <v>2106</v>
      </c>
      <c r="AE58" s="406"/>
      <c r="AF58" s="407" t="s">
        <v>1768</v>
      </c>
    </row>
    <row r="59" spans="1:32" ht="17" x14ac:dyDescent="0.2">
      <c r="A59" s="412"/>
      <c r="B59" s="174" t="s">
        <v>34</v>
      </c>
      <c r="C59" s="174" t="s">
        <v>180</v>
      </c>
      <c r="D59" s="171" t="s">
        <v>34</v>
      </c>
      <c r="E59" s="174" t="s">
        <v>34</v>
      </c>
      <c r="F59" s="174" t="s">
        <v>180</v>
      </c>
      <c r="G59" s="408"/>
      <c r="H59" s="408"/>
      <c r="I59" s="185"/>
      <c r="J59" s="174" t="s">
        <v>34</v>
      </c>
      <c r="K59" s="174" t="s">
        <v>180</v>
      </c>
      <c r="L59" s="182" t="s">
        <v>34</v>
      </c>
      <c r="M59" s="174" t="s">
        <v>34</v>
      </c>
      <c r="N59" s="174" t="s">
        <v>180</v>
      </c>
      <c r="O59" s="408"/>
      <c r="P59" s="408"/>
      <c r="R59" s="171" t="s">
        <v>34</v>
      </c>
      <c r="S59" s="171" t="s">
        <v>180</v>
      </c>
      <c r="T59" s="182" t="s">
        <v>34</v>
      </c>
      <c r="U59" s="174" t="s">
        <v>34</v>
      </c>
      <c r="V59" s="174" t="s">
        <v>180</v>
      </c>
      <c r="W59" s="408"/>
      <c r="X59" s="408"/>
      <c r="Y59" s="185"/>
      <c r="Z59" s="171" t="s">
        <v>34</v>
      </c>
      <c r="AA59" s="171" t="s">
        <v>180</v>
      </c>
      <c r="AB59" s="410"/>
      <c r="AD59" s="171" t="s">
        <v>34</v>
      </c>
      <c r="AE59" s="171" t="s">
        <v>180</v>
      </c>
      <c r="AF59" s="408"/>
    </row>
    <row r="60" spans="1:32" x14ac:dyDescent="0.2">
      <c r="A60" s="218" t="s">
        <v>2081</v>
      </c>
      <c r="B60" s="219">
        <v>1</v>
      </c>
      <c r="C60" s="219"/>
      <c r="D60" s="219"/>
      <c r="E60" s="219">
        <v>5</v>
      </c>
      <c r="F60" s="219"/>
      <c r="G60" s="187">
        <f>B60+C60+(0.5 *D60)+(0.33*(E60+F60))</f>
        <v>2.6500000000000004</v>
      </c>
      <c r="H60" s="183">
        <f t="shared" ref="H60:H76" si="17">SUM(B60:F60)</f>
        <v>6</v>
      </c>
      <c r="I60" s="184"/>
      <c r="J60" s="219"/>
      <c r="K60" s="219"/>
      <c r="L60" s="219">
        <v>1</v>
      </c>
      <c r="M60" s="219">
        <v>5</v>
      </c>
      <c r="N60" s="219"/>
      <c r="O60" s="187">
        <f t="shared" ref="O60:O76" si="18">J60+K60+(0.5 *L60)+(0.33*(M60+N60))</f>
        <v>2.1500000000000004</v>
      </c>
      <c r="P60" s="183">
        <f t="shared" ref="P60:P76" si="19">SUM(J60:N60)</f>
        <v>6</v>
      </c>
      <c r="R60" s="219">
        <v>1</v>
      </c>
      <c r="S60" s="219"/>
      <c r="T60" s="219">
        <v>1</v>
      </c>
      <c r="U60" s="219">
        <v>5</v>
      </c>
      <c r="V60" s="219"/>
      <c r="W60" s="187">
        <f t="shared" ref="W60:W76" si="20">R60+S60+(0.5 *T60)+(0.33*(U60+V60))</f>
        <v>3.1500000000000004</v>
      </c>
      <c r="X60" s="183">
        <f>SUM(R60:V60)</f>
        <v>7</v>
      </c>
      <c r="Y60" s="184"/>
      <c r="Z60" s="219">
        <v>1</v>
      </c>
      <c r="AA60" s="219"/>
      <c r="AB60" s="183">
        <f t="shared" ref="AB60:AB76" si="21">SUM(Z60:AA60)</f>
        <v>1</v>
      </c>
      <c r="AD60" s="220">
        <f t="shared" ref="AD60:AD76" si="22">B60+J60+R60+Z60+(0.5*(D60+L60+T60))+0.33*((E60+M60+U60))</f>
        <v>8.9499999999999993</v>
      </c>
      <c r="AE60" s="220">
        <f t="shared" ref="AE60:AE76" si="23">C60+K60+S60+AA60+(0.33*(F60+N60+V60))</f>
        <v>0</v>
      </c>
      <c r="AF60" s="186">
        <f t="shared" ref="AF60:AF76" si="24">SUM(AD60:AE60)</f>
        <v>8.9499999999999993</v>
      </c>
    </row>
    <row r="61" spans="1:32" x14ac:dyDescent="0.2">
      <c r="A61" s="221" t="s">
        <v>2082</v>
      </c>
      <c r="B61" s="219"/>
      <c r="C61" s="219"/>
      <c r="D61" s="219"/>
      <c r="E61" s="219">
        <v>1</v>
      </c>
      <c r="F61" s="219"/>
      <c r="G61" s="187">
        <f t="shared" ref="G61:G76" si="25">B61+C61+(0.5 *D61)+(0.33*(E61+F61))</f>
        <v>0.33</v>
      </c>
      <c r="H61" s="183">
        <f t="shared" si="17"/>
        <v>1</v>
      </c>
      <c r="I61" s="184"/>
      <c r="J61" s="219"/>
      <c r="K61" s="219"/>
      <c r="L61" s="219"/>
      <c r="M61" s="219">
        <v>1</v>
      </c>
      <c r="N61" s="219"/>
      <c r="O61" s="187">
        <f t="shared" si="18"/>
        <v>0.33</v>
      </c>
      <c r="P61" s="183">
        <f t="shared" si="19"/>
        <v>1</v>
      </c>
      <c r="R61" s="219"/>
      <c r="S61" s="219"/>
      <c r="T61" s="219"/>
      <c r="U61" s="219">
        <v>1</v>
      </c>
      <c r="V61" s="219"/>
      <c r="W61" s="187">
        <f t="shared" si="20"/>
        <v>0.33</v>
      </c>
      <c r="X61" s="183">
        <f t="shared" ref="X61:X76" si="26">SUM(R61:V61)</f>
        <v>1</v>
      </c>
      <c r="Y61" s="184"/>
      <c r="Z61" s="219">
        <v>6</v>
      </c>
      <c r="AA61" s="219"/>
      <c r="AB61" s="183">
        <f t="shared" si="21"/>
        <v>6</v>
      </c>
      <c r="AD61" s="220">
        <f t="shared" si="22"/>
        <v>6.99</v>
      </c>
      <c r="AE61" s="220">
        <f t="shared" si="23"/>
        <v>0</v>
      </c>
      <c r="AF61" s="186">
        <f t="shared" si="24"/>
        <v>6.99</v>
      </c>
    </row>
    <row r="62" spans="1:32" x14ac:dyDescent="0.2">
      <c r="A62" s="221" t="s">
        <v>122</v>
      </c>
      <c r="B62" s="219">
        <v>8</v>
      </c>
      <c r="C62" s="219">
        <v>3</v>
      </c>
      <c r="D62" s="219"/>
      <c r="E62" s="219">
        <v>2</v>
      </c>
      <c r="F62" s="219">
        <v>1</v>
      </c>
      <c r="G62" s="187">
        <f t="shared" si="25"/>
        <v>11.99</v>
      </c>
      <c r="H62" s="183">
        <f t="shared" si="17"/>
        <v>14</v>
      </c>
      <c r="I62" s="184"/>
      <c r="J62" s="219">
        <v>5</v>
      </c>
      <c r="K62" s="219">
        <v>6</v>
      </c>
      <c r="L62" s="219"/>
      <c r="M62" s="219">
        <v>2</v>
      </c>
      <c r="N62" s="219">
        <v>1</v>
      </c>
      <c r="O62" s="187">
        <f t="shared" si="18"/>
        <v>11.99</v>
      </c>
      <c r="P62" s="183">
        <f t="shared" si="19"/>
        <v>14</v>
      </c>
      <c r="R62" s="219">
        <v>6</v>
      </c>
      <c r="S62" s="219">
        <v>3</v>
      </c>
      <c r="T62" s="219"/>
      <c r="U62" s="219">
        <v>2</v>
      </c>
      <c r="V62" s="219">
        <v>1</v>
      </c>
      <c r="W62" s="187">
        <f t="shared" si="20"/>
        <v>9.99</v>
      </c>
      <c r="X62" s="183">
        <f t="shared" si="26"/>
        <v>12</v>
      </c>
      <c r="Y62" s="184"/>
      <c r="Z62" s="219">
        <v>4</v>
      </c>
      <c r="AA62" s="219">
        <v>5</v>
      </c>
      <c r="AB62" s="183">
        <f t="shared" si="21"/>
        <v>9</v>
      </c>
      <c r="AD62" s="220">
        <f t="shared" si="22"/>
        <v>24.98</v>
      </c>
      <c r="AE62" s="220">
        <f t="shared" si="23"/>
        <v>17.989999999999998</v>
      </c>
      <c r="AF62" s="186">
        <f t="shared" si="24"/>
        <v>42.97</v>
      </c>
    </row>
    <row r="63" spans="1:32" x14ac:dyDescent="0.2">
      <c r="A63" s="221" t="s">
        <v>256</v>
      </c>
      <c r="B63" s="219">
        <v>4</v>
      </c>
      <c r="C63" s="219">
        <v>1</v>
      </c>
      <c r="D63" s="219"/>
      <c r="E63" s="219"/>
      <c r="F63" s="219"/>
      <c r="G63" s="187">
        <f t="shared" si="25"/>
        <v>5</v>
      </c>
      <c r="H63" s="183">
        <f t="shared" si="17"/>
        <v>5</v>
      </c>
      <c r="I63" s="184"/>
      <c r="J63" s="219">
        <v>2</v>
      </c>
      <c r="K63" s="219">
        <v>1</v>
      </c>
      <c r="L63" s="219"/>
      <c r="M63" s="219"/>
      <c r="N63" s="219"/>
      <c r="O63" s="187">
        <f t="shared" si="18"/>
        <v>3</v>
      </c>
      <c r="P63" s="183">
        <f t="shared" si="19"/>
        <v>3</v>
      </c>
      <c r="R63" s="219">
        <v>3</v>
      </c>
      <c r="S63" s="219">
        <v>1</v>
      </c>
      <c r="T63" s="219"/>
      <c r="U63" s="219"/>
      <c r="V63" s="219"/>
      <c r="W63" s="187">
        <f t="shared" si="20"/>
        <v>4</v>
      </c>
      <c r="X63" s="183">
        <f t="shared" si="26"/>
        <v>4</v>
      </c>
      <c r="Y63" s="184"/>
      <c r="Z63" s="219"/>
      <c r="AA63" s="219"/>
      <c r="AB63" s="183">
        <f t="shared" si="21"/>
        <v>0</v>
      </c>
      <c r="AD63" s="220">
        <f t="shared" si="22"/>
        <v>9</v>
      </c>
      <c r="AE63" s="220">
        <f t="shared" si="23"/>
        <v>3</v>
      </c>
      <c r="AF63" s="186">
        <f t="shared" si="24"/>
        <v>12</v>
      </c>
    </row>
    <row r="64" spans="1:32" x14ac:dyDescent="0.2">
      <c r="A64" s="221" t="s">
        <v>303</v>
      </c>
      <c r="B64" s="219">
        <v>4</v>
      </c>
      <c r="C64" s="219">
        <v>2</v>
      </c>
      <c r="D64" s="219"/>
      <c r="E64" s="219">
        <v>2</v>
      </c>
      <c r="F64" s="219">
        <v>3</v>
      </c>
      <c r="G64" s="187">
        <f t="shared" si="25"/>
        <v>7.65</v>
      </c>
      <c r="H64" s="183">
        <f t="shared" si="17"/>
        <v>11</v>
      </c>
      <c r="I64" s="184"/>
      <c r="J64" s="219">
        <v>4</v>
      </c>
      <c r="K64" s="219">
        <v>7</v>
      </c>
      <c r="L64" s="219">
        <v>1</v>
      </c>
      <c r="M64" s="219">
        <v>2</v>
      </c>
      <c r="N64" s="219">
        <v>3</v>
      </c>
      <c r="O64" s="187">
        <f t="shared" si="18"/>
        <v>13.15</v>
      </c>
      <c r="P64" s="183">
        <f t="shared" si="19"/>
        <v>17</v>
      </c>
      <c r="R64" s="219">
        <v>5</v>
      </c>
      <c r="S64" s="219">
        <v>4</v>
      </c>
      <c r="T64" s="219">
        <v>1</v>
      </c>
      <c r="U64" s="219">
        <v>2</v>
      </c>
      <c r="V64" s="219">
        <v>3</v>
      </c>
      <c r="W64" s="187">
        <f t="shared" si="20"/>
        <v>11.15</v>
      </c>
      <c r="X64" s="183">
        <f t="shared" si="26"/>
        <v>15</v>
      </c>
      <c r="Y64" s="184"/>
      <c r="Z64" s="219">
        <v>1</v>
      </c>
      <c r="AA64" s="219">
        <v>5</v>
      </c>
      <c r="AB64" s="183">
        <f t="shared" si="21"/>
        <v>6</v>
      </c>
      <c r="AD64" s="220">
        <f t="shared" si="22"/>
        <v>16.98</v>
      </c>
      <c r="AE64" s="220">
        <f t="shared" si="23"/>
        <v>20.97</v>
      </c>
      <c r="AF64" s="186">
        <f t="shared" si="24"/>
        <v>37.950000000000003</v>
      </c>
    </row>
    <row r="65" spans="1:35" x14ac:dyDescent="0.2">
      <c r="A65" s="221" t="s">
        <v>2083</v>
      </c>
      <c r="B65" s="219"/>
      <c r="C65" s="219"/>
      <c r="D65" s="219"/>
      <c r="E65" s="219">
        <v>3</v>
      </c>
      <c r="F65" s="219"/>
      <c r="G65" s="187">
        <f t="shared" si="25"/>
        <v>0.99</v>
      </c>
      <c r="H65" s="183">
        <f t="shared" si="17"/>
        <v>3</v>
      </c>
      <c r="I65" s="184"/>
      <c r="J65" s="219"/>
      <c r="K65" s="219"/>
      <c r="L65" s="219"/>
      <c r="M65" s="219">
        <v>3</v>
      </c>
      <c r="N65" s="219"/>
      <c r="O65" s="187">
        <f t="shared" si="18"/>
        <v>0.99</v>
      </c>
      <c r="P65" s="183">
        <f t="shared" si="19"/>
        <v>3</v>
      </c>
      <c r="R65" s="219"/>
      <c r="S65" s="219"/>
      <c r="T65" s="219"/>
      <c r="U65" s="219">
        <v>3</v>
      </c>
      <c r="V65" s="219"/>
      <c r="W65" s="187">
        <f t="shared" si="20"/>
        <v>0.99</v>
      </c>
      <c r="X65" s="183">
        <f t="shared" si="26"/>
        <v>3</v>
      </c>
      <c r="Y65" s="184"/>
      <c r="Z65" s="219">
        <v>1</v>
      </c>
      <c r="AA65" s="219"/>
      <c r="AB65" s="183">
        <f t="shared" si="21"/>
        <v>1</v>
      </c>
      <c r="AD65" s="220">
        <f t="shared" si="22"/>
        <v>3.97</v>
      </c>
      <c r="AE65" s="220">
        <f t="shared" si="23"/>
        <v>0</v>
      </c>
      <c r="AF65" s="186">
        <f t="shared" si="24"/>
        <v>3.97</v>
      </c>
    </row>
    <row r="66" spans="1:35" x14ac:dyDescent="0.2">
      <c r="A66" s="221" t="s">
        <v>405</v>
      </c>
      <c r="B66" s="219">
        <v>1</v>
      </c>
      <c r="C66" s="219"/>
      <c r="D66" s="219"/>
      <c r="E66" s="219">
        <v>2</v>
      </c>
      <c r="F66" s="219"/>
      <c r="G66" s="187">
        <f t="shared" si="25"/>
        <v>1.6600000000000001</v>
      </c>
      <c r="H66" s="183">
        <f t="shared" si="17"/>
        <v>3</v>
      </c>
      <c r="I66" s="184"/>
      <c r="J66" s="219">
        <v>1</v>
      </c>
      <c r="K66" s="219"/>
      <c r="L66" s="219"/>
      <c r="M66" s="219">
        <v>2</v>
      </c>
      <c r="N66" s="219"/>
      <c r="O66" s="187">
        <f t="shared" si="18"/>
        <v>1.6600000000000001</v>
      </c>
      <c r="P66" s="183">
        <f t="shared" si="19"/>
        <v>3</v>
      </c>
      <c r="R66" s="219">
        <v>1</v>
      </c>
      <c r="S66" s="219"/>
      <c r="T66" s="219"/>
      <c r="U66" s="219">
        <v>2</v>
      </c>
      <c r="V66" s="219"/>
      <c r="W66" s="187">
        <f t="shared" si="20"/>
        <v>1.6600000000000001</v>
      </c>
      <c r="X66" s="183">
        <f t="shared" si="26"/>
        <v>3</v>
      </c>
      <c r="Y66" s="184"/>
      <c r="Z66" s="219"/>
      <c r="AA66" s="219"/>
      <c r="AB66" s="183">
        <f t="shared" si="21"/>
        <v>0</v>
      </c>
      <c r="AD66" s="220">
        <f t="shared" si="22"/>
        <v>4.9800000000000004</v>
      </c>
      <c r="AE66" s="220">
        <f t="shared" si="23"/>
        <v>0</v>
      </c>
      <c r="AF66" s="186">
        <f t="shared" si="24"/>
        <v>4.9800000000000004</v>
      </c>
    </row>
    <row r="67" spans="1:35" x14ac:dyDescent="0.2">
      <c r="A67" s="221" t="s">
        <v>429</v>
      </c>
      <c r="B67" s="219">
        <v>2</v>
      </c>
      <c r="C67" s="219"/>
      <c r="D67" s="219">
        <v>1</v>
      </c>
      <c r="E67" s="219"/>
      <c r="F67" s="219"/>
      <c r="G67" s="187">
        <f t="shared" si="25"/>
        <v>2.5</v>
      </c>
      <c r="H67" s="183">
        <f t="shared" si="17"/>
        <v>3</v>
      </c>
      <c r="I67" s="184"/>
      <c r="J67" s="219">
        <v>1</v>
      </c>
      <c r="K67" s="219"/>
      <c r="L67" s="219">
        <v>2</v>
      </c>
      <c r="M67" s="219"/>
      <c r="N67" s="219"/>
      <c r="O67" s="187">
        <f t="shared" si="18"/>
        <v>2</v>
      </c>
      <c r="P67" s="183">
        <f t="shared" si="19"/>
        <v>3</v>
      </c>
      <c r="R67" s="219">
        <v>2</v>
      </c>
      <c r="S67" s="219"/>
      <c r="T67" s="219">
        <v>1</v>
      </c>
      <c r="U67" s="219"/>
      <c r="V67" s="219"/>
      <c r="W67" s="187">
        <f t="shared" si="20"/>
        <v>2.5</v>
      </c>
      <c r="X67" s="183">
        <f t="shared" si="26"/>
        <v>3</v>
      </c>
      <c r="Y67" s="184"/>
      <c r="Z67" s="219">
        <v>3</v>
      </c>
      <c r="AA67" s="219"/>
      <c r="AB67" s="183">
        <f t="shared" si="21"/>
        <v>3</v>
      </c>
      <c r="AD67" s="220">
        <f t="shared" si="22"/>
        <v>10</v>
      </c>
      <c r="AE67" s="220">
        <f t="shared" si="23"/>
        <v>0</v>
      </c>
      <c r="AF67" s="186">
        <f t="shared" si="24"/>
        <v>10</v>
      </c>
    </row>
    <row r="68" spans="1:35" x14ac:dyDescent="0.2">
      <c r="A68" s="221" t="s">
        <v>143</v>
      </c>
      <c r="B68" s="219">
        <v>2</v>
      </c>
      <c r="C68" s="219"/>
      <c r="D68" s="219"/>
      <c r="E68" s="219">
        <v>3</v>
      </c>
      <c r="F68" s="219"/>
      <c r="G68" s="187">
        <f t="shared" si="25"/>
        <v>2.99</v>
      </c>
      <c r="H68" s="183">
        <f t="shared" si="17"/>
        <v>5</v>
      </c>
      <c r="I68" s="184"/>
      <c r="J68" s="219">
        <v>1</v>
      </c>
      <c r="K68" s="219"/>
      <c r="L68" s="219"/>
      <c r="M68" s="219">
        <v>3</v>
      </c>
      <c r="N68" s="219"/>
      <c r="O68" s="187">
        <f t="shared" si="18"/>
        <v>1.99</v>
      </c>
      <c r="P68" s="183">
        <f t="shared" si="19"/>
        <v>4</v>
      </c>
      <c r="R68" s="219">
        <v>1</v>
      </c>
      <c r="S68" s="219"/>
      <c r="T68" s="219"/>
      <c r="U68" s="219">
        <v>3</v>
      </c>
      <c r="V68" s="219"/>
      <c r="W68" s="187">
        <f t="shared" si="20"/>
        <v>1.99</v>
      </c>
      <c r="X68" s="183">
        <f t="shared" si="26"/>
        <v>4</v>
      </c>
      <c r="Y68" s="184"/>
      <c r="Z68" s="219">
        <v>1</v>
      </c>
      <c r="AA68" s="219"/>
      <c r="AB68" s="183">
        <f t="shared" si="21"/>
        <v>1</v>
      </c>
      <c r="AD68" s="220">
        <f t="shared" si="22"/>
        <v>7.9700000000000006</v>
      </c>
      <c r="AE68" s="220">
        <f t="shared" si="23"/>
        <v>0</v>
      </c>
      <c r="AF68" s="186">
        <f t="shared" si="24"/>
        <v>7.9700000000000006</v>
      </c>
    </row>
    <row r="69" spans="1:35" x14ac:dyDescent="0.2">
      <c r="A69" s="221" t="s">
        <v>1239</v>
      </c>
      <c r="B69" s="219"/>
      <c r="C69" s="219"/>
      <c r="D69" s="219">
        <v>1</v>
      </c>
      <c r="E69" s="219"/>
      <c r="F69" s="219"/>
      <c r="G69" s="187">
        <f t="shared" si="25"/>
        <v>0.5</v>
      </c>
      <c r="H69" s="183">
        <f t="shared" si="17"/>
        <v>1</v>
      </c>
      <c r="I69" s="184"/>
      <c r="J69" s="219"/>
      <c r="K69" s="219"/>
      <c r="L69" s="219">
        <v>1</v>
      </c>
      <c r="M69" s="219"/>
      <c r="N69" s="219"/>
      <c r="O69" s="187">
        <f t="shared" si="18"/>
        <v>0.5</v>
      </c>
      <c r="P69" s="183">
        <f t="shared" si="19"/>
        <v>1</v>
      </c>
      <c r="R69" s="219"/>
      <c r="S69" s="219"/>
      <c r="T69" s="219"/>
      <c r="U69" s="219"/>
      <c r="V69" s="219"/>
      <c r="W69" s="187">
        <f t="shared" si="20"/>
        <v>0</v>
      </c>
      <c r="X69" s="183">
        <f t="shared" si="26"/>
        <v>0</v>
      </c>
      <c r="Y69" s="184"/>
      <c r="Z69" s="219">
        <v>17</v>
      </c>
      <c r="AA69" s="219"/>
      <c r="AB69" s="183">
        <f t="shared" si="21"/>
        <v>17</v>
      </c>
      <c r="AD69" s="220">
        <f t="shared" si="22"/>
        <v>18</v>
      </c>
      <c r="AE69" s="220">
        <f t="shared" si="23"/>
        <v>0</v>
      </c>
      <c r="AF69" s="186">
        <f t="shared" si="24"/>
        <v>18</v>
      </c>
    </row>
    <row r="70" spans="1:35" x14ac:dyDescent="0.2">
      <c r="A70" s="221" t="s">
        <v>522</v>
      </c>
      <c r="B70" s="219"/>
      <c r="C70" s="219"/>
      <c r="D70" s="219"/>
      <c r="E70" s="219">
        <v>1</v>
      </c>
      <c r="F70" s="219"/>
      <c r="G70" s="187">
        <f t="shared" si="25"/>
        <v>0.33</v>
      </c>
      <c r="H70" s="183">
        <f t="shared" si="17"/>
        <v>1</v>
      </c>
      <c r="I70" s="184"/>
      <c r="J70" s="219">
        <v>1</v>
      </c>
      <c r="K70" s="219"/>
      <c r="L70" s="219"/>
      <c r="M70" s="219">
        <v>1</v>
      </c>
      <c r="N70" s="219"/>
      <c r="O70" s="187">
        <f t="shared" si="18"/>
        <v>1.33</v>
      </c>
      <c r="P70" s="183">
        <f t="shared" si="19"/>
        <v>2</v>
      </c>
      <c r="R70" s="219">
        <v>1</v>
      </c>
      <c r="S70" s="219"/>
      <c r="T70" s="219"/>
      <c r="U70" s="219">
        <v>1</v>
      </c>
      <c r="V70" s="219"/>
      <c r="W70" s="187">
        <f t="shared" si="20"/>
        <v>1.33</v>
      </c>
      <c r="X70" s="183">
        <f t="shared" si="26"/>
        <v>2</v>
      </c>
      <c r="Y70" s="184"/>
      <c r="Z70" s="219">
        <v>9</v>
      </c>
      <c r="AA70" s="219"/>
      <c r="AB70" s="183">
        <f t="shared" si="21"/>
        <v>9</v>
      </c>
      <c r="AD70" s="220">
        <f t="shared" si="22"/>
        <v>11.99</v>
      </c>
      <c r="AE70" s="220">
        <f t="shared" si="23"/>
        <v>0</v>
      </c>
      <c r="AF70" s="186">
        <f t="shared" si="24"/>
        <v>11.99</v>
      </c>
    </row>
    <row r="71" spans="1:35" x14ac:dyDescent="0.2">
      <c r="A71" s="218" t="s">
        <v>1018</v>
      </c>
      <c r="B71" s="219">
        <v>6</v>
      </c>
      <c r="C71" s="219"/>
      <c r="D71" s="219">
        <v>2</v>
      </c>
      <c r="E71" s="219">
        <v>15</v>
      </c>
      <c r="F71" s="219">
        <v>2</v>
      </c>
      <c r="G71" s="187">
        <f t="shared" si="25"/>
        <v>12.61</v>
      </c>
      <c r="H71" s="183">
        <f t="shared" si="17"/>
        <v>25</v>
      </c>
      <c r="I71" s="184"/>
      <c r="J71" s="219">
        <v>3</v>
      </c>
      <c r="K71" s="219"/>
      <c r="L71" s="219">
        <v>3</v>
      </c>
      <c r="M71" s="219">
        <v>15</v>
      </c>
      <c r="N71" s="219">
        <v>2</v>
      </c>
      <c r="O71" s="187">
        <f t="shared" si="18"/>
        <v>10.11</v>
      </c>
      <c r="P71" s="183">
        <f t="shared" si="19"/>
        <v>23</v>
      </c>
      <c r="R71" s="219">
        <v>3</v>
      </c>
      <c r="S71" s="219"/>
      <c r="T71" s="219">
        <v>3</v>
      </c>
      <c r="U71" s="219">
        <v>15</v>
      </c>
      <c r="V71" s="219">
        <v>2</v>
      </c>
      <c r="W71" s="187">
        <f t="shared" si="20"/>
        <v>10.11</v>
      </c>
      <c r="X71" s="183">
        <f t="shared" si="26"/>
        <v>23</v>
      </c>
      <c r="Y71" s="184"/>
      <c r="Z71" s="219"/>
      <c r="AA71" s="219"/>
      <c r="AB71" s="183">
        <f t="shared" si="21"/>
        <v>0</v>
      </c>
      <c r="AD71" s="220">
        <f t="shared" si="22"/>
        <v>30.85</v>
      </c>
      <c r="AE71" s="220">
        <f t="shared" si="23"/>
        <v>1.98</v>
      </c>
      <c r="AF71" s="186">
        <f t="shared" si="24"/>
        <v>32.83</v>
      </c>
    </row>
    <row r="72" spans="1:35" x14ac:dyDescent="0.2">
      <c r="A72" s="218" t="s">
        <v>804</v>
      </c>
      <c r="B72" s="219">
        <v>1</v>
      </c>
      <c r="C72" s="219"/>
      <c r="D72" s="219">
        <v>2</v>
      </c>
      <c r="E72" s="219">
        <v>1</v>
      </c>
      <c r="F72" s="219"/>
      <c r="G72" s="187">
        <f t="shared" si="25"/>
        <v>2.33</v>
      </c>
      <c r="H72" s="183">
        <f t="shared" si="17"/>
        <v>4</v>
      </c>
      <c r="I72" s="184"/>
      <c r="J72" s="219"/>
      <c r="K72" s="219"/>
      <c r="L72" s="219">
        <v>3</v>
      </c>
      <c r="M72" s="219">
        <v>1</v>
      </c>
      <c r="N72" s="219"/>
      <c r="O72" s="187">
        <f t="shared" si="18"/>
        <v>1.83</v>
      </c>
      <c r="P72" s="183">
        <f t="shared" si="19"/>
        <v>4</v>
      </c>
      <c r="R72" s="219"/>
      <c r="S72" s="219">
        <v>2</v>
      </c>
      <c r="T72" s="219">
        <v>3</v>
      </c>
      <c r="U72" s="219">
        <v>1</v>
      </c>
      <c r="V72" s="219"/>
      <c r="W72" s="187">
        <f t="shared" si="20"/>
        <v>3.83</v>
      </c>
      <c r="X72" s="183">
        <f t="shared" si="26"/>
        <v>6</v>
      </c>
      <c r="Y72" s="184"/>
      <c r="Z72" s="219">
        <v>10</v>
      </c>
      <c r="AA72" s="219">
        <v>7</v>
      </c>
      <c r="AB72" s="183">
        <f t="shared" si="21"/>
        <v>17</v>
      </c>
      <c r="AD72" s="220">
        <f t="shared" si="22"/>
        <v>15.99</v>
      </c>
      <c r="AE72" s="220">
        <f t="shared" si="23"/>
        <v>9</v>
      </c>
      <c r="AF72" s="186">
        <f t="shared" si="24"/>
        <v>24.990000000000002</v>
      </c>
    </row>
    <row r="73" spans="1:35" x14ac:dyDescent="0.2">
      <c r="A73" s="218" t="s">
        <v>1160</v>
      </c>
      <c r="B73" s="219">
        <v>1</v>
      </c>
      <c r="C73" s="219"/>
      <c r="D73" s="219"/>
      <c r="E73" s="219"/>
      <c r="F73" s="219"/>
      <c r="G73" s="187">
        <f t="shared" si="25"/>
        <v>1</v>
      </c>
      <c r="H73" s="183">
        <f t="shared" si="17"/>
        <v>1</v>
      </c>
      <c r="I73" s="184"/>
      <c r="J73" s="219">
        <v>1</v>
      </c>
      <c r="K73" s="219"/>
      <c r="L73" s="219"/>
      <c r="M73" s="219"/>
      <c r="N73" s="219"/>
      <c r="O73" s="187">
        <f t="shared" si="18"/>
        <v>1</v>
      </c>
      <c r="P73" s="183">
        <f t="shared" si="19"/>
        <v>1</v>
      </c>
      <c r="R73" s="219">
        <v>1</v>
      </c>
      <c r="S73" s="219"/>
      <c r="T73" s="219"/>
      <c r="U73" s="219"/>
      <c r="V73" s="219"/>
      <c r="W73" s="187">
        <f t="shared" si="20"/>
        <v>1</v>
      </c>
      <c r="X73" s="183">
        <f t="shared" si="26"/>
        <v>1</v>
      </c>
      <c r="Y73" s="184"/>
      <c r="Z73" s="219">
        <v>6</v>
      </c>
      <c r="AA73" s="219"/>
      <c r="AB73" s="183">
        <f t="shared" si="21"/>
        <v>6</v>
      </c>
      <c r="AD73" s="220">
        <f t="shared" si="22"/>
        <v>9</v>
      </c>
      <c r="AE73" s="220">
        <f t="shared" si="23"/>
        <v>0</v>
      </c>
      <c r="AF73" s="186">
        <f t="shared" si="24"/>
        <v>9</v>
      </c>
    </row>
    <row r="74" spans="1:35" x14ac:dyDescent="0.2">
      <c r="A74" s="218" t="s">
        <v>893</v>
      </c>
      <c r="B74" s="219"/>
      <c r="C74" s="219"/>
      <c r="D74" s="219"/>
      <c r="E74" s="219">
        <v>1</v>
      </c>
      <c r="F74" s="219"/>
      <c r="G74" s="187">
        <f t="shared" si="25"/>
        <v>0.33</v>
      </c>
      <c r="H74" s="183">
        <f t="shared" si="17"/>
        <v>1</v>
      </c>
      <c r="I74" s="184"/>
      <c r="J74" s="219"/>
      <c r="K74" s="219"/>
      <c r="L74" s="219"/>
      <c r="M74" s="219">
        <v>1</v>
      </c>
      <c r="N74" s="219"/>
      <c r="O74" s="187">
        <f t="shared" si="18"/>
        <v>0.33</v>
      </c>
      <c r="P74" s="183">
        <f t="shared" si="19"/>
        <v>1</v>
      </c>
      <c r="R74" s="219">
        <v>1</v>
      </c>
      <c r="S74" s="219"/>
      <c r="T74" s="219"/>
      <c r="U74" s="219">
        <v>1</v>
      </c>
      <c r="V74" s="219"/>
      <c r="W74" s="187">
        <f t="shared" si="20"/>
        <v>1.33</v>
      </c>
      <c r="X74" s="183">
        <f t="shared" si="26"/>
        <v>2</v>
      </c>
      <c r="Y74" s="184"/>
      <c r="Z74" s="219">
        <v>8</v>
      </c>
      <c r="AA74" s="219"/>
      <c r="AB74" s="183">
        <f t="shared" si="21"/>
        <v>8</v>
      </c>
      <c r="AD74" s="220">
        <f t="shared" si="22"/>
        <v>9.99</v>
      </c>
      <c r="AE74" s="220">
        <f t="shared" si="23"/>
        <v>0</v>
      </c>
      <c r="AF74" s="186">
        <f t="shared" si="24"/>
        <v>9.99</v>
      </c>
    </row>
    <row r="75" spans="1:35" x14ac:dyDescent="0.2">
      <c r="A75" s="218" t="s">
        <v>678</v>
      </c>
      <c r="B75" s="219">
        <v>1</v>
      </c>
      <c r="C75" s="219"/>
      <c r="D75" s="219">
        <v>4</v>
      </c>
      <c r="E75" s="219">
        <v>6</v>
      </c>
      <c r="F75" s="219"/>
      <c r="G75" s="187">
        <f t="shared" si="25"/>
        <v>4.9800000000000004</v>
      </c>
      <c r="H75" s="183">
        <f t="shared" si="17"/>
        <v>11</v>
      </c>
      <c r="I75" s="184"/>
      <c r="J75" s="219"/>
      <c r="K75" s="219"/>
      <c r="L75" s="219">
        <v>1</v>
      </c>
      <c r="M75" s="219">
        <v>6</v>
      </c>
      <c r="N75" s="219"/>
      <c r="O75" s="187">
        <f t="shared" si="18"/>
        <v>2.48</v>
      </c>
      <c r="P75" s="183">
        <f t="shared" si="19"/>
        <v>7</v>
      </c>
      <c r="R75" s="219">
        <v>2</v>
      </c>
      <c r="S75" s="219"/>
      <c r="T75" s="219">
        <v>3</v>
      </c>
      <c r="U75" s="219">
        <v>6</v>
      </c>
      <c r="V75" s="219"/>
      <c r="W75" s="187">
        <f t="shared" si="20"/>
        <v>5.48</v>
      </c>
      <c r="X75" s="183">
        <f t="shared" si="26"/>
        <v>11</v>
      </c>
      <c r="Y75" s="184"/>
      <c r="Z75" s="219">
        <v>11</v>
      </c>
      <c r="AA75" s="219"/>
      <c r="AB75" s="183">
        <f t="shared" si="21"/>
        <v>11</v>
      </c>
      <c r="AD75" s="220">
        <f t="shared" si="22"/>
        <v>23.94</v>
      </c>
      <c r="AE75" s="220">
        <f t="shared" si="23"/>
        <v>0</v>
      </c>
      <c r="AF75" s="186">
        <f t="shared" si="24"/>
        <v>23.94</v>
      </c>
    </row>
    <row r="76" spans="1:35" x14ac:dyDescent="0.2">
      <c r="A76" s="218" t="s">
        <v>2107</v>
      </c>
      <c r="B76" s="219"/>
      <c r="C76" s="219"/>
      <c r="D76" s="219"/>
      <c r="E76" s="219"/>
      <c r="F76" s="219"/>
      <c r="G76" s="187">
        <f t="shared" si="25"/>
        <v>0</v>
      </c>
      <c r="H76" s="183">
        <f t="shared" si="17"/>
        <v>0</v>
      </c>
      <c r="I76" s="184"/>
      <c r="J76" s="219"/>
      <c r="K76" s="219"/>
      <c r="L76" s="219"/>
      <c r="M76" s="219"/>
      <c r="N76" s="219"/>
      <c r="O76" s="187">
        <f t="shared" si="18"/>
        <v>0</v>
      </c>
      <c r="P76" s="183">
        <f t="shared" si="19"/>
        <v>0</v>
      </c>
      <c r="R76" s="219"/>
      <c r="S76" s="219"/>
      <c r="T76" s="219"/>
      <c r="U76" s="219"/>
      <c r="V76" s="219"/>
      <c r="W76" s="187">
        <f t="shared" si="20"/>
        <v>0</v>
      </c>
      <c r="X76" s="183">
        <f t="shared" si="26"/>
        <v>0</v>
      </c>
      <c r="Y76" s="184"/>
      <c r="Z76" s="219">
        <v>43</v>
      </c>
      <c r="AA76" s="219">
        <v>7</v>
      </c>
      <c r="AB76" s="183">
        <f t="shared" si="21"/>
        <v>50</v>
      </c>
      <c r="AD76" s="220">
        <f t="shared" si="22"/>
        <v>43</v>
      </c>
      <c r="AE76" s="220">
        <f t="shared" si="23"/>
        <v>7</v>
      </c>
      <c r="AF76" s="186">
        <f t="shared" si="24"/>
        <v>50</v>
      </c>
    </row>
    <row r="77" spans="1:35" x14ac:dyDescent="0.2">
      <c r="A77" s="170" t="s">
        <v>2020</v>
      </c>
      <c r="B77" s="171">
        <f t="shared" ref="B77:H77" si="27">SUM(B60:B76)</f>
        <v>31</v>
      </c>
      <c r="C77" s="171">
        <f t="shared" si="27"/>
        <v>6</v>
      </c>
      <c r="D77" s="171">
        <f t="shared" si="27"/>
        <v>10</v>
      </c>
      <c r="E77" s="171">
        <f t="shared" si="27"/>
        <v>42</v>
      </c>
      <c r="F77" s="171">
        <f t="shared" si="27"/>
        <v>6</v>
      </c>
      <c r="G77" s="188">
        <f t="shared" si="27"/>
        <v>57.839999999999989</v>
      </c>
      <c r="H77" s="171">
        <f t="shared" si="27"/>
        <v>95</v>
      </c>
      <c r="I77" s="184"/>
      <c r="J77" s="171">
        <f t="shared" ref="J77:P77" si="28">SUM(J60:J76)</f>
        <v>19</v>
      </c>
      <c r="K77" s="171">
        <f t="shared" si="28"/>
        <v>14</v>
      </c>
      <c r="L77" s="171">
        <f t="shared" si="28"/>
        <v>12</v>
      </c>
      <c r="M77" s="171">
        <f t="shared" si="28"/>
        <v>42</v>
      </c>
      <c r="N77" s="171">
        <f t="shared" si="28"/>
        <v>6</v>
      </c>
      <c r="O77" s="188">
        <f t="shared" si="28"/>
        <v>54.839999999999989</v>
      </c>
      <c r="P77" s="171">
        <f t="shared" si="28"/>
        <v>93</v>
      </c>
      <c r="R77" s="171">
        <f t="shared" ref="R77:X77" si="29">SUM(R60:R76)</f>
        <v>27</v>
      </c>
      <c r="S77" s="171">
        <f t="shared" si="29"/>
        <v>10</v>
      </c>
      <c r="T77" s="171">
        <f t="shared" si="29"/>
        <v>12</v>
      </c>
      <c r="U77" s="171">
        <f t="shared" si="29"/>
        <v>42</v>
      </c>
      <c r="V77" s="171">
        <f t="shared" si="29"/>
        <v>6</v>
      </c>
      <c r="W77" s="188">
        <f t="shared" si="29"/>
        <v>58.839999999999989</v>
      </c>
      <c r="X77" s="171">
        <f t="shared" si="29"/>
        <v>97</v>
      </c>
      <c r="Y77" s="184"/>
      <c r="Z77" s="171">
        <f>SUM(Z60:Z76)</f>
        <v>121</v>
      </c>
      <c r="AA77" s="171">
        <f>SUM(AA60:AA76)</f>
        <v>24</v>
      </c>
      <c r="AB77" s="171">
        <f>SUM(AB60:AB76)</f>
        <v>145</v>
      </c>
      <c r="AD77" s="188">
        <f>SUM(AD60:AD76)</f>
        <v>256.58000000000004</v>
      </c>
      <c r="AE77" s="188">
        <f>SUM(AE60:AE76)</f>
        <v>59.939999999999991</v>
      </c>
      <c r="AF77" s="188">
        <f>SUM(AF60:AF76)</f>
        <v>316.52000000000004</v>
      </c>
      <c r="AI77" s="197">
        <f>(AD77-Z77)/257</f>
        <v>0.52754863813229591</v>
      </c>
    </row>
    <row r="79" spans="1:35" x14ac:dyDescent="0.2">
      <c r="G79">
        <v>58</v>
      </c>
      <c r="O79">
        <v>55</v>
      </c>
      <c r="W79">
        <v>59</v>
      </c>
      <c r="AG79" t="s">
        <v>2108</v>
      </c>
      <c r="AH79" s="200">
        <f>AVERAGE(G79:X79)</f>
        <v>57.333333333333336</v>
      </c>
      <c r="AI79" s="197">
        <f>(57-34) / 34</f>
        <v>0.67647058823529416</v>
      </c>
    </row>
    <row r="80" spans="1:35" x14ac:dyDescent="0.2">
      <c r="H80">
        <v>95</v>
      </c>
      <c r="P80">
        <v>93</v>
      </c>
      <c r="X80">
        <v>97</v>
      </c>
      <c r="AG80" t="s">
        <v>2109</v>
      </c>
      <c r="AH80" s="200">
        <f>AVERAGE(H80:Y80)</f>
        <v>95</v>
      </c>
      <c r="AI80" s="197">
        <f>(95-52)/52</f>
        <v>0.82692307692307687</v>
      </c>
    </row>
    <row r="81" spans="1:34" x14ac:dyDescent="0.2">
      <c r="AG81" t="s">
        <v>2110</v>
      </c>
      <c r="AH81" s="197">
        <f>(AD77-Z77)/AD77</f>
        <v>0.52841219112947235</v>
      </c>
    </row>
    <row r="84" spans="1:34" ht="34" x14ac:dyDescent="0.2">
      <c r="A84" s="173" t="s">
        <v>2019</v>
      </c>
      <c r="B84" s="192" t="s">
        <v>124</v>
      </c>
      <c r="C84" s="192" t="s">
        <v>61</v>
      </c>
      <c r="D84" s="192" t="s">
        <v>71</v>
      </c>
      <c r="E84" s="192" t="s">
        <v>100</v>
      </c>
      <c r="F84" s="192" t="s">
        <v>242</v>
      </c>
      <c r="G84" s="174" t="s">
        <v>2020</v>
      </c>
    </row>
    <row r="85" spans="1:34" x14ac:dyDescent="0.2">
      <c r="A85" s="164" t="s">
        <v>2081</v>
      </c>
      <c r="B85" s="165"/>
      <c r="C85" s="165">
        <v>3</v>
      </c>
      <c r="D85" s="165">
        <v>2</v>
      </c>
      <c r="E85" s="165"/>
      <c r="F85" s="165"/>
      <c r="G85" s="165">
        <v>5</v>
      </c>
    </row>
    <row r="86" spans="1:34" x14ac:dyDescent="0.2">
      <c r="A86" s="164" t="s">
        <v>77</v>
      </c>
      <c r="B86" s="165">
        <f t="shared" ref="B86:G86" si="30">SUM(B87:B94)</f>
        <v>8</v>
      </c>
      <c r="C86" s="165">
        <f t="shared" si="30"/>
        <v>24</v>
      </c>
      <c r="D86" s="165">
        <f t="shared" si="30"/>
        <v>7</v>
      </c>
      <c r="E86" s="165">
        <f t="shared" si="30"/>
        <v>3</v>
      </c>
      <c r="F86" s="165">
        <f t="shared" si="30"/>
        <v>0</v>
      </c>
      <c r="G86" s="165">
        <f t="shared" si="30"/>
        <v>42</v>
      </c>
    </row>
    <row r="87" spans="1:34" x14ac:dyDescent="0.2">
      <c r="A87" s="167" t="s">
        <v>2082</v>
      </c>
      <c r="B87" s="168"/>
      <c r="C87" s="168">
        <v>4</v>
      </c>
      <c r="D87" s="168"/>
      <c r="E87" s="168"/>
      <c r="F87" s="168"/>
      <c r="G87" s="168">
        <v>4</v>
      </c>
    </row>
    <row r="88" spans="1:34" x14ac:dyDescent="0.2">
      <c r="A88" s="167" t="s">
        <v>122</v>
      </c>
      <c r="B88" s="168">
        <v>2</v>
      </c>
      <c r="C88" s="168">
        <v>7</v>
      </c>
      <c r="D88" s="168">
        <v>3</v>
      </c>
      <c r="E88" s="168">
        <v>1</v>
      </c>
      <c r="F88" s="168"/>
      <c r="G88" s="168">
        <v>13</v>
      </c>
    </row>
    <row r="89" spans="1:34" x14ac:dyDescent="0.2">
      <c r="A89" s="167" t="s">
        <v>256</v>
      </c>
      <c r="B89" s="168">
        <v>1</v>
      </c>
      <c r="C89" s="168">
        <v>1</v>
      </c>
      <c r="D89" s="168">
        <v>2</v>
      </c>
      <c r="E89" s="168"/>
      <c r="F89" s="168"/>
      <c r="G89" s="168">
        <v>4</v>
      </c>
    </row>
    <row r="90" spans="1:34" x14ac:dyDescent="0.2">
      <c r="A90" s="167" t="s">
        <v>303</v>
      </c>
      <c r="B90" s="168">
        <v>1</v>
      </c>
      <c r="C90" s="168">
        <v>5</v>
      </c>
      <c r="D90" s="168"/>
      <c r="E90" s="168"/>
      <c r="F90" s="168"/>
      <c r="G90" s="168">
        <v>6</v>
      </c>
    </row>
    <row r="91" spans="1:34" x14ac:dyDescent="0.2">
      <c r="A91" s="167" t="s">
        <v>2083</v>
      </c>
      <c r="B91" s="168"/>
      <c r="C91" s="168"/>
      <c r="D91" s="168"/>
      <c r="E91" s="168">
        <v>2</v>
      </c>
      <c r="F91" s="168"/>
      <c r="G91" s="168">
        <v>2</v>
      </c>
    </row>
    <row r="92" spans="1:34" x14ac:dyDescent="0.2">
      <c r="A92" s="167" t="s">
        <v>405</v>
      </c>
      <c r="B92" s="168"/>
      <c r="C92" s="168">
        <v>3</v>
      </c>
      <c r="D92" s="168"/>
      <c r="E92" s="168"/>
      <c r="F92" s="168"/>
      <c r="G92" s="168">
        <v>3</v>
      </c>
    </row>
    <row r="93" spans="1:34" x14ac:dyDescent="0.2">
      <c r="A93" s="167" t="s">
        <v>429</v>
      </c>
      <c r="B93" s="168">
        <v>2</v>
      </c>
      <c r="C93" s="168">
        <v>3</v>
      </c>
      <c r="D93" s="168">
        <v>1</v>
      </c>
      <c r="E93" s="168"/>
      <c r="F93" s="168"/>
      <c r="G93" s="168">
        <v>6</v>
      </c>
    </row>
    <row r="94" spans="1:34" x14ac:dyDescent="0.2">
      <c r="A94" s="167" t="s">
        <v>143</v>
      </c>
      <c r="B94" s="168">
        <v>2</v>
      </c>
      <c r="C94" s="168">
        <v>1</v>
      </c>
      <c r="D94" s="168">
        <v>1</v>
      </c>
      <c r="E94" s="168"/>
      <c r="F94" s="168"/>
      <c r="G94" s="168">
        <v>4</v>
      </c>
    </row>
    <row r="95" spans="1:34" x14ac:dyDescent="0.2">
      <c r="A95" s="164" t="s">
        <v>1128</v>
      </c>
      <c r="B95" s="165">
        <f t="shared" ref="B95:G95" si="31">SUM(B96:B103)</f>
        <v>6</v>
      </c>
      <c r="C95" s="165">
        <f t="shared" si="31"/>
        <v>16</v>
      </c>
      <c r="D95" s="165">
        <f t="shared" si="31"/>
        <v>2</v>
      </c>
      <c r="E95" s="165">
        <f t="shared" si="31"/>
        <v>3</v>
      </c>
      <c r="F95" s="165">
        <f t="shared" si="31"/>
        <v>1</v>
      </c>
      <c r="G95" s="165">
        <f t="shared" si="31"/>
        <v>28</v>
      </c>
    </row>
    <row r="96" spans="1:34" x14ac:dyDescent="0.2">
      <c r="A96" s="167" t="s">
        <v>2084</v>
      </c>
      <c r="B96" s="168"/>
      <c r="C96" s="168">
        <v>5</v>
      </c>
      <c r="D96" s="168"/>
      <c r="E96" s="168"/>
      <c r="F96" s="168"/>
      <c r="G96" s="168">
        <v>5</v>
      </c>
    </row>
    <row r="97" spans="1:10" x14ac:dyDescent="0.2">
      <c r="A97" s="167" t="s">
        <v>750</v>
      </c>
      <c r="B97" s="168">
        <v>1</v>
      </c>
      <c r="C97" s="168">
        <v>1</v>
      </c>
      <c r="D97" s="168">
        <v>1</v>
      </c>
      <c r="E97" s="168"/>
      <c r="F97" s="168"/>
      <c r="G97" s="168">
        <v>3</v>
      </c>
    </row>
    <row r="98" spans="1:10" x14ac:dyDescent="0.2">
      <c r="A98" s="167" t="s">
        <v>1239</v>
      </c>
      <c r="B98" s="168">
        <v>2</v>
      </c>
      <c r="C98" s="168">
        <v>2</v>
      </c>
      <c r="D98" s="168"/>
      <c r="E98" s="168">
        <v>1</v>
      </c>
      <c r="F98" s="168"/>
      <c r="G98" s="168">
        <v>5</v>
      </c>
    </row>
    <row r="99" spans="1:10" x14ac:dyDescent="0.2">
      <c r="A99" s="167" t="s">
        <v>522</v>
      </c>
      <c r="B99" s="168">
        <v>1</v>
      </c>
      <c r="C99" s="168">
        <v>3</v>
      </c>
      <c r="D99" s="168"/>
      <c r="E99" s="168">
        <v>2</v>
      </c>
      <c r="F99" s="168"/>
      <c r="G99" s="168">
        <v>6</v>
      </c>
    </row>
    <row r="100" spans="1:10" x14ac:dyDescent="0.2">
      <c r="A100" s="167" t="s">
        <v>733</v>
      </c>
      <c r="B100" s="168">
        <v>1</v>
      </c>
      <c r="C100" s="168"/>
      <c r="D100" s="168"/>
      <c r="E100" s="168"/>
      <c r="F100" s="168"/>
      <c r="G100" s="168">
        <v>1</v>
      </c>
    </row>
    <row r="101" spans="1:10" x14ac:dyDescent="0.2">
      <c r="A101" s="167" t="s">
        <v>32</v>
      </c>
      <c r="B101" s="168"/>
      <c r="C101" s="168">
        <v>2</v>
      </c>
      <c r="D101" s="168"/>
      <c r="E101" s="168"/>
      <c r="F101" s="168"/>
      <c r="G101" s="168">
        <v>2</v>
      </c>
    </row>
    <row r="102" spans="1:10" x14ac:dyDescent="0.2">
      <c r="A102" s="167" t="s">
        <v>606</v>
      </c>
      <c r="B102" s="168"/>
      <c r="C102" s="168">
        <v>2</v>
      </c>
      <c r="D102" s="168"/>
      <c r="E102" s="168"/>
      <c r="F102" s="168"/>
      <c r="G102" s="168">
        <v>2</v>
      </c>
    </row>
    <row r="103" spans="1:10" x14ac:dyDescent="0.2">
      <c r="A103" s="167" t="s">
        <v>629</v>
      </c>
      <c r="B103" s="168">
        <v>1</v>
      </c>
      <c r="C103" s="168">
        <v>1</v>
      </c>
      <c r="D103" s="168">
        <v>1</v>
      </c>
      <c r="E103" s="168"/>
      <c r="F103" s="168">
        <v>1</v>
      </c>
      <c r="G103" s="168">
        <v>4</v>
      </c>
    </row>
    <row r="104" spans="1:10" x14ac:dyDescent="0.2">
      <c r="A104" s="164" t="s">
        <v>1160</v>
      </c>
      <c r="B104" s="165"/>
      <c r="C104" s="165">
        <v>2</v>
      </c>
      <c r="D104" s="165">
        <v>1</v>
      </c>
      <c r="E104" s="165"/>
      <c r="F104" s="165"/>
      <c r="G104" s="165">
        <v>3</v>
      </c>
    </row>
    <row r="105" spans="1:10" x14ac:dyDescent="0.2">
      <c r="A105" s="164" t="s">
        <v>804</v>
      </c>
      <c r="B105" s="165"/>
      <c r="C105" s="165">
        <v>4</v>
      </c>
      <c r="D105" s="165"/>
      <c r="E105" s="165"/>
      <c r="F105" s="165"/>
      <c r="G105" s="165">
        <v>4</v>
      </c>
    </row>
    <row r="106" spans="1:10" x14ac:dyDescent="0.2">
      <c r="A106" s="164" t="s">
        <v>1018</v>
      </c>
      <c r="B106" s="165">
        <v>3</v>
      </c>
      <c r="C106" s="165">
        <v>9</v>
      </c>
      <c r="D106" s="165">
        <v>4</v>
      </c>
      <c r="E106" s="165"/>
      <c r="F106" s="165"/>
      <c r="G106" s="165">
        <v>16</v>
      </c>
    </row>
    <row r="107" spans="1:10" x14ac:dyDescent="0.2">
      <c r="A107" s="164" t="s">
        <v>893</v>
      </c>
      <c r="B107" s="165"/>
      <c r="C107" s="165">
        <v>3</v>
      </c>
      <c r="D107" s="165"/>
      <c r="E107" s="165"/>
      <c r="F107" s="165"/>
      <c r="G107" s="165">
        <v>3</v>
      </c>
    </row>
    <row r="108" spans="1:10" x14ac:dyDescent="0.2">
      <c r="A108" s="164" t="s">
        <v>678</v>
      </c>
      <c r="B108" s="165">
        <v>5</v>
      </c>
      <c r="C108" s="165">
        <v>3</v>
      </c>
      <c r="D108" s="165"/>
      <c r="E108" s="165">
        <v>1</v>
      </c>
      <c r="F108" s="165">
        <v>1</v>
      </c>
      <c r="G108" s="165">
        <v>10</v>
      </c>
    </row>
    <row r="109" spans="1:10" x14ac:dyDescent="0.2">
      <c r="A109" s="170" t="s">
        <v>2020</v>
      </c>
      <c r="B109" s="171">
        <f t="shared" ref="B109:G109" si="32">SUM(B104:B108) + B95+B86+B85</f>
        <v>22</v>
      </c>
      <c r="C109" s="171">
        <f t="shared" si="32"/>
        <v>64</v>
      </c>
      <c r="D109" s="171">
        <f t="shared" si="32"/>
        <v>16</v>
      </c>
      <c r="E109" s="171">
        <f t="shared" si="32"/>
        <v>7</v>
      </c>
      <c r="F109" s="171">
        <f t="shared" si="32"/>
        <v>2</v>
      </c>
      <c r="G109" s="171">
        <f t="shared" si="32"/>
        <v>111</v>
      </c>
      <c r="I109" s="198">
        <f>SUM(B109:D109)</f>
        <v>102</v>
      </c>
      <c r="J109" s="199">
        <f>I109/G109</f>
        <v>0.91891891891891897</v>
      </c>
    </row>
    <row r="113" spans="1:8" ht="17" x14ac:dyDescent="0.2">
      <c r="A113" s="206" t="s">
        <v>2019</v>
      </c>
      <c r="B113" s="207" t="s">
        <v>2111</v>
      </c>
      <c r="C113" s="171" t="s">
        <v>124</v>
      </c>
      <c r="D113" s="171" t="s">
        <v>61</v>
      </c>
      <c r="E113" s="171" t="s">
        <v>71</v>
      </c>
      <c r="F113" s="171" t="s">
        <v>100</v>
      </c>
      <c r="G113" s="171" t="s">
        <v>242</v>
      </c>
      <c r="H113" s="163" t="s">
        <v>1768</v>
      </c>
    </row>
    <row r="114" spans="1:8" x14ac:dyDescent="0.2">
      <c r="A114" s="178" t="s">
        <v>2081</v>
      </c>
      <c r="B114" s="169">
        <v>4</v>
      </c>
      <c r="C114" s="168"/>
      <c r="D114" s="168"/>
      <c r="E114" s="168">
        <v>2</v>
      </c>
      <c r="F114" s="168">
        <v>3</v>
      </c>
      <c r="G114" s="168"/>
      <c r="H114" s="168">
        <f>SUM(B114:G114)</f>
        <v>9</v>
      </c>
    </row>
    <row r="115" spans="1:8" x14ac:dyDescent="0.2">
      <c r="A115" s="178" t="s">
        <v>1128</v>
      </c>
      <c r="B115" s="169">
        <v>51</v>
      </c>
      <c r="C115" s="168">
        <v>7</v>
      </c>
      <c r="D115" s="168">
        <v>14</v>
      </c>
      <c r="E115" s="168">
        <v>3</v>
      </c>
      <c r="F115" s="168">
        <v>9</v>
      </c>
      <c r="G115" s="168">
        <v>1</v>
      </c>
      <c r="H115" s="168">
        <f t="shared" ref="H115:H121" si="33">SUM(B115:G115)</f>
        <v>85</v>
      </c>
    </row>
    <row r="116" spans="1:8" x14ac:dyDescent="0.2">
      <c r="A116" s="178" t="s">
        <v>1160</v>
      </c>
      <c r="B116" s="169">
        <v>6</v>
      </c>
      <c r="C116" s="168"/>
      <c r="D116" s="168">
        <v>2</v>
      </c>
      <c r="E116" s="168"/>
      <c r="F116" s="168"/>
      <c r="G116" s="168">
        <v>1</v>
      </c>
      <c r="H116" s="168">
        <f t="shared" si="33"/>
        <v>9</v>
      </c>
    </row>
    <row r="117" spans="1:8" x14ac:dyDescent="0.2">
      <c r="A117" s="178" t="s">
        <v>804</v>
      </c>
      <c r="B117" s="169">
        <v>16</v>
      </c>
      <c r="C117" s="168"/>
      <c r="D117" s="168">
        <v>5</v>
      </c>
      <c r="E117" s="168">
        <v>2</v>
      </c>
      <c r="F117" s="168">
        <v>2</v>
      </c>
      <c r="G117" s="168"/>
      <c r="H117" s="168">
        <f t="shared" si="33"/>
        <v>25</v>
      </c>
    </row>
    <row r="118" spans="1:8" x14ac:dyDescent="0.2">
      <c r="A118" s="178" t="s">
        <v>1018</v>
      </c>
      <c r="B118" s="169">
        <v>18</v>
      </c>
      <c r="C118" s="168">
        <v>2</v>
      </c>
      <c r="D118" s="168">
        <v>4</v>
      </c>
      <c r="E118" s="168">
        <v>2</v>
      </c>
      <c r="F118" s="168">
        <v>5</v>
      </c>
      <c r="G118" s="168">
        <v>2</v>
      </c>
      <c r="H118" s="168">
        <f t="shared" si="33"/>
        <v>33</v>
      </c>
    </row>
    <row r="119" spans="1:8" x14ac:dyDescent="0.2">
      <c r="A119" s="178" t="s">
        <v>77</v>
      </c>
      <c r="B119" s="169">
        <v>67</v>
      </c>
      <c r="C119" s="168">
        <v>5</v>
      </c>
      <c r="D119" s="168">
        <v>22</v>
      </c>
      <c r="E119" s="168">
        <v>11</v>
      </c>
      <c r="F119" s="168">
        <v>15</v>
      </c>
      <c r="G119" s="168">
        <v>8</v>
      </c>
      <c r="H119" s="168">
        <f t="shared" si="33"/>
        <v>128</v>
      </c>
    </row>
    <row r="120" spans="1:8" x14ac:dyDescent="0.2">
      <c r="A120" s="178" t="s">
        <v>893</v>
      </c>
      <c r="B120" s="169">
        <v>7</v>
      </c>
      <c r="C120" s="168"/>
      <c r="D120" s="168">
        <v>2</v>
      </c>
      <c r="E120" s="168"/>
      <c r="F120" s="168"/>
      <c r="G120" s="168"/>
      <c r="H120" s="168">
        <f t="shared" si="33"/>
        <v>9</v>
      </c>
    </row>
    <row r="121" spans="1:8" x14ac:dyDescent="0.2">
      <c r="A121" s="178" t="s">
        <v>678</v>
      </c>
      <c r="B121" s="169">
        <v>15</v>
      </c>
      <c r="C121" s="168"/>
      <c r="D121" s="168">
        <v>6</v>
      </c>
      <c r="E121" s="168">
        <v>3</v>
      </c>
      <c r="F121" s="168">
        <v>2</v>
      </c>
      <c r="G121" s="168">
        <v>1</v>
      </c>
      <c r="H121" s="168">
        <f t="shared" si="33"/>
        <v>27</v>
      </c>
    </row>
    <row r="122" spans="1:8" x14ac:dyDescent="0.2">
      <c r="A122" s="170" t="s">
        <v>2020</v>
      </c>
      <c r="B122" s="207">
        <f t="shared" ref="B122:H122" si="34">SUM(B114:B121)</f>
        <v>184</v>
      </c>
      <c r="C122" s="171">
        <f t="shared" si="34"/>
        <v>14</v>
      </c>
      <c r="D122" s="171">
        <f t="shared" si="34"/>
        <v>55</v>
      </c>
      <c r="E122" s="171">
        <f t="shared" si="34"/>
        <v>23</v>
      </c>
      <c r="F122" s="171">
        <f t="shared" si="34"/>
        <v>36</v>
      </c>
      <c r="G122" s="171">
        <f t="shared" si="34"/>
        <v>13</v>
      </c>
      <c r="H122" s="171">
        <f t="shared" si="34"/>
        <v>325</v>
      </c>
    </row>
    <row r="126" spans="1:8" ht="34" x14ac:dyDescent="0.2">
      <c r="A126" s="171" t="s">
        <v>7</v>
      </c>
      <c r="B126" s="207" t="s">
        <v>2111</v>
      </c>
      <c r="C126" s="171" t="s">
        <v>124</v>
      </c>
      <c r="D126" s="171" t="s">
        <v>61</v>
      </c>
      <c r="E126" s="171" t="s">
        <v>71</v>
      </c>
      <c r="F126" s="171" t="s">
        <v>100</v>
      </c>
      <c r="G126" s="171" t="s">
        <v>242</v>
      </c>
      <c r="H126" s="163" t="s">
        <v>2020</v>
      </c>
    </row>
    <row r="127" spans="1:8" x14ac:dyDescent="0.2">
      <c r="A127" s="178" t="s">
        <v>60</v>
      </c>
      <c r="B127" s="169">
        <v>7</v>
      </c>
      <c r="C127" s="168">
        <v>1</v>
      </c>
      <c r="D127" s="168">
        <v>1</v>
      </c>
      <c r="E127" s="168"/>
      <c r="F127" s="168"/>
      <c r="G127" s="168"/>
      <c r="H127" s="168">
        <f>SUM(B127:G127)</f>
        <v>9</v>
      </c>
    </row>
    <row r="128" spans="1:8" x14ac:dyDescent="0.2">
      <c r="A128" s="178" t="s">
        <v>248</v>
      </c>
      <c r="B128" s="169"/>
      <c r="C128" s="168"/>
      <c r="D128" s="168"/>
      <c r="E128" s="168">
        <v>1</v>
      </c>
      <c r="F128" s="168"/>
      <c r="G128" s="168"/>
      <c r="H128" s="168">
        <f t="shared" ref="H128:H133" si="35">SUM(B128:G128)</f>
        <v>1</v>
      </c>
    </row>
    <row r="129" spans="1:8" x14ac:dyDescent="0.2">
      <c r="A129" s="178" t="s">
        <v>50</v>
      </c>
      <c r="B129" s="169">
        <v>43</v>
      </c>
      <c r="C129" s="168">
        <v>8</v>
      </c>
      <c r="D129" s="168">
        <v>17</v>
      </c>
      <c r="E129" s="168">
        <v>5</v>
      </c>
      <c r="F129" s="168">
        <v>15</v>
      </c>
      <c r="G129" s="168">
        <v>3</v>
      </c>
      <c r="H129" s="168">
        <f t="shared" si="35"/>
        <v>91</v>
      </c>
    </row>
    <row r="130" spans="1:8" x14ac:dyDescent="0.2">
      <c r="A130" s="178" t="s">
        <v>1348</v>
      </c>
      <c r="B130" s="169">
        <v>20</v>
      </c>
      <c r="C130" s="168">
        <v>2</v>
      </c>
      <c r="D130" s="168">
        <v>2</v>
      </c>
      <c r="E130" s="168">
        <v>1</v>
      </c>
      <c r="F130" s="168">
        <v>3</v>
      </c>
      <c r="G130" s="168">
        <v>5</v>
      </c>
      <c r="H130" s="168">
        <f t="shared" si="35"/>
        <v>33</v>
      </c>
    </row>
    <row r="131" spans="1:8" x14ac:dyDescent="0.2">
      <c r="A131" s="178" t="s">
        <v>37</v>
      </c>
      <c r="B131" s="169">
        <v>114</v>
      </c>
      <c r="C131" s="168">
        <v>3</v>
      </c>
      <c r="D131" s="168">
        <v>26</v>
      </c>
      <c r="E131" s="168">
        <v>12</v>
      </c>
      <c r="F131" s="168">
        <v>11</v>
      </c>
      <c r="G131" s="168">
        <v>4</v>
      </c>
      <c r="H131" s="168">
        <f t="shared" si="35"/>
        <v>170</v>
      </c>
    </row>
    <row r="132" spans="1:8" x14ac:dyDescent="0.2">
      <c r="A132" s="178" t="s">
        <v>359</v>
      </c>
      <c r="B132" s="169"/>
      <c r="C132" s="168"/>
      <c r="D132" s="168">
        <v>3</v>
      </c>
      <c r="E132" s="168">
        <v>4</v>
      </c>
      <c r="F132" s="168"/>
      <c r="G132" s="168">
        <v>1</v>
      </c>
      <c r="H132" s="168">
        <f t="shared" si="35"/>
        <v>8</v>
      </c>
    </row>
    <row r="133" spans="1:8" x14ac:dyDescent="0.2">
      <c r="A133" s="178" t="s">
        <v>101</v>
      </c>
      <c r="B133" s="169"/>
      <c r="C133" s="168"/>
      <c r="D133" s="168">
        <v>6</v>
      </c>
      <c r="E133" s="168"/>
      <c r="F133" s="168">
        <v>7</v>
      </c>
      <c r="G133" s="168"/>
      <c r="H133" s="168">
        <f t="shared" si="35"/>
        <v>13</v>
      </c>
    </row>
    <row r="134" spans="1:8" x14ac:dyDescent="0.2">
      <c r="A134" s="170" t="s">
        <v>2020</v>
      </c>
      <c r="B134" s="207">
        <f>SUM(B127:B133)</f>
        <v>184</v>
      </c>
      <c r="C134" s="171">
        <f>SUM(C127:C133)</f>
        <v>14</v>
      </c>
      <c r="D134" s="171">
        <f t="shared" ref="D134:H134" si="36">SUM(D127:D133)</f>
        <v>55</v>
      </c>
      <c r="E134" s="171">
        <f t="shared" si="36"/>
        <v>23</v>
      </c>
      <c r="F134" s="171">
        <f t="shared" si="36"/>
        <v>36</v>
      </c>
      <c r="G134" s="171">
        <f t="shared" si="36"/>
        <v>13</v>
      </c>
      <c r="H134" s="171">
        <f t="shared" si="36"/>
        <v>325</v>
      </c>
    </row>
    <row r="139" spans="1:8" ht="34" x14ac:dyDescent="0.2">
      <c r="A139" s="206" t="s">
        <v>2019</v>
      </c>
      <c r="B139" s="222" t="s">
        <v>124</v>
      </c>
      <c r="C139" s="222" t="s">
        <v>61</v>
      </c>
      <c r="D139" s="222" t="s">
        <v>71</v>
      </c>
      <c r="E139" s="222" t="s">
        <v>100</v>
      </c>
      <c r="F139" s="222" t="s">
        <v>242</v>
      </c>
      <c r="G139" s="163" t="s">
        <v>2020</v>
      </c>
    </row>
    <row r="140" spans="1:8" x14ac:dyDescent="0.2">
      <c r="A140" s="170" t="s">
        <v>2112</v>
      </c>
      <c r="B140" s="171">
        <v>11</v>
      </c>
      <c r="C140" s="171">
        <v>44</v>
      </c>
      <c r="D140" s="171">
        <v>15</v>
      </c>
      <c r="E140" s="171">
        <v>28</v>
      </c>
      <c r="F140" s="171">
        <v>8</v>
      </c>
      <c r="G140" s="171">
        <f>SUM(B140:F140)</f>
        <v>106</v>
      </c>
    </row>
    <row r="145" spans="1:11" ht="34" x14ac:dyDescent="0.2">
      <c r="A145" s="206" t="s">
        <v>2019</v>
      </c>
      <c r="B145" s="222" t="s">
        <v>91</v>
      </c>
      <c r="C145" s="222" t="s">
        <v>166</v>
      </c>
      <c r="D145" s="222" t="s">
        <v>38</v>
      </c>
      <c r="E145" s="222" t="s">
        <v>107</v>
      </c>
      <c r="F145" s="222" t="s">
        <v>130</v>
      </c>
      <c r="G145" s="222" t="s">
        <v>114</v>
      </c>
      <c r="H145" s="222" t="s">
        <v>51</v>
      </c>
      <c r="I145" s="222" t="s">
        <v>124</v>
      </c>
      <c r="J145" s="222" t="s">
        <v>61</v>
      </c>
      <c r="K145" s="163" t="s">
        <v>2020</v>
      </c>
    </row>
    <row r="146" spans="1:11" x14ac:dyDescent="0.2">
      <c r="A146" s="170" t="s">
        <v>2020</v>
      </c>
      <c r="B146" s="171">
        <v>6</v>
      </c>
      <c r="C146" s="171">
        <v>8</v>
      </c>
      <c r="D146" s="171">
        <v>23</v>
      </c>
      <c r="E146" s="171">
        <v>15</v>
      </c>
      <c r="F146" s="171">
        <v>38</v>
      </c>
      <c r="G146" s="171">
        <v>25</v>
      </c>
      <c r="H146" s="171">
        <v>21</v>
      </c>
      <c r="I146" s="171">
        <v>7</v>
      </c>
      <c r="J146" s="171">
        <v>6</v>
      </c>
      <c r="K146" s="171">
        <v>149</v>
      </c>
    </row>
    <row r="149" spans="1:11" x14ac:dyDescent="0.2">
      <c r="A149" s="206" t="s">
        <v>2113</v>
      </c>
      <c r="B149" s="182" t="s">
        <v>1770</v>
      </c>
      <c r="C149" s="182" t="s">
        <v>1771</v>
      </c>
      <c r="D149" s="182" t="s">
        <v>1772</v>
      </c>
      <c r="E149" s="182" t="s">
        <v>1773</v>
      </c>
    </row>
    <row r="150" spans="1:11" x14ac:dyDescent="0.2">
      <c r="A150" s="170">
        <v>2024</v>
      </c>
      <c r="B150" s="171">
        <v>6</v>
      </c>
      <c r="C150" s="171">
        <v>14</v>
      </c>
      <c r="D150" s="171">
        <v>37</v>
      </c>
      <c r="E150" s="171">
        <v>52</v>
      </c>
    </row>
    <row r="151" spans="1:11" x14ac:dyDescent="0.2">
      <c r="A151" s="170" t="s">
        <v>2114</v>
      </c>
      <c r="B151" s="171">
        <f>E150+F146</f>
        <v>90</v>
      </c>
      <c r="C151" s="171">
        <f>B151+G146</f>
        <v>115</v>
      </c>
      <c r="D151" s="171">
        <f>C151+H146</f>
        <v>136</v>
      </c>
      <c r="E151" s="171">
        <v>149</v>
      </c>
    </row>
    <row r="152" spans="1:11" x14ac:dyDescent="0.2">
      <c r="A152" s="170">
        <v>2026</v>
      </c>
      <c r="B152" s="171">
        <f>E151+B140+C140</f>
        <v>204</v>
      </c>
      <c r="C152" s="171">
        <f>B152+D140</f>
        <v>219</v>
      </c>
      <c r="D152" s="171">
        <f>C152+E140</f>
        <v>247</v>
      </c>
      <c r="E152" s="171">
        <f>D152+F140</f>
        <v>255</v>
      </c>
    </row>
    <row r="153" spans="1:11" x14ac:dyDescent="0.2">
      <c r="A153" s="170" t="s">
        <v>2115</v>
      </c>
      <c r="B153" s="171">
        <v>55</v>
      </c>
      <c r="C153" s="171">
        <v>15</v>
      </c>
      <c r="D153" s="171">
        <v>28</v>
      </c>
      <c r="E153" s="171">
        <v>8</v>
      </c>
      <c r="G153">
        <f>SUM(B153:E153)</f>
        <v>106</v>
      </c>
    </row>
  </sheetData>
  <sortState xmlns:xlrd2="http://schemas.microsoft.com/office/spreadsheetml/2017/richdata2" ref="A13:K20">
    <sortCondition ref="A13:A20"/>
  </sortState>
  <mergeCells count="17">
    <mergeCell ref="A58:A59"/>
    <mergeCell ref="R58:S58"/>
    <mergeCell ref="U58:V58"/>
    <mergeCell ref="X58:X59"/>
    <mergeCell ref="W58:W59"/>
    <mergeCell ref="Z58:AA58"/>
    <mergeCell ref="AF58:AF59"/>
    <mergeCell ref="AB58:AB59"/>
    <mergeCell ref="AD58:AE58"/>
    <mergeCell ref="B58:C58"/>
    <mergeCell ref="E58:F58"/>
    <mergeCell ref="H58:H59"/>
    <mergeCell ref="J58:K58"/>
    <mergeCell ref="M58:N58"/>
    <mergeCell ref="P58:P59"/>
    <mergeCell ref="G58:G59"/>
    <mergeCell ref="O58:O5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B98EFBAAA5DE4CB6BB3E332F749C9D" ma:contentTypeVersion="4" ma:contentTypeDescription="Create a new document." ma:contentTypeScope="" ma:versionID="f9fb3dff422d49ed7d831f6d066b6b3b">
  <xsd:schema xmlns:xsd="http://www.w3.org/2001/XMLSchema" xmlns:xs="http://www.w3.org/2001/XMLSchema" xmlns:p="http://schemas.microsoft.com/office/2006/metadata/properties" xmlns:ns2="bc42e9de-dee5-4be1-ba5b-1749e61fde73" targetNamespace="http://schemas.microsoft.com/office/2006/metadata/properties" ma:root="true" ma:fieldsID="0a35e0f515913630952642eb06b509d5" ns2:_="">
    <xsd:import namespace="bc42e9de-dee5-4be1-ba5b-1749e61f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42e9de-dee5-4be1-ba5b-1749e61fd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7A48E46-0375-4948-A711-1E6F0634A03A}">
  <ds:schemaRefs>
    <ds:schemaRef ds:uri="http://schemas.microsoft.com/sharepoint/v3/contenttype/forms"/>
  </ds:schemaRefs>
</ds:datastoreItem>
</file>

<file path=customXml/itemProps2.xml><?xml version="1.0" encoding="utf-8"?>
<ds:datastoreItem xmlns:ds="http://schemas.openxmlformats.org/officeDocument/2006/customXml" ds:itemID="{FD04995C-EE84-4D14-9D45-61A74E03D2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42e9de-dee5-4be1-ba5b-1749e61fde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BEF7D5-600A-44F2-89DE-841601F3EBE1}">
  <ds:schemaRefs>
    <ds:schemaRef ds:uri="http://purl.org/dc/elements/1.1/"/>
    <ds:schemaRef ds:uri="http://schemas.microsoft.com/office/2006/documentManagement/types"/>
    <ds:schemaRef ds:uri="http://purl.org/dc/dcmitype/"/>
    <ds:schemaRef ds:uri="http://schemas.microsoft.com/office/2006/metadata/properties"/>
    <ds:schemaRef ds:uri="http://purl.org/dc/terms/"/>
    <ds:schemaRef ds:uri="bc42e9de-dee5-4be1-ba5b-1749e61fde73"/>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WFP Details - 2026</vt:lpstr>
      <vt:lpstr>WFP Details - Beyond 2026</vt:lpstr>
      <vt:lpstr>2026 Approved Budget</vt:lpstr>
      <vt:lpstr>Tradeoffs</vt:lpstr>
      <vt:lpstr>By Function</vt:lpstr>
      <vt:lpstr>By Grade</vt:lpstr>
      <vt:lpstr>By Location</vt:lpstr>
      <vt:lpstr>Other Metrics</vt:lpstr>
      <vt:lpstr>Copy to Pres</vt:lpstr>
      <vt:lpstr>'WFP Details - 2026'!Print_Area</vt:lpstr>
      <vt:lpstr>'WFP Details - Beyond 2026'!Print_Area</vt:lpstr>
      <vt:lpstr>'WFP Details - 2026'!Print_Titles</vt:lpstr>
      <vt:lpstr>'WFP Details - Beyond 2026'!Print_Titles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Wright</dc:creator>
  <cp:keywords/>
  <dc:description/>
  <cp:lastModifiedBy>Phil Wright</cp:lastModifiedBy>
  <cp:revision/>
  <dcterms:created xsi:type="dcterms:W3CDTF">2025-08-09T01:59:16Z</dcterms:created>
  <dcterms:modified xsi:type="dcterms:W3CDTF">2026-03-13T01:21:24Z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0x01010041B98EFBAAA5DE4CB6BB3E332F749C9D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